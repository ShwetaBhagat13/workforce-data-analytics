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5f95ac0e17823aa3/Desktop/Shweta/Project/"/>
    </mc:Choice>
  </mc:AlternateContent>
  <xr:revisionPtr revIDLastSave="26" documentId="14_{176303C3-2142-4239-9AFD-7EBC2E34E0C4}" xr6:coauthVersionLast="47" xr6:coauthVersionMax="47" xr10:uidLastSave="{8184523B-2926-4301-9A34-226463AE519C}"/>
  <bookViews>
    <workbookView xWindow="-110" yWindow="-110" windowWidth="21820" windowHeight="13900" tabRatio="751" xr2:uid="{E1285F49-219C-4EF1-8206-3E9C91392548}"/>
  </bookViews>
  <sheets>
    <sheet name="Raw" sheetId="1" r:id="rId1"/>
    <sheet name="Raw_2" sheetId="6" r:id="rId2"/>
    <sheet name="Working" sheetId="4" r:id="rId3"/>
    <sheet name="Cleaned_without Exclusions" sheetId="8" r:id="rId4"/>
    <sheet name="Cleaned_with Exclusions" sheetId="10" r:id="rId5"/>
    <sheet name="KPIs" sheetId="20" r:id="rId6"/>
    <sheet name="Pivots" sheetId="22" r:id="rId7"/>
    <sheet name="Map" sheetId="26" r:id="rId8"/>
    <sheet name="Dashboard" sheetId="24" r:id="rId9"/>
  </sheets>
  <definedNames>
    <definedName name="_xlnm._FilterDatabase" localSheetId="0" hidden="1">Raw!$A$1:$V$502</definedName>
    <definedName name="_xlnm._FilterDatabase" localSheetId="2" hidden="1">Working!$A$1:$AB$502</definedName>
    <definedName name="_xlchart.v5.0" hidden="1">Map!$E$1</definedName>
    <definedName name="_xlchart.v5.1" hidden="1">Map!$E$2:$E$11</definedName>
    <definedName name="_xlchart.v5.2" hidden="1">Map!$F$1</definedName>
    <definedName name="_xlchart.v5.3" hidden="1">Map!$F$2:$F$11</definedName>
    <definedName name="_xlchart.v5.4" hidden="1">Map!$E$1</definedName>
    <definedName name="_xlchart.v5.5" hidden="1">Map!$E$2:$E$11</definedName>
    <definedName name="_xlchart.v5.6" hidden="1">Map!$F$1</definedName>
    <definedName name="_xlchart.v5.7" hidden="1">Map!$F$2:$F$11</definedName>
    <definedName name="Slicer_Department">#N/A</definedName>
    <definedName name="Slicer_Role">#N/A</definedName>
    <definedName name="Slicer_Work_Mod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B9" i="20" l="1"/>
  <c r="C9" i="20" s="1"/>
  <c r="B8" i="20"/>
  <c r="C8" i="20" s="1"/>
  <c r="B7" i="20"/>
  <c r="C7" i="20" s="1"/>
  <c r="B6" i="20"/>
  <c r="C6" i="20" s="1"/>
  <c r="B5" i="20"/>
  <c r="C5" i="20" s="1"/>
  <c r="B4" i="20"/>
  <c r="C4" i="20" s="1"/>
  <c r="B3" i="20"/>
  <c r="C3" i="20" s="1"/>
  <c r="AA2" i="4"/>
  <c r="AA3" i="4"/>
  <c r="AA4" i="4"/>
  <c r="AA5" i="4"/>
  <c r="AA6" i="4"/>
  <c r="AA7" i="4"/>
  <c r="AA8" i="4"/>
  <c r="AA9" i="4"/>
  <c r="AA10" i="4"/>
  <c r="AA11" i="4"/>
  <c r="AA12" i="4"/>
  <c r="AA13" i="4"/>
  <c r="AA14" i="4"/>
  <c r="AA15" i="4"/>
  <c r="AA16" i="4"/>
  <c r="AA17" i="4"/>
  <c r="AA18" i="4"/>
  <c r="AA19" i="4"/>
  <c r="AA20" i="4"/>
  <c r="AA21" i="4"/>
  <c r="AA22" i="4"/>
  <c r="AA23" i="4"/>
  <c r="AA24" i="4"/>
  <c r="AA25" i="4"/>
  <c r="AA26" i="4"/>
  <c r="AA27" i="4"/>
  <c r="AA28" i="4"/>
  <c r="AA29" i="4"/>
  <c r="AA30" i="4"/>
  <c r="AA31" i="4"/>
  <c r="AA32" i="4"/>
  <c r="AA33" i="4"/>
  <c r="AA34" i="4"/>
  <c r="AA35" i="4"/>
  <c r="AA36" i="4"/>
  <c r="AA37" i="4"/>
  <c r="AA38" i="4"/>
  <c r="AA39" i="4"/>
  <c r="AA40" i="4"/>
  <c r="AA41" i="4"/>
  <c r="AA42" i="4"/>
  <c r="AA43" i="4"/>
  <c r="AA44" i="4"/>
  <c r="AA45" i="4"/>
  <c r="AA46" i="4"/>
  <c r="AA47" i="4"/>
  <c r="AA48" i="4"/>
  <c r="AA49" i="4"/>
  <c r="AA50" i="4"/>
  <c r="AA51" i="4"/>
  <c r="AA52" i="4"/>
  <c r="AA53" i="4"/>
  <c r="AA54" i="4"/>
  <c r="AA55" i="4"/>
  <c r="AA56" i="4"/>
  <c r="AA57" i="4"/>
  <c r="AA58" i="4"/>
  <c r="AA59" i="4"/>
  <c r="AA60" i="4"/>
  <c r="AA61" i="4"/>
  <c r="AA62" i="4"/>
  <c r="AA63" i="4"/>
  <c r="AA64" i="4"/>
  <c r="AA65" i="4"/>
  <c r="AA66" i="4"/>
  <c r="AA67" i="4"/>
  <c r="AA68" i="4"/>
  <c r="AA69" i="4"/>
  <c r="AA70" i="4"/>
  <c r="AA71" i="4"/>
  <c r="AA72" i="4"/>
  <c r="AA73" i="4"/>
  <c r="AA74" i="4"/>
  <c r="AA75" i="4"/>
  <c r="AA76" i="4"/>
  <c r="AA77" i="4"/>
  <c r="AA78" i="4"/>
  <c r="AA79" i="4"/>
  <c r="AA80" i="4"/>
  <c r="AA81" i="4"/>
  <c r="AA82" i="4"/>
  <c r="AA83" i="4"/>
  <c r="AA84" i="4"/>
  <c r="AA85" i="4"/>
  <c r="AA86" i="4"/>
  <c r="AA87" i="4"/>
  <c r="AA88" i="4"/>
  <c r="AA89" i="4"/>
  <c r="AA90" i="4"/>
  <c r="AA91" i="4"/>
  <c r="AA92" i="4"/>
  <c r="AA93" i="4"/>
  <c r="AA94" i="4"/>
  <c r="AA95" i="4"/>
  <c r="AA96" i="4"/>
  <c r="AA97" i="4"/>
  <c r="AA98" i="4"/>
  <c r="AA99" i="4"/>
  <c r="AA100" i="4"/>
  <c r="AA101" i="4"/>
  <c r="AA102" i="4"/>
  <c r="AA103" i="4"/>
  <c r="AA104" i="4"/>
  <c r="AA105" i="4"/>
  <c r="AA106" i="4"/>
  <c r="AA107" i="4"/>
  <c r="AA108" i="4"/>
  <c r="AA109" i="4"/>
  <c r="AA110" i="4"/>
  <c r="AA111" i="4"/>
  <c r="AA112" i="4"/>
  <c r="AA113" i="4"/>
  <c r="AA114" i="4"/>
  <c r="AA115" i="4"/>
  <c r="AA116" i="4"/>
  <c r="AA117" i="4"/>
  <c r="AA118" i="4"/>
  <c r="AA119" i="4"/>
  <c r="AA120" i="4"/>
  <c r="AA121" i="4"/>
  <c r="AA122" i="4"/>
  <c r="AA123" i="4"/>
  <c r="AA124" i="4"/>
  <c r="AA125" i="4"/>
  <c r="AA126" i="4"/>
  <c r="AA127" i="4"/>
  <c r="AA128" i="4"/>
  <c r="AA129" i="4"/>
  <c r="AA130" i="4"/>
  <c r="AA131" i="4"/>
  <c r="AA132" i="4"/>
  <c r="AA133" i="4"/>
  <c r="AA134" i="4"/>
  <c r="AA135" i="4"/>
  <c r="AA136" i="4"/>
  <c r="AA137" i="4"/>
  <c r="AA138" i="4"/>
  <c r="AA139" i="4"/>
  <c r="AA140" i="4"/>
  <c r="AA141" i="4"/>
  <c r="AA142" i="4"/>
  <c r="AA143" i="4"/>
  <c r="AA144" i="4"/>
  <c r="AA145" i="4"/>
  <c r="AA146" i="4"/>
  <c r="AA147" i="4"/>
  <c r="AA148" i="4"/>
  <c r="AA149" i="4"/>
  <c r="AA150" i="4"/>
  <c r="AA151" i="4"/>
  <c r="AA152" i="4"/>
  <c r="AA153" i="4"/>
  <c r="AA154" i="4"/>
  <c r="AA155" i="4"/>
  <c r="AA156" i="4"/>
  <c r="AA157" i="4"/>
  <c r="AA158" i="4"/>
  <c r="AA159" i="4"/>
  <c r="AA160" i="4"/>
  <c r="AA161" i="4"/>
  <c r="AA162" i="4"/>
  <c r="AA163" i="4"/>
  <c r="AA164" i="4"/>
  <c r="AA165" i="4"/>
  <c r="AA166" i="4"/>
  <c r="AA167" i="4"/>
  <c r="AA168" i="4"/>
  <c r="AA169" i="4"/>
  <c r="AA170" i="4"/>
  <c r="AA171" i="4"/>
  <c r="AA172" i="4"/>
  <c r="AA173" i="4"/>
  <c r="AA174" i="4"/>
  <c r="AA175" i="4"/>
  <c r="AA176" i="4"/>
  <c r="AA177" i="4"/>
  <c r="AA178" i="4"/>
  <c r="AA179" i="4"/>
  <c r="AA180" i="4"/>
  <c r="AA181" i="4"/>
  <c r="AA182" i="4"/>
  <c r="AA183" i="4"/>
  <c r="AA184" i="4"/>
  <c r="AA185" i="4"/>
  <c r="AA186" i="4"/>
  <c r="AA187" i="4"/>
  <c r="AA188" i="4"/>
  <c r="AA189" i="4"/>
  <c r="AA190" i="4"/>
  <c r="AA191" i="4"/>
  <c r="AA192" i="4"/>
  <c r="AA193" i="4"/>
  <c r="AA194" i="4"/>
  <c r="AA195" i="4"/>
  <c r="AA196" i="4"/>
  <c r="AA197" i="4"/>
  <c r="AA198" i="4"/>
  <c r="AA199" i="4"/>
  <c r="AA200" i="4"/>
  <c r="AA201" i="4"/>
  <c r="AA202" i="4"/>
  <c r="AA203" i="4"/>
  <c r="AA204" i="4"/>
  <c r="AA205" i="4"/>
  <c r="AA206" i="4"/>
  <c r="AA207" i="4"/>
  <c r="AA208" i="4"/>
  <c r="AA209" i="4"/>
  <c r="AA210" i="4"/>
  <c r="AA211" i="4"/>
  <c r="AA212" i="4"/>
  <c r="AA213" i="4"/>
  <c r="AA214" i="4"/>
  <c r="AA215" i="4"/>
  <c r="AA216" i="4"/>
  <c r="AA217" i="4"/>
  <c r="AA218" i="4"/>
  <c r="AA219" i="4"/>
  <c r="AA220" i="4"/>
  <c r="AA221" i="4"/>
  <c r="AA222" i="4"/>
  <c r="AA223" i="4"/>
  <c r="AA224" i="4"/>
  <c r="AA225" i="4"/>
  <c r="AA226" i="4"/>
  <c r="AA227" i="4"/>
  <c r="AA228" i="4"/>
  <c r="AA229" i="4"/>
  <c r="AA230" i="4"/>
  <c r="AA231" i="4"/>
  <c r="AA232" i="4"/>
  <c r="AA233" i="4"/>
  <c r="AA234" i="4"/>
  <c r="AA235" i="4"/>
  <c r="AA236" i="4"/>
  <c r="AA237" i="4"/>
  <c r="AA238" i="4"/>
  <c r="AA239" i="4"/>
  <c r="AA240" i="4"/>
  <c r="AA241" i="4"/>
  <c r="AA242" i="4"/>
  <c r="AA243" i="4"/>
  <c r="AA244" i="4"/>
  <c r="AA245" i="4"/>
  <c r="AA246" i="4"/>
  <c r="AA247" i="4"/>
  <c r="AA248" i="4"/>
  <c r="AA249" i="4"/>
  <c r="AA250" i="4"/>
  <c r="AA251" i="4"/>
  <c r="AA252" i="4"/>
  <c r="AA253" i="4"/>
  <c r="AA254" i="4"/>
  <c r="AA255" i="4"/>
  <c r="AA256" i="4"/>
  <c r="AA257" i="4"/>
  <c r="AA258" i="4"/>
  <c r="AA259" i="4"/>
  <c r="AA260" i="4"/>
  <c r="AA261" i="4"/>
  <c r="AA262" i="4"/>
  <c r="AA263" i="4"/>
  <c r="AA264" i="4"/>
  <c r="AA265" i="4"/>
  <c r="AA266" i="4"/>
  <c r="AA267" i="4"/>
  <c r="AA268" i="4"/>
  <c r="AA269" i="4"/>
  <c r="AA270" i="4"/>
  <c r="AA271" i="4"/>
  <c r="AA272" i="4"/>
  <c r="AA273" i="4"/>
  <c r="AA274" i="4"/>
  <c r="AA275" i="4"/>
  <c r="AA276" i="4"/>
  <c r="AA277" i="4"/>
  <c r="AA278" i="4"/>
  <c r="AA279" i="4"/>
  <c r="AA280" i="4"/>
  <c r="AA281" i="4"/>
  <c r="AA282" i="4"/>
  <c r="AA283" i="4"/>
  <c r="AA284" i="4"/>
  <c r="AA285" i="4"/>
  <c r="AA286" i="4"/>
  <c r="AA287" i="4"/>
  <c r="AA288" i="4"/>
  <c r="AA289" i="4"/>
  <c r="AA290" i="4"/>
  <c r="AA291" i="4"/>
  <c r="AA292" i="4"/>
  <c r="AA293" i="4"/>
  <c r="AA294" i="4"/>
  <c r="AA295" i="4"/>
  <c r="AA296" i="4"/>
  <c r="AA297" i="4"/>
  <c r="AA298" i="4"/>
  <c r="AA299" i="4"/>
  <c r="AA300" i="4"/>
  <c r="AA301" i="4"/>
  <c r="AA302" i="4"/>
  <c r="AA303" i="4"/>
  <c r="AA304" i="4"/>
  <c r="AA305" i="4"/>
  <c r="AA306" i="4"/>
  <c r="AA307" i="4"/>
  <c r="AA308" i="4"/>
  <c r="AA309" i="4"/>
  <c r="AA310" i="4"/>
  <c r="AA311" i="4"/>
  <c r="AA312" i="4"/>
  <c r="AA313" i="4"/>
  <c r="AA314" i="4"/>
  <c r="AA315" i="4"/>
  <c r="AA316" i="4"/>
  <c r="AA317" i="4"/>
  <c r="AA318" i="4"/>
  <c r="AA319" i="4"/>
  <c r="AA320" i="4"/>
  <c r="AA321" i="4"/>
  <c r="AA322" i="4"/>
  <c r="AA323" i="4"/>
  <c r="AA324" i="4"/>
  <c r="AA325" i="4"/>
  <c r="AA326" i="4"/>
  <c r="AA327" i="4"/>
  <c r="AA328" i="4"/>
  <c r="AA329" i="4"/>
  <c r="AA330" i="4"/>
  <c r="AA331" i="4"/>
  <c r="AA332" i="4"/>
  <c r="AA333" i="4"/>
  <c r="AA334" i="4"/>
  <c r="AA335" i="4"/>
  <c r="AA336" i="4"/>
  <c r="AA337" i="4"/>
  <c r="AA338" i="4"/>
  <c r="AA339" i="4"/>
  <c r="AA340" i="4"/>
  <c r="AA341" i="4"/>
  <c r="AA342" i="4"/>
  <c r="AA343" i="4"/>
  <c r="AA344" i="4"/>
  <c r="AA345" i="4"/>
  <c r="AA346" i="4"/>
  <c r="AA347" i="4"/>
  <c r="AA348" i="4"/>
  <c r="AA349" i="4"/>
  <c r="AA350" i="4"/>
  <c r="AA351" i="4"/>
  <c r="AA352" i="4"/>
  <c r="AA353" i="4"/>
  <c r="AA354" i="4"/>
  <c r="AA355" i="4"/>
  <c r="AA356" i="4"/>
  <c r="AA357" i="4"/>
  <c r="AA358" i="4"/>
  <c r="AA359" i="4"/>
  <c r="AA360" i="4"/>
  <c r="AA361" i="4"/>
  <c r="AA362" i="4"/>
  <c r="AA363" i="4"/>
  <c r="AA364" i="4"/>
  <c r="AA365" i="4"/>
  <c r="AA366" i="4"/>
  <c r="AA367" i="4"/>
  <c r="AA368" i="4"/>
  <c r="AA369" i="4"/>
  <c r="AA370" i="4"/>
  <c r="AA371" i="4"/>
  <c r="AA372" i="4"/>
  <c r="AA373" i="4"/>
  <c r="AA374" i="4"/>
  <c r="AA375" i="4"/>
  <c r="AA376" i="4"/>
  <c r="AA377" i="4"/>
  <c r="AA378" i="4"/>
  <c r="AA379" i="4"/>
  <c r="AA380" i="4"/>
  <c r="AA381" i="4"/>
  <c r="AA382" i="4"/>
  <c r="AA383" i="4"/>
  <c r="AA384" i="4"/>
  <c r="AA385" i="4"/>
  <c r="AA386" i="4"/>
  <c r="AA387" i="4"/>
  <c r="AA388" i="4"/>
  <c r="AA389" i="4"/>
  <c r="AA390" i="4"/>
  <c r="AA391" i="4"/>
  <c r="AA392" i="4"/>
  <c r="AA393" i="4"/>
  <c r="AA394" i="4"/>
  <c r="AA395" i="4"/>
  <c r="AA396" i="4"/>
  <c r="AA397" i="4"/>
  <c r="AA398" i="4"/>
  <c r="AA399" i="4"/>
  <c r="AA400" i="4"/>
  <c r="AA401" i="4"/>
  <c r="AA402" i="4"/>
  <c r="AA403" i="4"/>
  <c r="AA404" i="4"/>
  <c r="AA405" i="4"/>
  <c r="AA406" i="4"/>
  <c r="AA407" i="4"/>
  <c r="AA408" i="4"/>
  <c r="AA409" i="4"/>
  <c r="AA410" i="4"/>
  <c r="AA411" i="4"/>
  <c r="AA412" i="4"/>
  <c r="AA413" i="4"/>
  <c r="AA414" i="4"/>
  <c r="AA415" i="4"/>
  <c r="AA416" i="4"/>
  <c r="AA417" i="4"/>
  <c r="AA418" i="4"/>
  <c r="AA419" i="4"/>
  <c r="AA420" i="4"/>
  <c r="AA421" i="4"/>
  <c r="AA422" i="4"/>
  <c r="AA423" i="4"/>
  <c r="AA424" i="4"/>
  <c r="AA425" i="4"/>
  <c r="AA426" i="4"/>
  <c r="AA427" i="4"/>
  <c r="AA428" i="4"/>
  <c r="AA429" i="4"/>
  <c r="AA430" i="4"/>
  <c r="AA431" i="4"/>
  <c r="AA432" i="4"/>
  <c r="AA433" i="4"/>
  <c r="AA434" i="4"/>
  <c r="AA435" i="4"/>
  <c r="AA436" i="4"/>
  <c r="AA437" i="4"/>
  <c r="AA438" i="4"/>
  <c r="AA439" i="4"/>
  <c r="AA440" i="4"/>
  <c r="AA441" i="4"/>
  <c r="AA442" i="4"/>
  <c r="AA443" i="4"/>
  <c r="AA444" i="4"/>
  <c r="AA445" i="4"/>
  <c r="AA446" i="4"/>
  <c r="AA447" i="4"/>
  <c r="AA448" i="4"/>
  <c r="AA449" i="4"/>
  <c r="AA450" i="4"/>
  <c r="AA451" i="4"/>
  <c r="AA452" i="4"/>
  <c r="AA453" i="4"/>
  <c r="AA454" i="4"/>
  <c r="AA455" i="4"/>
  <c r="AA456" i="4"/>
  <c r="AA457" i="4"/>
  <c r="AA458" i="4"/>
  <c r="AA459" i="4"/>
  <c r="AA460" i="4"/>
  <c r="AA461" i="4"/>
  <c r="AA462" i="4"/>
  <c r="AA463" i="4"/>
  <c r="AA464" i="4"/>
  <c r="AA465" i="4"/>
  <c r="AA466" i="4"/>
  <c r="AA467" i="4"/>
  <c r="AA468" i="4"/>
  <c r="AA469" i="4"/>
  <c r="AA470" i="4"/>
  <c r="AA471" i="4"/>
  <c r="AA472" i="4"/>
  <c r="AA473" i="4"/>
  <c r="AA474" i="4"/>
  <c r="AA475" i="4"/>
  <c r="AA476" i="4"/>
  <c r="AA477" i="4"/>
  <c r="AA478" i="4"/>
  <c r="AA479" i="4"/>
  <c r="AA480" i="4"/>
  <c r="AA481" i="4"/>
  <c r="AA482" i="4"/>
  <c r="AA483" i="4"/>
  <c r="AA484" i="4"/>
  <c r="AA485" i="4"/>
  <c r="AA486" i="4"/>
  <c r="AA487" i="4"/>
  <c r="AA488" i="4"/>
  <c r="AA489" i="4"/>
  <c r="AA490" i="4"/>
  <c r="AA491" i="4"/>
  <c r="AA492" i="4"/>
  <c r="AA493" i="4"/>
  <c r="AA494" i="4"/>
  <c r="AA495" i="4"/>
  <c r="AA496" i="4"/>
  <c r="AA497" i="4"/>
  <c r="AA498" i="4"/>
  <c r="AA499" i="4"/>
  <c r="AA500" i="4"/>
  <c r="AA501" i="4"/>
  <c r="AA502" i="4"/>
  <c r="S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N104" i="4"/>
  <c r="N59" i="4"/>
  <c r="Y2" i="4"/>
  <c r="Y3" i="4"/>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1" i="4"/>
  <c r="Y42" i="4"/>
  <c r="Y43" i="4"/>
  <c r="Y44" i="4"/>
  <c r="Y45" i="4"/>
  <c r="Y46" i="4"/>
  <c r="Y47" i="4"/>
  <c r="Y48" i="4"/>
  <c r="Y49" i="4"/>
  <c r="Y50" i="4"/>
  <c r="Y51" i="4"/>
  <c r="Y52" i="4"/>
  <c r="Y53" i="4"/>
  <c r="Y54" i="4"/>
  <c r="Y55" i="4"/>
  <c r="Y56" i="4"/>
  <c r="Y57" i="4"/>
  <c r="Y58" i="4"/>
  <c r="Y59" i="4"/>
  <c r="Y60" i="4"/>
  <c r="Y61" i="4"/>
  <c r="Y62" i="4"/>
  <c r="Y63" i="4"/>
  <c r="Y64" i="4"/>
  <c r="Y65" i="4"/>
  <c r="Y66" i="4"/>
  <c r="Y67" i="4"/>
  <c r="Y68" i="4"/>
  <c r="Y69" i="4"/>
  <c r="Y70" i="4"/>
  <c r="Y71" i="4"/>
  <c r="Y72" i="4"/>
  <c r="Y73" i="4"/>
  <c r="Y74" i="4"/>
  <c r="Y75" i="4"/>
  <c r="Y76" i="4"/>
  <c r="Y77" i="4"/>
  <c r="Y78" i="4"/>
  <c r="Y79" i="4"/>
  <c r="Y80" i="4"/>
  <c r="Y81" i="4"/>
  <c r="Y82" i="4"/>
  <c r="Y83" i="4"/>
  <c r="Y84" i="4"/>
  <c r="Y85" i="4"/>
  <c r="Y86" i="4"/>
  <c r="Y87" i="4"/>
  <c r="Y88" i="4"/>
  <c r="Y89" i="4"/>
  <c r="Y90" i="4"/>
  <c r="Y91" i="4"/>
  <c r="Y92" i="4"/>
  <c r="Y93" i="4"/>
  <c r="Y94" i="4"/>
  <c r="Y95" i="4"/>
  <c r="Y96" i="4"/>
  <c r="Y97" i="4"/>
  <c r="Y98" i="4"/>
  <c r="Y99" i="4"/>
  <c r="Y100" i="4"/>
  <c r="Y101" i="4"/>
  <c r="Y102" i="4"/>
  <c r="Y103" i="4"/>
  <c r="Y104" i="4"/>
  <c r="Y105" i="4"/>
  <c r="Y106" i="4"/>
  <c r="Y107" i="4"/>
  <c r="Y108" i="4"/>
  <c r="Y109" i="4"/>
  <c r="Y110" i="4"/>
  <c r="Y111" i="4"/>
  <c r="Y112" i="4"/>
  <c r="Y113" i="4"/>
  <c r="Y114" i="4"/>
  <c r="Y115" i="4"/>
  <c r="Y116" i="4"/>
  <c r="Y117" i="4"/>
  <c r="Y118" i="4"/>
  <c r="Y119" i="4"/>
  <c r="Y120" i="4"/>
  <c r="Y121" i="4"/>
  <c r="Y122" i="4"/>
  <c r="Y123" i="4"/>
  <c r="Y124" i="4"/>
  <c r="Y125" i="4"/>
  <c r="Y126" i="4"/>
  <c r="Y127" i="4"/>
  <c r="Y128" i="4"/>
  <c r="Y129" i="4"/>
  <c r="Y130" i="4"/>
  <c r="Y131" i="4"/>
  <c r="Y132" i="4"/>
  <c r="Y133" i="4"/>
  <c r="Y134" i="4"/>
  <c r="Y135" i="4"/>
  <c r="Y136" i="4"/>
  <c r="Y137" i="4"/>
  <c r="Y138" i="4"/>
  <c r="Y139" i="4"/>
  <c r="Y140" i="4"/>
  <c r="Y141" i="4"/>
  <c r="Y142" i="4"/>
  <c r="Y143" i="4"/>
  <c r="Y144" i="4"/>
  <c r="Y145" i="4"/>
  <c r="Y146" i="4"/>
  <c r="Y147" i="4"/>
  <c r="Y148" i="4"/>
  <c r="Y149" i="4"/>
  <c r="Y150" i="4"/>
  <c r="Y151" i="4"/>
  <c r="Y152" i="4"/>
  <c r="Y153" i="4"/>
  <c r="Y154" i="4"/>
  <c r="Y155" i="4"/>
  <c r="Y156" i="4"/>
  <c r="Y157" i="4"/>
  <c r="Y158" i="4"/>
  <c r="Y159" i="4"/>
  <c r="Y160" i="4"/>
  <c r="Y161" i="4"/>
  <c r="Y162" i="4"/>
  <c r="Y163" i="4"/>
  <c r="Y164" i="4"/>
  <c r="Y165" i="4"/>
  <c r="Y166" i="4"/>
  <c r="Y167" i="4"/>
  <c r="Y168" i="4"/>
  <c r="Y169" i="4"/>
  <c r="Y170" i="4"/>
  <c r="Y171" i="4"/>
  <c r="Y172" i="4"/>
  <c r="Y173" i="4"/>
  <c r="Y174" i="4"/>
  <c r="Y175" i="4"/>
  <c r="Y176" i="4"/>
  <c r="Y177" i="4"/>
  <c r="Y178" i="4"/>
  <c r="Y179" i="4"/>
  <c r="Y180" i="4"/>
  <c r="Y181" i="4"/>
  <c r="Y182" i="4"/>
  <c r="Y183" i="4"/>
  <c r="Y184" i="4"/>
  <c r="Y185" i="4"/>
  <c r="Y186" i="4"/>
  <c r="Y187" i="4"/>
  <c r="Y188" i="4"/>
  <c r="Y189" i="4"/>
  <c r="Y190" i="4"/>
  <c r="Y191" i="4"/>
  <c r="Y192" i="4"/>
  <c r="Y193" i="4"/>
  <c r="Y194" i="4"/>
  <c r="Y195" i="4"/>
  <c r="Y196" i="4"/>
  <c r="Y197" i="4"/>
  <c r="Y198" i="4"/>
  <c r="Y199" i="4"/>
  <c r="Y200" i="4"/>
  <c r="Y201" i="4"/>
  <c r="Y202" i="4"/>
  <c r="Y203" i="4"/>
  <c r="Y204" i="4"/>
  <c r="Y205" i="4"/>
  <c r="Y206" i="4"/>
  <c r="Y207" i="4"/>
  <c r="Y208" i="4"/>
  <c r="Y209" i="4"/>
  <c r="Y210" i="4"/>
  <c r="Y211" i="4"/>
  <c r="Y212" i="4"/>
  <c r="Y213" i="4"/>
  <c r="Y214" i="4"/>
  <c r="Y215" i="4"/>
  <c r="Y216" i="4"/>
  <c r="Y217" i="4"/>
  <c r="Y218" i="4"/>
  <c r="Y219" i="4"/>
  <c r="Y220" i="4"/>
  <c r="Y221" i="4"/>
  <c r="Y222" i="4"/>
  <c r="Y223" i="4"/>
  <c r="Y224" i="4"/>
  <c r="Y225" i="4"/>
  <c r="Y226" i="4"/>
  <c r="Y227" i="4"/>
  <c r="Y228" i="4"/>
  <c r="Y229" i="4"/>
  <c r="Y230" i="4"/>
  <c r="Y231" i="4"/>
  <c r="Y232" i="4"/>
  <c r="Y233" i="4"/>
  <c r="Y234" i="4"/>
  <c r="Y235" i="4"/>
  <c r="Y236" i="4"/>
  <c r="Y237" i="4"/>
  <c r="Y238" i="4"/>
  <c r="Y239" i="4"/>
  <c r="Y240" i="4"/>
  <c r="Y241" i="4"/>
  <c r="Y242" i="4"/>
  <c r="Y243" i="4"/>
  <c r="Y244" i="4"/>
  <c r="Y245" i="4"/>
  <c r="Y246" i="4"/>
  <c r="Y247" i="4"/>
  <c r="Y248" i="4"/>
  <c r="Y249" i="4"/>
  <c r="Y250" i="4"/>
  <c r="Y251" i="4"/>
  <c r="Y252" i="4"/>
  <c r="Y253" i="4"/>
  <c r="Y254" i="4"/>
  <c r="Y255" i="4"/>
  <c r="Y256" i="4"/>
  <c r="Y257" i="4"/>
  <c r="Y258" i="4"/>
  <c r="Y259" i="4"/>
  <c r="Y260" i="4"/>
  <c r="Y261" i="4"/>
  <c r="Y262" i="4"/>
  <c r="Y263" i="4"/>
  <c r="Y264" i="4"/>
  <c r="Y265" i="4"/>
  <c r="Y266" i="4"/>
  <c r="Y267" i="4"/>
  <c r="Y268" i="4"/>
  <c r="Y269" i="4"/>
  <c r="Y270" i="4"/>
  <c r="Y271" i="4"/>
  <c r="Y272" i="4"/>
  <c r="Y273" i="4"/>
  <c r="Y274" i="4"/>
  <c r="Y275" i="4"/>
  <c r="Y276" i="4"/>
  <c r="Y277" i="4"/>
  <c r="Y278" i="4"/>
  <c r="Y279" i="4"/>
  <c r="Y280" i="4"/>
  <c r="Y281" i="4"/>
  <c r="Y282" i="4"/>
  <c r="Y283" i="4"/>
  <c r="Y284" i="4"/>
  <c r="Y285" i="4"/>
  <c r="Y286" i="4"/>
  <c r="Y287" i="4"/>
  <c r="Y288" i="4"/>
  <c r="Y289" i="4"/>
  <c r="Y290" i="4"/>
  <c r="Y291" i="4"/>
  <c r="Y292" i="4"/>
  <c r="Y293" i="4"/>
  <c r="Y294" i="4"/>
  <c r="Y295" i="4"/>
  <c r="Y296" i="4"/>
  <c r="Y297" i="4"/>
  <c r="Y298" i="4"/>
  <c r="Y299" i="4"/>
  <c r="Y300" i="4"/>
  <c r="Y301" i="4"/>
  <c r="Y302" i="4"/>
  <c r="Y303" i="4"/>
  <c r="Y304" i="4"/>
  <c r="Y305" i="4"/>
  <c r="Y306" i="4"/>
  <c r="Y307" i="4"/>
  <c r="Y308" i="4"/>
  <c r="Y309" i="4"/>
  <c r="Y310" i="4"/>
  <c r="Y311" i="4"/>
  <c r="Y312" i="4"/>
  <c r="Y313" i="4"/>
  <c r="Y314" i="4"/>
  <c r="Y315" i="4"/>
  <c r="Y316" i="4"/>
  <c r="Y317" i="4"/>
  <c r="Y318" i="4"/>
  <c r="Y319" i="4"/>
  <c r="Y320" i="4"/>
  <c r="Y321" i="4"/>
  <c r="Y322" i="4"/>
  <c r="Y323" i="4"/>
  <c r="Y324" i="4"/>
  <c r="Y325" i="4"/>
  <c r="Y326" i="4"/>
  <c r="Y327" i="4"/>
  <c r="Y328" i="4"/>
  <c r="Y329" i="4"/>
  <c r="Y330" i="4"/>
  <c r="Y331" i="4"/>
  <c r="Y332" i="4"/>
  <c r="Y333" i="4"/>
  <c r="Y334" i="4"/>
  <c r="Y335" i="4"/>
  <c r="Y336" i="4"/>
  <c r="Y337" i="4"/>
  <c r="Y338" i="4"/>
  <c r="Y339" i="4"/>
  <c r="Y340" i="4"/>
  <c r="Y341" i="4"/>
  <c r="Y342" i="4"/>
  <c r="Y343" i="4"/>
  <c r="Y344" i="4"/>
  <c r="Y345" i="4"/>
  <c r="Y346" i="4"/>
  <c r="Y347" i="4"/>
  <c r="Y348" i="4"/>
  <c r="Y349" i="4"/>
  <c r="Y350" i="4"/>
  <c r="Y351" i="4"/>
  <c r="Y352" i="4"/>
  <c r="Y353" i="4"/>
  <c r="Y354" i="4"/>
  <c r="Y355" i="4"/>
  <c r="Y356" i="4"/>
  <c r="Y357" i="4"/>
  <c r="Y358" i="4"/>
  <c r="Y359" i="4"/>
  <c r="Y360" i="4"/>
  <c r="Y361" i="4"/>
  <c r="Y362" i="4"/>
  <c r="Y363" i="4"/>
  <c r="Y364" i="4"/>
  <c r="Y365" i="4"/>
  <c r="Y366" i="4"/>
  <c r="Y367" i="4"/>
  <c r="Y368" i="4"/>
  <c r="Y369" i="4"/>
  <c r="Y370" i="4"/>
  <c r="Y371" i="4"/>
  <c r="Y372" i="4"/>
  <c r="Y373" i="4"/>
  <c r="Y374" i="4"/>
  <c r="Y375" i="4"/>
  <c r="Y376" i="4"/>
  <c r="Y377" i="4"/>
  <c r="Y378" i="4"/>
  <c r="Y379" i="4"/>
  <c r="Y380" i="4"/>
  <c r="Y381" i="4"/>
  <c r="Y382" i="4"/>
  <c r="Y383" i="4"/>
  <c r="Y384" i="4"/>
  <c r="Y385" i="4"/>
  <c r="Y386" i="4"/>
  <c r="Y387" i="4"/>
  <c r="Y388" i="4"/>
  <c r="Y389" i="4"/>
  <c r="Y390" i="4"/>
  <c r="Y391" i="4"/>
  <c r="Y392" i="4"/>
  <c r="Y393" i="4"/>
  <c r="Y394" i="4"/>
  <c r="Y395" i="4"/>
  <c r="Y396" i="4"/>
  <c r="Y397" i="4"/>
  <c r="Y398" i="4"/>
  <c r="Y399" i="4"/>
  <c r="Y400" i="4"/>
  <c r="Y401" i="4"/>
  <c r="Y402" i="4"/>
  <c r="Y403" i="4"/>
  <c r="Y404" i="4"/>
  <c r="Y405" i="4"/>
  <c r="Y406" i="4"/>
  <c r="Y407" i="4"/>
  <c r="Y408" i="4"/>
  <c r="Y409" i="4"/>
  <c r="Y410" i="4"/>
  <c r="Y411" i="4"/>
  <c r="Y412" i="4"/>
  <c r="Y413" i="4"/>
  <c r="Y414" i="4"/>
  <c r="Y415" i="4"/>
  <c r="Y416" i="4"/>
  <c r="Y417" i="4"/>
  <c r="Y418" i="4"/>
  <c r="Y419" i="4"/>
  <c r="Y420" i="4"/>
  <c r="Y421" i="4"/>
  <c r="Y422" i="4"/>
  <c r="Y423" i="4"/>
  <c r="Y424" i="4"/>
  <c r="Y425" i="4"/>
  <c r="Y426" i="4"/>
  <c r="Y427" i="4"/>
  <c r="Y428" i="4"/>
  <c r="Y429" i="4"/>
  <c r="Y430" i="4"/>
  <c r="Y431" i="4"/>
  <c r="Y432" i="4"/>
  <c r="Y433" i="4"/>
  <c r="Y434" i="4"/>
  <c r="Y435" i="4"/>
  <c r="Y436" i="4"/>
  <c r="Y437" i="4"/>
  <c r="Y438" i="4"/>
  <c r="Y439" i="4"/>
  <c r="Y440" i="4"/>
  <c r="Y441" i="4"/>
  <c r="Y442" i="4"/>
  <c r="Y443" i="4"/>
  <c r="Y444" i="4"/>
  <c r="Y445" i="4"/>
  <c r="Y446" i="4"/>
  <c r="Y447" i="4"/>
  <c r="Y448" i="4"/>
  <c r="Y449" i="4"/>
  <c r="Y450" i="4"/>
  <c r="Y451" i="4"/>
  <c r="Y452" i="4"/>
  <c r="Y453" i="4"/>
  <c r="Y454" i="4"/>
  <c r="Y455" i="4"/>
  <c r="Y456" i="4"/>
  <c r="Y457" i="4"/>
  <c r="Y458" i="4"/>
  <c r="Y459" i="4"/>
  <c r="Y460" i="4"/>
  <c r="Y461" i="4"/>
  <c r="Y462" i="4"/>
  <c r="Y463" i="4"/>
  <c r="Y464" i="4"/>
  <c r="Y465" i="4"/>
  <c r="Y466" i="4"/>
  <c r="Y467" i="4"/>
  <c r="Y468" i="4"/>
  <c r="Y469" i="4"/>
  <c r="Y470" i="4"/>
  <c r="Y471" i="4"/>
  <c r="Y472" i="4"/>
  <c r="Y473" i="4"/>
  <c r="Y474" i="4"/>
  <c r="Y475" i="4"/>
  <c r="Y476" i="4"/>
  <c r="Y477" i="4"/>
  <c r="Y478" i="4"/>
  <c r="Y479" i="4"/>
  <c r="Y480" i="4"/>
  <c r="Y481" i="4"/>
  <c r="Y482" i="4"/>
  <c r="Y483" i="4"/>
  <c r="Y484" i="4"/>
  <c r="Y485" i="4"/>
  <c r="Y486" i="4"/>
  <c r="Y487" i="4"/>
  <c r="Y488" i="4"/>
  <c r="Y489" i="4"/>
  <c r="Y490" i="4"/>
  <c r="Y491" i="4"/>
  <c r="Y492" i="4"/>
  <c r="Y493" i="4"/>
  <c r="Y494" i="4"/>
  <c r="Y495" i="4"/>
  <c r="Y496" i="4"/>
  <c r="Y497" i="4"/>
  <c r="Y498" i="4"/>
  <c r="Y499" i="4"/>
  <c r="Y500" i="4"/>
  <c r="Y501" i="4"/>
  <c r="Y502" i="4"/>
  <c r="AI2" i="4"/>
  <c r="AI3" i="4"/>
  <c r="AI4" i="4"/>
  <c r="AI5" i="4"/>
  <c r="AI6" i="4"/>
  <c r="AI7" i="4"/>
  <c r="AI8" i="4"/>
  <c r="AI9" i="4"/>
  <c r="AI10" i="4"/>
  <c r="AI11" i="4"/>
  <c r="AI12" i="4"/>
  <c r="AI13" i="4"/>
  <c r="AI14" i="4"/>
  <c r="AI15" i="4"/>
  <c r="AI16" i="4"/>
  <c r="AI17" i="4"/>
  <c r="AI18" i="4"/>
  <c r="AI19" i="4"/>
  <c r="AI20" i="4"/>
  <c r="AI21" i="4"/>
  <c r="AI22" i="4"/>
  <c r="AI23" i="4"/>
  <c r="AI24" i="4"/>
  <c r="AI25" i="4"/>
  <c r="AI26" i="4"/>
  <c r="AI27" i="4"/>
  <c r="AI28" i="4"/>
  <c r="AI29" i="4"/>
  <c r="AI30" i="4"/>
  <c r="AI31" i="4"/>
  <c r="AI32" i="4"/>
  <c r="AI33" i="4"/>
  <c r="AI34" i="4"/>
  <c r="AI35" i="4"/>
  <c r="AI36" i="4"/>
  <c r="AI37" i="4"/>
  <c r="AI38" i="4"/>
  <c r="AI39" i="4"/>
  <c r="AI40" i="4"/>
  <c r="AI41" i="4"/>
  <c r="AI42" i="4"/>
  <c r="AI43" i="4"/>
  <c r="AI44" i="4"/>
  <c r="AI45" i="4"/>
  <c r="AI46" i="4"/>
  <c r="AI47" i="4"/>
  <c r="AI48" i="4"/>
  <c r="AI49" i="4"/>
  <c r="AI50" i="4"/>
  <c r="AI51" i="4"/>
  <c r="AI52" i="4"/>
  <c r="AI53" i="4"/>
  <c r="AI54" i="4"/>
  <c r="AI55" i="4"/>
  <c r="AI56" i="4"/>
  <c r="AI57" i="4"/>
  <c r="AI58" i="4"/>
  <c r="AI59" i="4"/>
  <c r="AI60" i="4"/>
  <c r="AI61" i="4"/>
  <c r="AI62" i="4"/>
  <c r="AI63" i="4"/>
  <c r="AI64" i="4"/>
  <c r="AI65" i="4"/>
  <c r="AI66" i="4"/>
  <c r="AI67" i="4"/>
  <c r="AI68" i="4"/>
  <c r="AI69" i="4"/>
  <c r="AI70" i="4"/>
  <c r="AI71" i="4"/>
  <c r="AI72" i="4"/>
  <c r="AI73" i="4"/>
  <c r="AI74" i="4"/>
  <c r="AI75" i="4"/>
  <c r="AI76" i="4"/>
  <c r="AI77" i="4"/>
  <c r="AI78" i="4"/>
  <c r="AI79" i="4"/>
  <c r="AI80" i="4"/>
  <c r="AI81" i="4"/>
  <c r="AI82" i="4"/>
  <c r="AI83" i="4"/>
  <c r="AI84" i="4"/>
  <c r="AI85" i="4"/>
  <c r="AI86" i="4"/>
  <c r="AI87" i="4"/>
  <c r="AI88" i="4"/>
  <c r="AI89" i="4"/>
  <c r="AI90" i="4"/>
  <c r="AI91" i="4"/>
  <c r="AI92" i="4"/>
  <c r="AI93" i="4"/>
  <c r="AI94" i="4"/>
  <c r="AI95" i="4"/>
  <c r="AI96" i="4"/>
  <c r="AI97" i="4"/>
  <c r="AI98" i="4"/>
  <c r="AI99" i="4"/>
  <c r="AI100" i="4"/>
  <c r="AI101" i="4"/>
  <c r="AI102" i="4"/>
  <c r="AI103" i="4"/>
  <c r="AI104" i="4"/>
  <c r="AI105" i="4"/>
  <c r="AI106" i="4"/>
  <c r="AI107" i="4"/>
  <c r="AI108" i="4"/>
  <c r="AI109" i="4"/>
  <c r="AI110" i="4"/>
  <c r="AI111" i="4"/>
  <c r="AI112" i="4"/>
  <c r="AI113" i="4"/>
  <c r="AI114" i="4"/>
  <c r="AI115" i="4"/>
  <c r="AI116" i="4"/>
  <c r="AI117" i="4"/>
  <c r="AI118" i="4"/>
  <c r="AI119" i="4"/>
  <c r="AI120" i="4"/>
  <c r="AI121" i="4"/>
  <c r="AI122" i="4"/>
  <c r="AI123" i="4"/>
  <c r="AI124" i="4"/>
  <c r="AI125" i="4"/>
  <c r="AI126" i="4"/>
  <c r="AI127" i="4"/>
  <c r="AI128" i="4"/>
  <c r="AI129" i="4"/>
  <c r="AI130" i="4"/>
  <c r="AI131" i="4"/>
  <c r="AI132" i="4"/>
  <c r="AI133" i="4"/>
  <c r="AI134" i="4"/>
  <c r="AI135" i="4"/>
  <c r="AI136" i="4"/>
  <c r="AI137" i="4"/>
  <c r="AI138" i="4"/>
  <c r="AI139" i="4"/>
  <c r="AI140" i="4"/>
  <c r="AI141" i="4"/>
  <c r="AI142" i="4"/>
  <c r="AI143" i="4"/>
  <c r="AI144" i="4"/>
  <c r="AI145" i="4"/>
  <c r="AI146" i="4"/>
  <c r="AI147" i="4"/>
  <c r="AI148" i="4"/>
  <c r="AI149" i="4"/>
  <c r="AI150" i="4"/>
  <c r="AI151" i="4"/>
  <c r="AI152" i="4"/>
  <c r="AI153" i="4"/>
  <c r="AI154" i="4"/>
  <c r="AI155" i="4"/>
  <c r="AI156" i="4"/>
  <c r="AI157" i="4"/>
  <c r="AI158" i="4"/>
  <c r="AI159" i="4"/>
  <c r="AI160" i="4"/>
  <c r="AI161" i="4"/>
  <c r="AI162" i="4"/>
  <c r="AI163" i="4"/>
  <c r="AI164" i="4"/>
  <c r="AI165" i="4"/>
  <c r="AI166" i="4"/>
  <c r="AI167" i="4"/>
  <c r="AI168" i="4"/>
  <c r="AI169" i="4"/>
  <c r="AI170" i="4"/>
  <c r="AI171" i="4"/>
  <c r="AI172" i="4"/>
  <c r="AI173" i="4"/>
  <c r="AI174" i="4"/>
  <c r="AI175" i="4"/>
  <c r="AI176" i="4"/>
  <c r="AI177" i="4"/>
  <c r="AI178" i="4"/>
  <c r="AI179" i="4"/>
  <c r="AI180" i="4"/>
  <c r="AI181" i="4"/>
  <c r="AI182" i="4"/>
  <c r="AI183" i="4"/>
  <c r="AI184" i="4"/>
  <c r="AI185" i="4"/>
  <c r="AI186" i="4"/>
  <c r="AI187" i="4"/>
  <c r="AI188" i="4"/>
  <c r="AI189" i="4"/>
  <c r="AI190" i="4"/>
  <c r="AI191" i="4"/>
  <c r="AI192" i="4"/>
  <c r="AI193" i="4"/>
  <c r="AI194" i="4"/>
  <c r="AI195" i="4"/>
  <c r="AI196" i="4"/>
  <c r="AI197" i="4"/>
  <c r="AI198" i="4"/>
  <c r="AI199" i="4"/>
  <c r="AI200" i="4"/>
  <c r="AI201" i="4"/>
  <c r="AI202" i="4"/>
  <c r="AI203" i="4"/>
  <c r="AI204" i="4"/>
  <c r="AI205" i="4"/>
  <c r="AI206" i="4"/>
  <c r="AI207" i="4"/>
  <c r="AI208" i="4"/>
  <c r="AI209" i="4"/>
  <c r="AI210" i="4"/>
  <c r="AI211" i="4"/>
  <c r="AI212" i="4"/>
  <c r="AI213" i="4"/>
  <c r="AI214" i="4"/>
  <c r="AI215" i="4"/>
  <c r="AI216" i="4"/>
  <c r="AI217" i="4"/>
  <c r="AI218" i="4"/>
  <c r="AI219" i="4"/>
  <c r="AI220" i="4"/>
  <c r="AI221" i="4"/>
  <c r="AI222" i="4"/>
  <c r="AI223" i="4"/>
  <c r="AI224" i="4"/>
  <c r="AI225" i="4"/>
  <c r="AI226" i="4"/>
  <c r="AI227" i="4"/>
  <c r="AI228" i="4"/>
  <c r="AI229" i="4"/>
  <c r="AI230" i="4"/>
  <c r="AI231" i="4"/>
  <c r="AI232" i="4"/>
  <c r="AI233" i="4"/>
  <c r="AI234" i="4"/>
  <c r="AI235" i="4"/>
  <c r="AI236" i="4"/>
  <c r="AI237" i="4"/>
  <c r="AI238" i="4"/>
  <c r="AI239" i="4"/>
  <c r="AI240" i="4"/>
  <c r="AI241" i="4"/>
  <c r="AI242" i="4"/>
  <c r="AI243" i="4"/>
  <c r="AI244" i="4"/>
  <c r="AI245" i="4"/>
  <c r="AI246" i="4"/>
  <c r="AI247" i="4"/>
  <c r="AI248" i="4"/>
  <c r="AI249" i="4"/>
  <c r="AI250" i="4"/>
  <c r="AI251" i="4"/>
  <c r="AI252" i="4"/>
  <c r="AI253" i="4"/>
  <c r="AI254" i="4"/>
  <c r="AI255" i="4"/>
  <c r="AI256" i="4"/>
  <c r="AI257" i="4"/>
  <c r="AI258" i="4"/>
  <c r="AI259" i="4"/>
  <c r="AI260" i="4"/>
  <c r="AI261" i="4"/>
  <c r="AI262" i="4"/>
  <c r="AI263" i="4"/>
  <c r="AI264" i="4"/>
  <c r="AI265" i="4"/>
  <c r="AI266" i="4"/>
  <c r="AI267" i="4"/>
  <c r="AI268" i="4"/>
  <c r="AI269" i="4"/>
  <c r="AI270" i="4"/>
  <c r="AI271" i="4"/>
  <c r="AI272" i="4"/>
  <c r="AI273" i="4"/>
  <c r="AI274" i="4"/>
  <c r="AI275" i="4"/>
  <c r="AI276" i="4"/>
  <c r="AI277" i="4"/>
  <c r="AI278" i="4"/>
  <c r="AI279" i="4"/>
  <c r="AI280" i="4"/>
  <c r="AI281" i="4"/>
  <c r="AI282" i="4"/>
  <c r="AI283" i="4"/>
  <c r="AI284" i="4"/>
  <c r="AI285" i="4"/>
  <c r="AI286" i="4"/>
  <c r="AI287" i="4"/>
  <c r="AI288" i="4"/>
  <c r="AI289" i="4"/>
  <c r="AI290" i="4"/>
  <c r="AI291" i="4"/>
  <c r="AI292" i="4"/>
  <c r="AI293" i="4"/>
  <c r="AI294" i="4"/>
  <c r="AI295" i="4"/>
  <c r="AI296" i="4"/>
  <c r="AI297" i="4"/>
  <c r="AI298" i="4"/>
  <c r="AI299" i="4"/>
  <c r="AI300" i="4"/>
  <c r="AI301" i="4"/>
  <c r="AI302" i="4"/>
  <c r="AI303" i="4"/>
  <c r="AI304" i="4"/>
  <c r="AI305" i="4"/>
  <c r="AI306" i="4"/>
  <c r="AI307" i="4"/>
  <c r="AI308" i="4"/>
  <c r="AI309" i="4"/>
  <c r="AI310" i="4"/>
  <c r="AI311" i="4"/>
  <c r="AI312" i="4"/>
  <c r="AI313" i="4"/>
  <c r="AI314" i="4"/>
  <c r="AI315" i="4"/>
  <c r="AI316" i="4"/>
  <c r="AI317" i="4"/>
  <c r="AI318" i="4"/>
  <c r="AI319" i="4"/>
  <c r="AI320" i="4"/>
  <c r="AI321" i="4"/>
  <c r="AI322" i="4"/>
  <c r="AI323" i="4"/>
  <c r="AI324" i="4"/>
  <c r="AI325" i="4"/>
  <c r="AI326" i="4"/>
  <c r="AI327" i="4"/>
  <c r="AI328" i="4"/>
  <c r="AI329" i="4"/>
  <c r="AI330" i="4"/>
  <c r="AI331" i="4"/>
  <c r="AI332" i="4"/>
  <c r="AI333" i="4"/>
  <c r="AI334" i="4"/>
  <c r="AI335" i="4"/>
  <c r="AI336" i="4"/>
  <c r="AI337" i="4"/>
  <c r="AI338" i="4"/>
  <c r="AI339" i="4"/>
  <c r="AI340" i="4"/>
  <c r="AI341" i="4"/>
  <c r="AI342" i="4"/>
  <c r="AI343" i="4"/>
  <c r="AI344" i="4"/>
  <c r="AI345" i="4"/>
  <c r="AI346" i="4"/>
  <c r="AI347" i="4"/>
  <c r="AI348" i="4"/>
  <c r="AI349" i="4"/>
  <c r="AI350" i="4"/>
  <c r="AI351" i="4"/>
  <c r="AI352" i="4"/>
  <c r="AI353" i="4"/>
  <c r="AI354" i="4"/>
  <c r="AI355" i="4"/>
  <c r="AI356" i="4"/>
  <c r="AI357" i="4"/>
  <c r="AI358" i="4"/>
  <c r="AI359" i="4"/>
  <c r="AI360" i="4"/>
  <c r="AI361" i="4"/>
  <c r="AI362" i="4"/>
  <c r="AI363" i="4"/>
  <c r="AI364" i="4"/>
  <c r="AI365" i="4"/>
  <c r="AI366" i="4"/>
  <c r="AI367" i="4"/>
  <c r="AI368" i="4"/>
  <c r="AI369" i="4"/>
  <c r="AI370" i="4"/>
  <c r="AI371" i="4"/>
  <c r="AI372" i="4"/>
  <c r="AI373" i="4"/>
  <c r="AI374" i="4"/>
  <c r="AI375" i="4"/>
  <c r="AI376" i="4"/>
  <c r="AI377" i="4"/>
  <c r="AI378" i="4"/>
  <c r="AI379" i="4"/>
  <c r="AI380" i="4"/>
  <c r="AI381" i="4"/>
  <c r="AI382" i="4"/>
  <c r="AI383" i="4"/>
  <c r="AI384" i="4"/>
  <c r="AI385" i="4"/>
  <c r="AI386" i="4"/>
  <c r="AI387" i="4"/>
  <c r="AI388" i="4"/>
  <c r="AI389" i="4"/>
  <c r="AI390" i="4"/>
  <c r="AI391" i="4"/>
  <c r="AI392" i="4"/>
  <c r="AI393" i="4"/>
  <c r="AI394" i="4"/>
  <c r="AI395" i="4"/>
  <c r="AI396" i="4"/>
  <c r="AI397" i="4"/>
  <c r="AI398" i="4"/>
  <c r="AI399" i="4"/>
  <c r="AI400" i="4"/>
  <c r="AI401" i="4"/>
  <c r="AI402" i="4"/>
  <c r="AI403" i="4"/>
  <c r="AI404" i="4"/>
  <c r="AI405" i="4"/>
  <c r="AI406" i="4"/>
  <c r="AI407" i="4"/>
  <c r="AI408" i="4"/>
  <c r="AI409" i="4"/>
  <c r="AI410" i="4"/>
  <c r="AI411" i="4"/>
  <c r="AI412" i="4"/>
  <c r="AI413" i="4"/>
  <c r="AI414" i="4"/>
  <c r="AI415" i="4"/>
  <c r="AI416" i="4"/>
  <c r="AI417" i="4"/>
  <c r="AI418" i="4"/>
  <c r="AI419" i="4"/>
  <c r="AI420" i="4"/>
  <c r="AI421" i="4"/>
  <c r="AI422" i="4"/>
  <c r="AI423" i="4"/>
  <c r="AI424" i="4"/>
  <c r="AI425" i="4"/>
  <c r="AI426" i="4"/>
  <c r="AI427" i="4"/>
  <c r="AI428" i="4"/>
  <c r="AI429" i="4"/>
  <c r="AI430" i="4"/>
  <c r="AI431" i="4"/>
  <c r="AI432" i="4"/>
  <c r="AI433" i="4"/>
  <c r="AI434" i="4"/>
  <c r="AI435" i="4"/>
  <c r="AI436" i="4"/>
  <c r="AI437" i="4"/>
  <c r="AI438" i="4"/>
  <c r="AI439" i="4"/>
  <c r="AI440" i="4"/>
  <c r="AI441" i="4"/>
  <c r="AI442" i="4"/>
  <c r="AI443" i="4"/>
  <c r="AI444" i="4"/>
  <c r="AI445" i="4"/>
  <c r="AI446" i="4"/>
  <c r="AI447" i="4"/>
  <c r="AI448" i="4"/>
  <c r="AI449" i="4"/>
  <c r="AI450" i="4"/>
  <c r="AI451" i="4"/>
  <c r="AI452" i="4"/>
  <c r="AI453" i="4"/>
  <c r="AI454" i="4"/>
  <c r="AI455" i="4"/>
  <c r="AI456" i="4"/>
  <c r="AI457" i="4"/>
  <c r="AI458" i="4"/>
  <c r="AI459" i="4"/>
  <c r="AI460" i="4"/>
  <c r="AI461" i="4"/>
  <c r="AI462" i="4"/>
  <c r="AI463" i="4"/>
  <c r="AI464" i="4"/>
  <c r="AI465" i="4"/>
  <c r="AI466" i="4"/>
  <c r="AI467" i="4"/>
  <c r="AI468" i="4"/>
  <c r="AI469" i="4"/>
  <c r="AI470" i="4"/>
  <c r="AI471" i="4"/>
  <c r="AI472" i="4"/>
  <c r="AI473" i="4"/>
  <c r="AI474" i="4"/>
  <c r="AI475" i="4"/>
  <c r="AI476" i="4"/>
  <c r="AI477" i="4"/>
  <c r="AI478" i="4"/>
  <c r="AI479" i="4"/>
  <c r="AI480" i="4"/>
  <c r="AI481" i="4"/>
  <c r="AI482" i="4"/>
  <c r="AI483" i="4"/>
  <c r="AI484" i="4"/>
  <c r="AI485" i="4"/>
  <c r="AI486" i="4"/>
  <c r="AI487" i="4"/>
  <c r="AI488" i="4"/>
  <c r="AI489" i="4"/>
  <c r="AI490" i="4"/>
  <c r="AI491" i="4"/>
  <c r="AI492" i="4"/>
  <c r="AI493" i="4"/>
  <c r="AI494" i="4"/>
  <c r="AI495" i="4"/>
  <c r="AI496" i="4"/>
  <c r="AI497" i="4"/>
  <c r="AI498" i="4"/>
  <c r="AI499" i="4"/>
  <c r="AI500" i="4"/>
  <c r="AI501" i="4"/>
  <c r="AI502" i="4"/>
  <c r="AH2" i="4"/>
  <c r="AH3" i="4"/>
  <c r="AH4" i="4"/>
  <c r="AH5" i="4"/>
  <c r="AH6" i="4"/>
  <c r="AH7" i="4"/>
  <c r="AH8" i="4"/>
  <c r="AH9" i="4"/>
  <c r="AH10" i="4"/>
  <c r="AH11" i="4"/>
  <c r="AH12" i="4"/>
  <c r="AH13" i="4"/>
  <c r="AH14" i="4"/>
  <c r="AH15" i="4"/>
  <c r="AH16" i="4"/>
  <c r="AH17" i="4"/>
  <c r="AH18" i="4"/>
  <c r="AH19" i="4"/>
  <c r="AH20" i="4"/>
  <c r="AH21" i="4"/>
  <c r="AH22" i="4"/>
  <c r="AH23" i="4"/>
  <c r="AH24" i="4"/>
  <c r="AH25" i="4"/>
  <c r="AH26" i="4"/>
  <c r="AH27" i="4"/>
  <c r="AH28" i="4"/>
  <c r="AH29" i="4"/>
  <c r="AH30" i="4"/>
  <c r="AH31" i="4"/>
  <c r="AH32" i="4"/>
  <c r="AH33" i="4"/>
  <c r="AH34" i="4"/>
  <c r="AH35" i="4"/>
  <c r="AH36" i="4"/>
  <c r="AH37" i="4"/>
  <c r="AH38" i="4"/>
  <c r="AH39" i="4"/>
  <c r="AH40" i="4"/>
  <c r="AH41" i="4"/>
  <c r="AH42" i="4"/>
  <c r="AH43" i="4"/>
  <c r="AH44" i="4"/>
  <c r="AH45" i="4"/>
  <c r="AH46" i="4"/>
  <c r="AH47" i="4"/>
  <c r="AH48" i="4"/>
  <c r="AH49" i="4"/>
  <c r="AH50" i="4"/>
  <c r="AH51" i="4"/>
  <c r="AH52" i="4"/>
  <c r="AH53" i="4"/>
  <c r="AH54" i="4"/>
  <c r="AH55" i="4"/>
  <c r="AH56" i="4"/>
  <c r="AH57" i="4"/>
  <c r="AH58" i="4"/>
  <c r="AH59" i="4"/>
  <c r="AH60" i="4"/>
  <c r="AH61" i="4"/>
  <c r="AH62" i="4"/>
  <c r="AH63" i="4"/>
  <c r="AH64" i="4"/>
  <c r="AH65" i="4"/>
  <c r="AH66" i="4"/>
  <c r="AH67" i="4"/>
  <c r="AH68" i="4"/>
  <c r="AH69" i="4"/>
  <c r="AH70" i="4"/>
  <c r="AH71" i="4"/>
  <c r="AH72" i="4"/>
  <c r="AH73" i="4"/>
  <c r="AH74" i="4"/>
  <c r="AH75" i="4"/>
  <c r="AH76" i="4"/>
  <c r="AH77" i="4"/>
  <c r="AH78" i="4"/>
  <c r="AH79" i="4"/>
  <c r="AH80" i="4"/>
  <c r="AH81" i="4"/>
  <c r="AH82" i="4"/>
  <c r="AH83" i="4"/>
  <c r="AH84" i="4"/>
  <c r="AH85" i="4"/>
  <c r="AH86" i="4"/>
  <c r="AH87" i="4"/>
  <c r="AH88" i="4"/>
  <c r="AH89" i="4"/>
  <c r="AH90" i="4"/>
  <c r="AH91" i="4"/>
  <c r="AH92" i="4"/>
  <c r="AH93" i="4"/>
  <c r="AH94" i="4"/>
  <c r="AH95" i="4"/>
  <c r="AH96" i="4"/>
  <c r="AH97" i="4"/>
  <c r="AH98" i="4"/>
  <c r="AH99" i="4"/>
  <c r="AH100" i="4"/>
  <c r="AH101" i="4"/>
  <c r="AH102" i="4"/>
  <c r="AH103" i="4"/>
  <c r="AH104" i="4"/>
  <c r="AH105" i="4"/>
  <c r="AH106" i="4"/>
  <c r="AH107" i="4"/>
  <c r="AH108" i="4"/>
  <c r="AH109" i="4"/>
  <c r="AH110" i="4"/>
  <c r="AH111" i="4"/>
  <c r="AH112" i="4"/>
  <c r="AH113" i="4"/>
  <c r="AH114" i="4"/>
  <c r="AH115" i="4"/>
  <c r="AH116" i="4"/>
  <c r="AH117" i="4"/>
  <c r="AH118" i="4"/>
  <c r="AH119" i="4"/>
  <c r="AH120" i="4"/>
  <c r="AH121" i="4"/>
  <c r="AH122" i="4"/>
  <c r="AH123" i="4"/>
  <c r="AH124" i="4"/>
  <c r="AH125" i="4"/>
  <c r="AH126" i="4"/>
  <c r="AH127" i="4"/>
  <c r="AH128" i="4"/>
  <c r="AH129" i="4"/>
  <c r="AH130" i="4"/>
  <c r="AH131" i="4"/>
  <c r="AH132" i="4"/>
  <c r="AH133" i="4"/>
  <c r="AH134" i="4"/>
  <c r="AH135" i="4"/>
  <c r="AH136" i="4"/>
  <c r="AH137" i="4"/>
  <c r="AH138" i="4"/>
  <c r="AH139" i="4"/>
  <c r="AH140" i="4"/>
  <c r="AH141" i="4"/>
  <c r="AH142" i="4"/>
  <c r="AH143" i="4"/>
  <c r="AH144" i="4"/>
  <c r="AH145" i="4"/>
  <c r="AH146" i="4"/>
  <c r="AH147" i="4"/>
  <c r="AH148" i="4"/>
  <c r="AH149" i="4"/>
  <c r="AH150" i="4"/>
  <c r="AH151" i="4"/>
  <c r="AH152" i="4"/>
  <c r="AH153" i="4"/>
  <c r="AH154" i="4"/>
  <c r="AH155" i="4"/>
  <c r="AH156" i="4"/>
  <c r="AH157" i="4"/>
  <c r="AH158" i="4"/>
  <c r="AH159" i="4"/>
  <c r="AH160" i="4"/>
  <c r="AH161" i="4"/>
  <c r="AH162" i="4"/>
  <c r="AH163" i="4"/>
  <c r="AH164" i="4"/>
  <c r="AH165" i="4"/>
  <c r="AH166" i="4"/>
  <c r="AH167" i="4"/>
  <c r="AH168" i="4"/>
  <c r="AH169" i="4"/>
  <c r="AH170" i="4"/>
  <c r="AH171" i="4"/>
  <c r="AH172" i="4"/>
  <c r="AH173" i="4"/>
  <c r="AH174" i="4"/>
  <c r="AH175" i="4"/>
  <c r="AH176" i="4"/>
  <c r="AH177" i="4"/>
  <c r="AH178" i="4"/>
  <c r="AH179" i="4"/>
  <c r="AH180" i="4"/>
  <c r="AH181" i="4"/>
  <c r="AH182" i="4"/>
  <c r="AH183" i="4"/>
  <c r="AH184" i="4"/>
  <c r="AH185" i="4"/>
  <c r="AH186" i="4"/>
  <c r="AH187" i="4"/>
  <c r="AH188" i="4"/>
  <c r="AH189" i="4"/>
  <c r="AH190" i="4"/>
  <c r="AH191" i="4"/>
  <c r="AH192" i="4"/>
  <c r="AH193" i="4"/>
  <c r="AH194" i="4"/>
  <c r="AH195" i="4"/>
  <c r="AH196" i="4"/>
  <c r="AH197" i="4"/>
  <c r="AH198" i="4"/>
  <c r="AH199" i="4"/>
  <c r="AH200" i="4"/>
  <c r="AH201" i="4"/>
  <c r="AH202" i="4"/>
  <c r="AH203" i="4"/>
  <c r="AH204" i="4"/>
  <c r="AH205" i="4"/>
  <c r="AH206" i="4"/>
  <c r="AH207" i="4"/>
  <c r="AH208" i="4"/>
  <c r="AH209" i="4"/>
  <c r="AH210" i="4"/>
  <c r="AH211" i="4"/>
  <c r="AH212" i="4"/>
  <c r="AH213" i="4"/>
  <c r="AH214" i="4"/>
  <c r="AH215" i="4"/>
  <c r="AH216" i="4"/>
  <c r="AH217" i="4"/>
  <c r="AH218" i="4"/>
  <c r="AH219" i="4"/>
  <c r="AH220" i="4"/>
  <c r="AH221" i="4"/>
  <c r="AH222" i="4"/>
  <c r="AH223" i="4"/>
  <c r="AH224" i="4"/>
  <c r="AH225" i="4"/>
  <c r="AH226" i="4"/>
  <c r="AH227" i="4"/>
  <c r="AH228" i="4"/>
  <c r="AH229" i="4"/>
  <c r="AH230" i="4"/>
  <c r="AH231" i="4"/>
  <c r="AH232" i="4"/>
  <c r="AH233" i="4"/>
  <c r="AH234" i="4"/>
  <c r="AH235" i="4"/>
  <c r="AH236" i="4"/>
  <c r="AH237" i="4"/>
  <c r="AH238" i="4"/>
  <c r="AH239" i="4"/>
  <c r="AH240" i="4"/>
  <c r="AH241" i="4"/>
  <c r="AH242" i="4"/>
  <c r="AH243" i="4"/>
  <c r="AH244" i="4"/>
  <c r="AH245" i="4"/>
  <c r="AH246" i="4"/>
  <c r="AH247" i="4"/>
  <c r="AH248" i="4"/>
  <c r="AH249" i="4"/>
  <c r="AH250" i="4"/>
  <c r="AH251" i="4"/>
  <c r="AH252" i="4"/>
  <c r="AH253" i="4"/>
  <c r="AH254" i="4"/>
  <c r="AH255" i="4"/>
  <c r="AH256" i="4"/>
  <c r="AH257" i="4"/>
  <c r="AH258" i="4"/>
  <c r="AH259" i="4"/>
  <c r="AH260" i="4"/>
  <c r="AH261" i="4"/>
  <c r="AH262" i="4"/>
  <c r="AH263" i="4"/>
  <c r="AH264" i="4"/>
  <c r="AH265" i="4"/>
  <c r="AH266" i="4"/>
  <c r="AH267" i="4"/>
  <c r="AH268" i="4"/>
  <c r="AH269" i="4"/>
  <c r="AH270" i="4"/>
  <c r="AH271" i="4"/>
  <c r="AH272" i="4"/>
  <c r="AH273" i="4"/>
  <c r="AH274" i="4"/>
  <c r="AH275" i="4"/>
  <c r="AH276" i="4"/>
  <c r="AH277" i="4"/>
  <c r="AH278" i="4"/>
  <c r="AH279" i="4"/>
  <c r="AH280" i="4"/>
  <c r="AH281" i="4"/>
  <c r="AH282" i="4"/>
  <c r="AH283" i="4"/>
  <c r="AH284" i="4"/>
  <c r="AH285" i="4"/>
  <c r="AH286" i="4"/>
  <c r="AH287" i="4"/>
  <c r="AH288" i="4"/>
  <c r="AH289" i="4"/>
  <c r="AH290" i="4"/>
  <c r="AH291" i="4"/>
  <c r="AH292" i="4"/>
  <c r="AH293" i="4"/>
  <c r="AH294" i="4"/>
  <c r="AH295" i="4"/>
  <c r="AH296" i="4"/>
  <c r="AH297" i="4"/>
  <c r="AH298" i="4"/>
  <c r="AH299" i="4"/>
  <c r="AH300" i="4"/>
  <c r="AH301" i="4"/>
  <c r="AH302" i="4"/>
  <c r="AH303" i="4"/>
  <c r="AH304" i="4"/>
  <c r="AH305" i="4"/>
  <c r="AH306" i="4"/>
  <c r="AH307" i="4"/>
  <c r="AH308" i="4"/>
  <c r="AH309" i="4"/>
  <c r="AH310" i="4"/>
  <c r="AH311" i="4"/>
  <c r="AH312" i="4"/>
  <c r="AH313" i="4"/>
  <c r="AH314" i="4"/>
  <c r="AH315" i="4"/>
  <c r="AH316" i="4"/>
  <c r="AH317" i="4"/>
  <c r="AH318" i="4"/>
  <c r="AH319" i="4"/>
  <c r="AH320" i="4"/>
  <c r="AH321" i="4"/>
  <c r="AH322" i="4"/>
  <c r="AH323" i="4"/>
  <c r="AH324" i="4"/>
  <c r="AH325" i="4"/>
  <c r="AH326" i="4"/>
  <c r="AH327" i="4"/>
  <c r="AH328" i="4"/>
  <c r="AH329" i="4"/>
  <c r="AH330" i="4"/>
  <c r="AH331" i="4"/>
  <c r="AH332" i="4"/>
  <c r="AH333" i="4"/>
  <c r="AH334" i="4"/>
  <c r="AH335" i="4"/>
  <c r="AH336" i="4"/>
  <c r="AH337" i="4"/>
  <c r="AH338" i="4"/>
  <c r="AH339" i="4"/>
  <c r="AH340" i="4"/>
  <c r="AH341" i="4"/>
  <c r="AH342" i="4"/>
  <c r="AH343" i="4"/>
  <c r="AH344" i="4"/>
  <c r="AH345" i="4"/>
  <c r="AH346" i="4"/>
  <c r="AH347" i="4"/>
  <c r="AH348" i="4"/>
  <c r="AH349" i="4"/>
  <c r="AH350" i="4"/>
  <c r="AH351" i="4"/>
  <c r="AH352" i="4"/>
  <c r="AH353" i="4"/>
  <c r="AH354" i="4"/>
  <c r="AH355" i="4"/>
  <c r="AH356" i="4"/>
  <c r="AH357" i="4"/>
  <c r="AH358" i="4"/>
  <c r="AH359" i="4"/>
  <c r="AH360" i="4"/>
  <c r="AH361" i="4"/>
  <c r="AH362" i="4"/>
  <c r="AH363" i="4"/>
  <c r="AH364" i="4"/>
  <c r="AH365" i="4"/>
  <c r="AH366" i="4"/>
  <c r="AH367" i="4"/>
  <c r="AH368" i="4"/>
  <c r="AH369" i="4"/>
  <c r="AH370" i="4"/>
  <c r="AH371" i="4"/>
  <c r="AH372" i="4"/>
  <c r="AH373" i="4"/>
  <c r="AH374" i="4"/>
  <c r="AH375" i="4"/>
  <c r="AH376" i="4"/>
  <c r="AH377" i="4"/>
  <c r="AH378" i="4"/>
  <c r="AH379" i="4"/>
  <c r="AH380" i="4"/>
  <c r="AH381" i="4"/>
  <c r="AH382" i="4"/>
  <c r="AH383" i="4"/>
  <c r="AH384" i="4"/>
  <c r="AH385" i="4"/>
  <c r="AH386" i="4"/>
  <c r="AH387" i="4"/>
  <c r="AH388" i="4"/>
  <c r="AH389" i="4"/>
  <c r="AH390" i="4"/>
  <c r="AH391" i="4"/>
  <c r="AH392" i="4"/>
  <c r="AH393" i="4"/>
  <c r="AH394" i="4"/>
  <c r="AH395" i="4"/>
  <c r="AH396" i="4"/>
  <c r="AH397" i="4"/>
  <c r="AH398" i="4"/>
  <c r="AH399" i="4"/>
  <c r="AH400" i="4"/>
  <c r="AH401" i="4"/>
  <c r="AH402" i="4"/>
  <c r="AH403" i="4"/>
  <c r="AH404" i="4"/>
  <c r="AH405" i="4"/>
  <c r="AH406" i="4"/>
  <c r="AH407" i="4"/>
  <c r="AH408" i="4"/>
  <c r="AH409" i="4"/>
  <c r="AH410" i="4"/>
  <c r="AH411" i="4"/>
  <c r="AH412" i="4"/>
  <c r="AH413" i="4"/>
  <c r="AH414" i="4"/>
  <c r="AH415" i="4"/>
  <c r="AH416" i="4"/>
  <c r="AH417" i="4"/>
  <c r="AH418" i="4"/>
  <c r="AH419" i="4"/>
  <c r="AH420" i="4"/>
  <c r="AH421" i="4"/>
  <c r="AH422" i="4"/>
  <c r="AH423" i="4"/>
  <c r="AH424" i="4"/>
  <c r="AH425" i="4"/>
  <c r="AH426" i="4"/>
  <c r="AH427" i="4"/>
  <c r="AH428" i="4"/>
  <c r="AH429" i="4"/>
  <c r="AH430" i="4"/>
  <c r="AH431" i="4"/>
  <c r="AH432" i="4"/>
  <c r="AH433" i="4"/>
  <c r="AH434" i="4"/>
  <c r="AH435" i="4"/>
  <c r="AH436" i="4"/>
  <c r="AH437" i="4"/>
  <c r="AH438" i="4"/>
  <c r="AH439" i="4"/>
  <c r="AH440" i="4"/>
  <c r="AH441" i="4"/>
  <c r="AH442" i="4"/>
  <c r="AH443" i="4"/>
  <c r="AH444" i="4"/>
  <c r="AH445" i="4"/>
  <c r="AH446" i="4"/>
  <c r="AH447" i="4"/>
  <c r="AH448" i="4"/>
  <c r="AH449" i="4"/>
  <c r="AH450" i="4"/>
  <c r="AH451" i="4"/>
  <c r="AH452" i="4"/>
  <c r="AH453" i="4"/>
  <c r="AH454" i="4"/>
  <c r="AH455" i="4"/>
  <c r="AH456" i="4"/>
  <c r="AH457" i="4"/>
  <c r="AH458" i="4"/>
  <c r="AH459" i="4"/>
  <c r="AH460" i="4"/>
  <c r="AH461" i="4"/>
  <c r="AH462" i="4"/>
  <c r="AH463" i="4"/>
  <c r="AH464" i="4"/>
  <c r="AH465" i="4"/>
  <c r="AH466" i="4"/>
  <c r="AH467" i="4"/>
  <c r="AH468" i="4"/>
  <c r="AH469" i="4"/>
  <c r="AH470" i="4"/>
  <c r="AH471" i="4"/>
  <c r="AH472" i="4"/>
  <c r="AH473" i="4"/>
  <c r="AH474" i="4"/>
  <c r="AH475" i="4"/>
  <c r="AH476" i="4"/>
  <c r="AH477" i="4"/>
  <c r="AH478" i="4"/>
  <c r="AH479" i="4"/>
  <c r="AH480" i="4"/>
  <c r="AH481" i="4"/>
  <c r="AH482" i="4"/>
  <c r="AH483" i="4"/>
  <c r="AH484" i="4"/>
  <c r="AH485" i="4"/>
  <c r="AH486" i="4"/>
  <c r="AH487" i="4"/>
  <c r="AH488" i="4"/>
  <c r="AH489" i="4"/>
  <c r="AH490" i="4"/>
  <c r="AH491" i="4"/>
  <c r="AH492" i="4"/>
  <c r="AH493" i="4"/>
  <c r="AH494" i="4"/>
  <c r="AH495" i="4"/>
  <c r="AH496" i="4"/>
  <c r="AH497" i="4"/>
  <c r="AH498" i="4"/>
  <c r="AH499" i="4"/>
  <c r="AH500" i="4"/>
  <c r="AH501" i="4"/>
  <c r="AH502"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M2" i="4"/>
  <c r="N2" i="4" s="1"/>
  <c r="M3" i="4"/>
  <c r="N3" i="4" s="1"/>
  <c r="M4" i="4"/>
  <c r="N4" i="4" s="1"/>
  <c r="M5" i="4"/>
  <c r="N5" i="4" s="1"/>
  <c r="M6" i="4"/>
  <c r="N6" i="4" s="1"/>
  <c r="M7" i="4"/>
  <c r="N7" i="4" s="1"/>
  <c r="M8" i="4"/>
  <c r="N8" i="4" s="1"/>
  <c r="M9" i="4"/>
  <c r="N9" i="4" s="1"/>
  <c r="M10" i="4"/>
  <c r="N10" i="4" s="1"/>
  <c r="M11" i="4"/>
  <c r="N11" i="4" s="1"/>
  <c r="M12" i="4"/>
  <c r="N12" i="4" s="1"/>
  <c r="M13" i="4"/>
  <c r="N13" i="4" s="1"/>
  <c r="M14" i="4"/>
  <c r="N14" i="4" s="1"/>
  <c r="M15" i="4"/>
  <c r="N15" i="4" s="1"/>
  <c r="M16" i="4"/>
  <c r="N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M38" i="4"/>
  <c r="N38" i="4" s="1"/>
  <c r="M39" i="4"/>
  <c r="N39" i="4" s="1"/>
  <c r="M40" i="4"/>
  <c r="N40" i="4" s="1"/>
  <c r="M41" i="4"/>
  <c r="N41" i="4" s="1"/>
  <c r="M42" i="4"/>
  <c r="N42" i="4" s="1"/>
  <c r="M43" i="4"/>
  <c r="N43" i="4" s="1"/>
  <c r="M44" i="4"/>
  <c r="N44" i="4" s="1"/>
  <c r="M45" i="4"/>
  <c r="N45" i="4" s="1"/>
  <c r="M46" i="4"/>
  <c r="N46" i="4" s="1"/>
  <c r="M47" i="4"/>
  <c r="N47" i="4" s="1"/>
  <c r="M48" i="4"/>
  <c r="N48" i="4" s="1"/>
  <c r="M49" i="4"/>
  <c r="N49" i="4" s="1"/>
  <c r="M50" i="4"/>
  <c r="N50" i="4" s="1"/>
  <c r="M51" i="4"/>
  <c r="N51" i="4" s="1"/>
  <c r="M52" i="4"/>
  <c r="N52" i="4" s="1"/>
  <c r="M53" i="4"/>
  <c r="N53" i="4" s="1"/>
  <c r="M54" i="4"/>
  <c r="N54" i="4" s="1"/>
  <c r="M55" i="4"/>
  <c r="N55" i="4" s="1"/>
  <c r="M56" i="4"/>
  <c r="N56" i="4" s="1"/>
  <c r="M57" i="4"/>
  <c r="N57" i="4" s="1"/>
  <c r="M58" i="4"/>
  <c r="N58" i="4" s="1"/>
  <c r="M59" i="4"/>
  <c r="M60" i="4"/>
  <c r="N60" i="4" s="1"/>
  <c r="M61" i="4"/>
  <c r="N61" i="4" s="1"/>
  <c r="M62" i="4"/>
  <c r="N62" i="4" s="1"/>
  <c r="M63" i="4"/>
  <c r="N63" i="4" s="1"/>
  <c r="M64" i="4"/>
  <c r="N64" i="4" s="1"/>
  <c r="M65" i="4"/>
  <c r="N65" i="4" s="1"/>
  <c r="M66" i="4"/>
  <c r="N66" i="4" s="1"/>
  <c r="M67" i="4"/>
  <c r="N67" i="4" s="1"/>
  <c r="M68" i="4"/>
  <c r="N68" i="4" s="1"/>
  <c r="M69" i="4"/>
  <c r="N69" i="4" s="1"/>
  <c r="M70" i="4"/>
  <c r="N70" i="4" s="1"/>
  <c r="M71" i="4"/>
  <c r="N71" i="4" s="1"/>
  <c r="M72" i="4"/>
  <c r="N72" i="4" s="1"/>
  <c r="M73" i="4"/>
  <c r="N73" i="4" s="1"/>
  <c r="M74" i="4"/>
  <c r="N74" i="4" s="1"/>
  <c r="M75" i="4"/>
  <c r="N75" i="4" s="1"/>
  <c r="M76" i="4"/>
  <c r="N76" i="4" s="1"/>
  <c r="M77" i="4"/>
  <c r="N77" i="4" s="1"/>
  <c r="M78" i="4"/>
  <c r="N78" i="4" s="1"/>
  <c r="M79" i="4"/>
  <c r="N79" i="4" s="1"/>
  <c r="M80" i="4"/>
  <c r="N80" i="4" s="1"/>
  <c r="M81" i="4"/>
  <c r="N81" i="4" s="1"/>
  <c r="M82" i="4"/>
  <c r="N82" i="4" s="1"/>
  <c r="M83" i="4"/>
  <c r="N83" i="4" s="1"/>
  <c r="M84" i="4"/>
  <c r="N84" i="4" s="1"/>
  <c r="M85" i="4"/>
  <c r="N85" i="4" s="1"/>
  <c r="M86" i="4"/>
  <c r="N86" i="4" s="1"/>
  <c r="M87" i="4"/>
  <c r="N87" i="4" s="1"/>
  <c r="M88" i="4"/>
  <c r="N88" i="4" s="1"/>
  <c r="M89" i="4"/>
  <c r="N89" i="4" s="1"/>
  <c r="M90" i="4"/>
  <c r="N90" i="4" s="1"/>
  <c r="M91" i="4"/>
  <c r="N91" i="4" s="1"/>
  <c r="M92" i="4"/>
  <c r="N92" i="4" s="1"/>
  <c r="M93" i="4"/>
  <c r="N93" i="4" s="1"/>
  <c r="M94" i="4"/>
  <c r="N94" i="4" s="1"/>
  <c r="M95" i="4"/>
  <c r="N95" i="4" s="1"/>
  <c r="M96" i="4"/>
  <c r="N96" i="4" s="1"/>
  <c r="M97" i="4"/>
  <c r="N97" i="4" s="1"/>
  <c r="M98" i="4"/>
  <c r="N98" i="4" s="1"/>
  <c r="M99" i="4"/>
  <c r="N99" i="4" s="1"/>
  <c r="M100" i="4"/>
  <c r="N100" i="4" s="1"/>
  <c r="M101" i="4"/>
  <c r="N101" i="4" s="1"/>
  <c r="M102" i="4"/>
  <c r="N102" i="4" s="1"/>
  <c r="M103" i="4"/>
  <c r="N103" i="4" s="1"/>
  <c r="M104" i="4"/>
  <c r="M105" i="4"/>
  <c r="N105" i="4" s="1"/>
  <c r="M106" i="4"/>
  <c r="N106" i="4" s="1"/>
  <c r="M107" i="4"/>
  <c r="N107" i="4" s="1"/>
  <c r="M108" i="4"/>
  <c r="N108" i="4" s="1"/>
  <c r="M109" i="4"/>
  <c r="N109" i="4" s="1"/>
  <c r="M110" i="4"/>
  <c r="N110" i="4" s="1"/>
  <c r="M111" i="4"/>
  <c r="N111" i="4" s="1"/>
  <c r="M112" i="4"/>
  <c r="N112" i="4" s="1"/>
  <c r="M113" i="4"/>
  <c r="N113" i="4" s="1"/>
  <c r="M114" i="4"/>
  <c r="N114" i="4" s="1"/>
  <c r="M115" i="4"/>
  <c r="N115" i="4" s="1"/>
  <c r="M116" i="4"/>
  <c r="N116" i="4" s="1"/>
  <c r="M117" i="4"/>
  <c r="N117" i="4" s="1"/>
  <c r="M118" i="4"/>
  <c r="N118" i="4" s="1"/>
  <c r="M119" i="4"/>
  <c r="N119" i="4" s="1"/>
  <c r="M120" i="4"/>
  <c r="N120" i="4" s="1"/>
  <c r="M121" i="4"/>
  <c r="N121" i="4" s="1"/>
  <c r="M122" i="4"/>
  <c r="N122" i="4" s="1"/>
  <c r="M123" i="4"/>
  <c r="N123" i="4" s="1"/>
  <c r="M124" i="4"/>
  <c r="N124" i="4" s="1"/>
  <c r="M125" i="4"/>
  <c r="N125" i="4" s="1"/>
  <c r="M126" i="4"/>
  <c r="N126" i="4" s="1"/>
  <c r="M127" i="4"/>
  <c r="N127" i="4" s="1"/>
  <c r="M128" i="4"/>
  <c r="N128" i="4" s="1"/>
  <c r="M129" i="4"/>
  <c r="N129" i="4" s="1"/>
  <c r="M130" i="4"/>
  <c r="N130" i="4" s="1"/>
  <c r="M131" i="4"/>
  <c r="N131" i="4" s="1"/>
  <c r="M132" i="4"/>
  <c r="N132" i="4" s="1"/>
  <c r="M133" i="4"/>
  <c r="N133" i="4" s="1"/>
  <c r="M134" i="4"/>
  <c r="N134" i="4" s="1"/>
  <c r="M135" i="4"/>
  <c r="N135" i="4" s="1"/>
  <c r="M136" i="4"/>
  <c r="N136" i="4" s="1"/>
  <c r="M137" i="4"/>
  <c r="N137" i="4" s="1"/>
  <c r="M138" i="4"/>
  <c r="N138" i="4" s="1"/>
  <c r="M139" i="4"/>
  <c r="N139" i="4" s="1"/>
  <c r="M140" i="4"/>
  <c r="N140" i="4" s="1"/>
  <c r="M141" i="4"/>
  <c r="N141" i="4" s="1"/>
  <c r="M142" i="4"/>
  <c r="N142" i="4" s="1"/>
  <c r="M143" i="4"/>
  <c r="N143" i="4" s="1"/>
  <c r="M144" i="4"/>
  <c r="N144" i="4" s="1"/>
  <c r="M145" i="4"/>
  <c r="N145" i="4" s="1"/>
  <c r="M146" i="4"/>
  <c r="N146" i="4" s="1"/>
  <c r="M147" i="4"/>
  <c r="N147" i="4" s="1"/>
  <c r="M148" i="4"/>
  <c r="N148" i="4" s="1"/>
  <c r="M149" i="4"/>
  <c r="N149" i="4" s="1"/>
  <c r="M150" i="4"/>
  <c r="N150" i="4" s="1"/>
  <c r="M151" i="4"/>
  <c r="N151" i="4" s="1"/>
  <c r="M152" i="4"/>
  <c r="N152" i="4" s="1"/>
  <c r="M153" i="4"/>
  <c r="N153" i="4" s="1"/>
  <c r="M154" i="4"/>
  <c r="N154" i="4" s="1"/>
  <c r="M155" i="4"/>
  <c r="N155" i="4" s="1"/>
  <c r="M156" i="4"/>
  <c r="N156" i="4" s="1"/>
  <c r="M157" i="4"/>
  <c r="N157" i="4" s="1"/>
  <c r="M158" i="4"/>
  <c r="N158" i="4" s="1"/>
  <c r="M159" i="4"/>
  <c r="N159" i="4" s="1"/>
  <c r="M160" i="4"/>
  <c r="N160" i="4" s="1"/>
  <c r="M161" i="4"/>
  <c r="N161" i="4" s="1"/>
  <c r="M162" i="4"/>
  <c r="N162" i="4" s="1"/>
  <c r="M163" i="4"/>
  <c r="N163" i="4" s="1"/>
  <c r="M164" i="4"/>
  <c r="N164" i="4" s="1"/>
  <c r="M165" i="4"/>
  <c r="N165" i="4" s="1"/>
  <c r="M166" i="4"/>
  <c r="N166" i="4" s="1"/>
  <c r="M167" i="4"/>
  <c r="N167" i="4" s="1"/>
  <c r="M168" i="4"/>
  <c r="N168" i="4" s="1"/>
  <c r="M169" i="4"/>
  <c r="N169" i="4" s="1"/>
  <c r="M170" i="4"/>
  <c r="N170" i="4" s="1"/>
  <c r="M171" i="4"/>
  <c r="N171" i="4" s="1"/>
  <c r="M172" i="4"/>
  <c r="N172" i="4" s="1"/>
  <c r="M173" i="4"/>
  <c r="N173" i="4" s="1"/>
  <c r="M174" i="4"/>
  <c r="N174" i="4" s="1"/>
  <c r="M175" i="4"/>
  <c r="N175" i="4" s="1"/>
  <c r="M176" i="4"/>
  <c r="N176" i="4" s="1"/>
  <c r="M177" i="4"/>
  <c r="N177" i="4" s="1"/>
  <c r="M178" i="4"/>
  <c r="N178" i="4" s="1"/>
  <c r="M179" i="4"/>
  <c r="N179" i="4" s="1"/>
  <c r="M180" i="4"/>
  <c r="N180" i="4" s="1"/>
  <c r="M181" i="4"/>
  <c r="N181" i="4" s="1"/>
  <c r="M182" i="4"/>
  <c r="N182" i="4" s="1"/>
  <c r="M183" i="4"/>
  <c r="N183" i="4" s="1"/>
  <c r="M184" i="4"/>
  <c r="N184" i="4" s="1"/>
  <c r="M185" i="4"/>
  <c r="N185" i="4" s="1"/>
  <c r="M186" i="4"/>
  <c r="N186" i="4" s="1"/>
  <c r="M187" i="4"/>
  <c r="N187" i="4" s="1"/>
  <c r="M188" i="4"/>
  <c r="N188" i="4" s="1"/>
  <c r="M189" i="4"/>
  <c r="N189" i="4" s="1"/>
  <c r="M190" i="4"/>
  <c r="N190" i="4" s="1"/>
  <c r="M191" i="4"/>
  <c r="N191" i="4" s="1"/>
  <c r="M192" i="4"/>
  <c r="N192" i="4" s="1"/>
  <c r="M193" i="4"/>
  <c r="N193" i="4" s="1"/>
  <c r="M194" i="4"/>
  <c r="N194" i="4" s="1"/>
  <c r="M195" i="4"/>
  <c r="N195" i="4" s="1"/>
  <c r="M196" i="4"/>
  <c r="N196" i="4" s="1"/>
  <c r="M197" i="4"/>
  <c r="N197" i="4" s="1"/>
  <c r="M198" i="4"/>
  <c r="N198" i="4" s="1"/>
  <c r="M199" i="4"/>
  <c r="N199" i="4" s="1"/>
  <c r="M200" i="4"/>
  <c r="N200" i="4" s="1"/>
  <c r="M201" i="4"/>
  <c r="N201" i="4" s="1"/>
  <c r="M202" i="4"/>
  <c r="N202" i="4" s="1"/>
  <c r="M203" i="4"/>
  <c r="N203" i="4" s="1"/>
  <c r="M204" i="4"/>
  <c r="N204" i="4" s="1"/>
  <c r="M205" i="4"/>
  <c r="N205" i="4" s="1"/>
  <c r="M206" i="4"/>
  <c r="N206" i="4" s="1"/>
  <c r="M207" i="4"/>
  <c r="N207" i="4" s="1"/>
  <c r="M208" i="4"/>
  <c r="N208" i="4" s="1"/>
  <c r="M209" i="4"/>
  <c r="N209" i="4" s="1"/>
  <c r="M210" i="4"/>
  <c r="N210" i="4" s="1"/>
  <c r="M211" i="4"/>
  <c r="N211" i="4" s="1"/>
  <c r="M212" i="4"/>
  <c r="N212" i="4" s="1"/>
  <c r="M213" i="4"/>
  <c r="N213" i="4" s="1"/>
  <c r="M214" i="4"/>
  <c r="N214" i="4" s="1"/>
  <c r="M215" i="4"/>
  <c r="N215" i="4" s="1"/>
  <c r="M216" i="4"/>
  <c r="N216" i="4" s="1"/>
  <c r="M217" i="4"/>
  <c r="N217" i="4" s="1"/>
  <c r="M218" i="4"/>
  <c r="N218" i="4" s="1"/>
  <c r="M219" i="4"/>
  <c r="N219" i="4" s="1"/>
  <c r="M220" i="4"/>
  <c r="N220" i="4" s="1"/>
  <c r="M221" i="4"/>
  <c r="N221" i="4" s="1"/>
  <c r="M222" i="4"/>
  <c r="N222" i="4" s="1"/>
  <c r="M223" i="4"/>
  <c r="N223" i="4" s="1"/>
  <c r="M224" i="4"/>
  <c r="N224" i="4" s="1"/>
  <c r="M225" i="4"/>
  <c r="N225" i="4" s="1"/>
  <c r="M226" i="4"/>
  <c r="N226" i="4" s="1"/>
  <c r="M227" i="4"/>
  <c r="N227" i="4" s="1"/>
  <c r="M228" i="4"/>
  <c r="N228" i="4" s="1"/>
  <c r="M229" i="4"/>
  <c r="N229" i="4" s="1"/>
  <c r="M230" i="4"/>
  <c r="N230" i="4" s="1"/>
  <c r="M231" i="4"/>
  <c r="N231" i="4" s="1"/>
  <c r="M232" i="4"/>
  <c r="N232" i="4" s="1"/>
  <c r="M233" i="4"/>
  <c r="N233" i="4" s="1"/>
  <c r="M234" i="4"/>
  <c r="N234" i="4" s="1"/>
  <c r="M235" i="4"/>
  <c r="N235" i="4" s="1"/>
  <c r="M236" i="4"/>
  <c r="N236" i="4" s="1"/>
  <c r="M237" i="4"/>
  <c r="N237" i="4" s="1"/>
  <c r="M238" i="4"/>
  <c r="N238" i="4" s="1"/>
  <c r="M239" i="4"/>
  <c r="N239" i="4" s="1"/>
  <c r="M240" i="4"/>
  <c r="N240" i="4" s="1"/>
  <c r="M241" i="4"/>
  <c r="N241" i="4" s="1"/>
  <c r="M242" i="4"/>
  <c r="N242" i="4" s="1"/>
  <c r="M243" i="4"/>
  <c r="N243" i="4" s="1"/>
  <c r="M244" i="4"/>
  <c r="N244" i="4" s="1"/>
  <c r="M245" i="4"/>
  <c r="N245" i="4" s="1"/>
  <c r="M246" i="4"/>
  <c r="N246" i="4" s="1"/>
  <c r="M247" i="4"/>
  <c r="N247" i="4" s="1"/>
  <c r="M248" i="4"/>
  <c r="N248" i="4" s="1"/>
  <c r="M249" i="4"/>
  <c r="N249" i="4" s="1"/>
  <c r="M250" i="4"/>
  <c r="N250" i="4" s="1"/>
  <c r="M251" i="4"/>
  <c r="N251" i="4" s="1"/>
  <c r="M252" i="4"/>
  <c r="N252" i="4" s="1"/>
  <c r="M253" i="4"/>
  <c r="N253" i="4" s="1"/>
  <c r="M254" i="4"/>
  <c r="N254" i="4" s="1"/>
  <c r="M255" i="4"/>
  <c r="N255" i="4" s="1"/>
  <c r="M256" i="4"/>
  <c r="N256" i="4" s="1"/>
  <c r="M257" i="4"/>
  <c r="N257" i="4" s="1"/>
  <c r="M258" i="4"/>
  <c r="N258" i="4" s="1"/>
  <c r="M259" i="4"/>
  <c r="N259" i="4" s="1"/>
  <c r="M260" i="4"/>
  <c r="N260" i="4" s="1"/>
  <c r="M261" i="4"/>
  <c r="N261" i="4" s="1"/>
  <c r="M262" i="4"/>
  <c r="N262" i="4" s="1"/>
  <c r="M263" i="4"/>
  <c r="N263" i="4" s="1"/>
  <c r="M264" i="4"/>
  <c r="N264" i="4" s="1"/>
  <c r="M265" i="4"/>
  <c r="N265" i="4" s="1"/>
  <c r="M266" i="4"/>
  <c r="N266" i="4" s="1"/>
  <c r="M267" i="4"/>
  <c r="N267" i="4" s="1"/>
  <c r="M268" i="4"/>
  <c r="N268" i="4" s="1"/>
  <c r="M269" i="4"/>
  <c r="N269" i="4" s="1"/>
  <c r="M270" i="4"/>
  <c r="N270" i="4" s="1"/>
  <c r="M271" i="4"/>
  <c r="N271" i="4" s="1"/>
  <c r="M272" i="4"/>
  <c r="N272" i="4" s="1"/>
  <c r="M273" i="4"/>
  <c r="N273" i="4" s="1"/>
  <c r="M274" i="4"/>
  <c r="N274" i="4" s="1"/>
  <c r="M275" i="4"/>
  <c r="N275" i="4" s="1"/>
  <c r="M276" i="4"/>
  <c r="N276" i="4" s="1"/>
  <c r="M277" i="4"/>
  <c r="N277" i="4" s="1"/>
  <c r="M278" i="4"/>
  <c r="N278" i="4" s="1"/>
  <c r="M279" i="4"/>
  <c r="N279" i="4" s="1"/>
  <c r="M280" i="4"/>
  <c r="N280" i="4" s="1"/>
  <c r="M281" i="4"/>
  <c r="N281" i="4" s="1"/>
  <c r="M282" i="4"/>
  <c r="N282" i="4" s="1"/>
  <c r="M283" i="4"/>
  <c r="N283" i="4" s="1"/>
  <c r="M284" i="4"/>
  <c r="N284" i="4" s="1"/>
  <c r="M285" i="4"/>
  <c r="N285" i="4" s="1"/>
  <c r="M286" i="4"/>
  <c r="N286" i="4" s="1"/>
  <c r="M287" i="4"/>
  <c r="N287" i="4" s="1"/>
  <c r="M288" i="4"/>
  <c r="N288" i="4" s="1"/>
  <c r="M289" i="4"/>
  <c r="N289" i="4" s="1"/>
  <c r="M290" i="4"/>
  <c r="N290" i="4" s="1"/>
  <c r="M291" i="4"/>
  <c r="N291" i="4" s="1"/>
  <c r="M292" i="4"/>
  <c r="N292" i="4" s="1"/>
  <c r="M293" i="4"/>
  <c r="N293" i="4" s="1"/>
  <c r="M294" i="4"/>
  <c r="N294" i="4" s="1"/>
  <c r="M295" i="4"/>
  <c r="N295" i="4" s="1"/>
  <c r="M296" i="4"/>
  <c r="N296" i="4" s="1"/>
  <c r="M297" i="4"/>
  <c r="N297" i="4" s="1"/>
  <c r="M298" i="4"/>
  <c r="N298" i="4" s="1"/>
  <c r="M299" i="4"/>
  <c r="N299" i="4" s="1"/>
  <c r="M300" i="4"/>
  <c r="N300" i="4" s="1"/>
  <c r="M301" i="4"/>
  <c r="N301" i="4" s="1"/>
  <c r="M302" i="4"/>
  <c r="N302" i="4" s="1"/>
  <c r="M303" i="4"/>
  <c r="N303" i="4" s="1"/>
  <c r="M304" i="4"/>
  <c r="N304" i="4" s="1"/>
  <c r="M305" i="4"/>
  <c r="N305" i="4" s="1"/>
  <c r="M306" i="4"/>
  <c r="N306" i="4" s="1"/>
  <c r="M307" i="4"/>
  <c r="N307" i="4" s="1"/>
  <c r="M308" i="4"/>
  <c r="N308" i="4" s="1"/>
  <c r="M309" i="4"/>
  <c r="N309" i="4" s="1"/>
  <c r="M310" i="4"/>
  <c r="N310" i="4" s="1"/>
  <c r="M311" i="4"/>
  <c r="N311" i="4" s="1"/>
  <c r="M312" i="4"/>
  <c r="N312" i="4" s="1"/>
  <c r="M313" i="4"/>
  <c r="N313" i="4" s="1"/>
  <c r="M314" i="4"/>
  <c r="N314" i="4" s="1"/>
  <c r="M315" i="4"/>
  <c r="N315" i="4" s="1"/>
  <c r="M316" i="4"/>
  <c r="N316" i="4" s="1"/>
  <c r="M317" i="4"/>
  <c r="N317" i="4" s="1"/>
  <c r="M318" i="4"/>
  <c r="N318" i="4" s="1"/>
  <c r="M319" i="4"/>
  <c r="N319" i="4" s="1"/>
  <c r="M320" i="4"/>
  <c r="N320" i="4" s="1"/>
  <c r="M321" i="4"/>
  <c r="N321" i="4" s="1"/>
  <c r="M322" i="4"/>
  <c r="N322" i="4" s="1"/>
  <c r="M323" i="4"/>
  <c r="N323" i="4" s="1"/>
  <c r="M324" i="4"/>
  <c r="N324" i="4" s="1"/>
  <c r="M325" i="4"/>
  <c r="N325" i="4" s="1"/>
  <c r="M326" i="4"/>
  <c r="N326" i="4" s="1"/>
  <c r="M327" i="4"/>
  <c r="N327" i="4" s="1"/>
  <c r="M328" i="4"/>
  <c r="N328" i="4" s="1"/>
  <c r="M329" i="4"/>
  <c r="N329" i="4" s="1"/>
  <c r="M330" i="4"/>
  <c r="N330" i="4" s="1"/>
  <c r="M331" i="4"/>
  <c r="N331" i="4" s="1"/>
  <c r="M332" i="4"/>
  <c r="N332" i="4" s="1"/>
  <c r="M333" i="4"/>
  <c r="N333" i="4" s="1"/>
  <c r="M334" i="4"/>
  <c r="N334" i="4" s="1"/>
  <c r="M335" i="4"/>
  <c r="N335" i="4" s="1"/>
  <c r="M336" i="4"/>
  <c r="N336" i="4" s="1"/>
  <c r="M337" i="4"/>
  <c r="N337" i="4" s="1"/>
  <c r="M338" i="4"/>
  <c r="N338" i="4" s="1"/>
  <c r="M339" i="4"/>
  <c r="N339" i="4" s="1"/>
  <c r="M340" i="4"/>
  <c r="N340" i="4" s="1"/>
  <c r="M341" i="4"/>
  <c r="N341" i="4" s="1"/>
  <c r="M342" i="4"/>
  <c r="N342" i="4" s="1"/>
  <c r="M343" i="4"/>
  <c r="N343" i="4" s="1"/>
  <c r="M344" i="4"/>
  <c r="N344" i="4" s="1"/>
  <c r="M345" i="4"/>
  <c r="N345" i="4" s="1"/>
  <c r="M346" i="4"/>
  <c r="N346" i="4" s="1"/>
  <c r="M347" i="4"/>
  <c r="N347" i="4" s="1"/>
  <c r="M348" i="4"/>
  <c r="N348" i="4" s="1"/>
  <c r="M349" i="4"/>
  <c r="N349" i="4" s="1"/>
  <c r="M350" i="4"/>
  <c r="N350" i="4" s="1"/>
  <c r="M351" i="4"/>
  <c r="N351" i="4" s="1"/>
  <c r="M352" i="4"/>
  <c r="N352" i="4" s="1"/>
  <c r="M353" i="4"/>
  <c r="N353" i="4" s="1"/>
  <c r="M354" i="4"/>
  <c r="N354" i="4" s="1"/>
  <c r="M355" i="4"/>
  <c r="N355" i="4" s="1"/>
  <c r="M356" i="4"/>
  <c r="N356" i="4" s="1"/>
  <c r="M357" i="4"/>
  <c r="N357" i="4" s="1"/>
  <c r="M358" i="4"/>
  <c r="N358" i="4" s="1"/>
  <c r="M359" i="4"/>
  <c r="N359" i="4" s="1"/>
  <c r="M360" i="4"/>
  <c r="N360" i="4" s="1"/>
  <c r="M361" i="4"/>
  <c r="N361" i="4" s="1"/>
  <c r="M362" i="4"/>
  <c r="N362" i="4" s="1"/>
  <c r="M363" i="4"/>
  <c r="N363" i="4" s="1"/>
  <c r="M364" i="4"/>
  <c r="N364" i="4" s="1"/>
  <c r="M365" i="4"/>
  <c r="N365" i="4" s="1"/>
  <c r="M366" i="4"/>
  <c r="N366" i="4" s="1"/>
  <c r="M367" i="4"/>
  <c r="N367" i="4" s="1"/>
  <c r="M368" i="4"/>
  <c r="N368" i="4" s="1"/>
  <c r="M369" i="4"/>
  <c r="N369" i="4" s="1"/>
  <c r="M370" i="4"/>
  <c r="N370" i="4" s="1"/>
  <c r="M371" i="4"/>
  <c r="N371" i="4" s="1"/>
  <c r="M372" i="4"/>
  <c r="N372" i="4" s="1"/>
  <c r="M373" i="4"/>
  <c r="N373" i="4" s="1"/>
  <c r="M374" i="4"/>
  <c r="N374" i="4" s="1"/>
  <c r="M375" i="4"/>
  <c r="N375" i="4" s="1"/>
  <c r="M376" i="4"/>
  <c r="N376" i="4" s="1"/>
  <c r="M377" i="4"/>
  <c r="N377" i="4" s="1"/>
  <c r="M378" i="4"/>
  <c r="N378" i="4" s="1"/>
  <c r="M379" i="4"/>
  <c r="N379" i="4" s="1"/>
  <c r="M380" i="4"/>
  <c r="N380" i="4" s="1"/>
  <c r="M381" i="4"/>
  <c r="N381" i="4" s="1"/>
  <c r="M382" i="4"/>
  <c r="N382" i="4" s="1"/>
  <c r="M383" i="4"/>
  <c r="N383" i="4" s="1"/>
  <c r="M384" i="4"/>
  <c r="N384" i="4" s="1"/>
  <c r="M385" i="4"/>
  <c r="N385" i="4" s="1"/>
  <c r="M386" i="4"/>
  <c r="N386" i="4" s="1"/>
  <c r="M387" i="4"/>
  <c r="N387" i="4" s="1"/>
  <c r="M388" i="4"/>
  <c r="N388" i="4" s="1"/>
  <c r="M389" i="4"/>
  <c r="N389" i="4" s="1"/>
  <c r="M390" i="4"/>
  <c r="N390" i="4" s="1"/>
  <c r="M391" i="4"/>
  <c r="N391" i="4" s="1"/>
  <c r="M392" i="4"/>
  <c r="N392" i="4" s="1"/>
  <c r="M393" i="4"/>
  <c r="N393" i="4" s="1"/>
  <c r="M394" i="4"/>
  <c r="N394" i="4" s="1"/>
  <c r="M395" i="4"/>
  <c r="N395" i="4" s="1"/>
  <c r="M396" i="4"/>
  <c r="N396" i="4" s="1"/>
  <c r="M397" i="4"/>
  <c r="N397" i="4" s="1"/>
  <c r="M398" i="4"/>
  <c r="N398" i="4" s="1"/>
  <c r="M399" i="4"/>
  <c r="N399" i="4" s="1"/>
  <c r="M400" i="4"/>
  <c r="N400" i="4" s="1"/>
  <c r="M401" i="4"/>
  <c r="N401" i="4" s="1"/>
  <c r="M402" i="4"/>
  <c r="N402" i="4" s="1"/>
  <c r="M403" i="4"/>
  <c r="N403" i="4" s="1"/>
  <c r="M404" i="4"/>
  <c r="N404" i="4" s="1"/>
  <c r="M405" i="4"/>
  <c r="N405" i="4" s="1"/>
  <c r="M406" i="4"/>
  <c r="N406" i="4" s="1"/>
  <c r="M407" i="4"/>
  <c r="N407" i="4" s="1"/>
  <c r="M408" i="4"/>
  <c r="N408" i="4" s="1"/>
  <c r="M409" i="4"/>
  <c r="N409" i="4" s="1"/>
  <c r="M410" i="4"/>
  <c r="N410" i="4" s="1"/>
  <c r="M411" i="4"/>
  <c r="N411" i="4" s="1"/>
  <c r="M412" i="4"/>
  <c r="N412" i="4" s="1"/>
  <c r="M413" i="4"/>
  <c r="N413" i="4" s="1"/>
  <c r="M414" i="4"/>
  <c r="N414" i="4" s="1"/>
  <c r="M415" i="4"/>
  <c r="N415" i="4" s="1"/>
  <c r="M416" i="4"/>
  <c r="N416" i="4" s="1"/>
  <c r="M417" i="4"/>
  <c r="N417" i="4" s="1"/>
  <c r="M418" i="4"/>
  <c r="N418" i="4" s="1"/>
  <c r="M419" i="4"/>
  <c r="N419" i="4" s="1"/>
  <c r="M420" i="4"/>
  <c r="N420" i="4" s="1"/>
  <c r="M421" i="4"/>
  <c r="N421" i="4" s="1"/>
  <c r="M422" i="4"/>
  <c r="N422" i="4" s="1"/>
  <c r="M423" i="4"/>
  <c r="N423" i="4" s="1"/>
  <c r="M424" i="4"/>
  <c r="N424" i="4" s="1"/>
  <c r="M425" i="4"/>
  <c r="N425" i="4" s="1"/>
  <c r="M426" i="4"/>
  <c r="N426" i="4" s="1"/>
  <c r="M427" i="4"/>
  <c r="N427" i="4" s="1"/>
  <c r="M428" i="4"/>
  <c r="N428" i="4" s="1"/>
  <c r="M429" i="4"/>
  <c r="N429" i="4" s="1"/>
  <c r="M430" i="4"/>
  <c r="N430" i="4" s="1"/>
  <c r="M431" i="4"/>
  <c r="N431" i="4" s="1"/>
  <c r="M432" i="4"/>
  <c r="N432" i="4" s="1"/>
  <c r="M433" i="4"/>
  <c r="N433" i="4" s="1"/>
  <c r="M434" i="4"/>
  <c r="N434" i="4" s="1"/>
  <c r="M435" i="4"/>
  <c r="N435" i="4" s="1"/>
  <c r="M436" i="4"/>
  <c r="N436" i="4" s="1"/>
  <c r="M437" i="4"/>
  <c r="N437" i="4" s="1"/>
  <c r="M438" i="4"/>
  <c r="N438" i="4" s="1"/>
  <c r="M439" i="4"/>
  <c r="N439" i="4" s="1"/>
  <c r="M440" i="4"/>
  <c r="N440" i="4" s="1"/>
  <c r="M441" i="4"/>
  <c r="N441" i="4" s="1"/>
  <c r="M442" i="4"/>
  <c r="N442" i="4" s="1"/>
  <c r="M443" i="4"/>
  <c r="N443" i="4" s="1"/>
  <c r="M444" i="4"/>
  <c r="N444" i="4" s="1"/>
  <c r="M445" i="4"/>
  <c r="N445" i="4" s="1"/>
  <c r="M446" i="4"/>
  <c r="N446" i="4" s="1"/>
  <c r="M447" i="4"/>
  <c r="N447" i="4" s="1"/>
  <c r="M448" i="4"/>
  <c r="N448" i="4" s="1"/>
  <c r="M449" i="4"/>
  <c r="N449" i="4" s="1"/>
  <c r="M450" i="4"/>
  <c r="N450" i="4" s="1"/>
  <c r="M451" i="4"/>
  <c r="N451" i="4" s="1"/>
  <c r="M452" i="4"/>
  <c r="N452" i="4" s="1"/>
  <c r="M453" i="4"/>
  <c r="N453" i="4" s="1"/>
  <c r="M454" i="4"/>
  <c r="N454" i="4" s="1"/>
  <c r="M455" i="4"/>
  <c r="N455" i="4" s="1"/>
  <c r="M456" i="4"/>
  <c r="N456" i="4" s="1"/>
  <c r="M457" i="4"/>
  <c r="N457" i="4" s="1"/>
  <c r="M458" i="4"/>
  <c r="N458" i="4" s="1"/>
  <c r="M459" i="4"/>
  <c r="N459" i="4" s="1"/>
  <c r="M460" i="4"/>
  <c r="N460" i="4" s="1"/>
  <c r="M461" i="4"/>
  <c r="N461" i="4" s="1"/>
  <c r="M462" i="4"/>
  <c r="N462" i="4" s="1"/>
  <c r="M463" i="4"/>
  <c r="N463" i="4" s="1"/>
  <c r="M464" i="4"/>
  <c r="N464" i="4" s="1"/>
  <c r="M465" i="4"/>
  <c r="N465" i="4" s="1"/>
  <c r="M466" i="4"/>
  <c r="N466" i="4" s="1"/>
  <c r="M467" i="4"/>
  <c r="N467" i="4" s="1"/>
  <c r="M468" i="4"/>
  <c r="N468" i="4" s="1"/>
  <c r="M469" i="4"/>
  <c r="N469" i="4" s="1"/>
  <c r="M470" i="4"/>
  <c r="N470" i="4" s="1"/>
  <c r="M471" i="4"/>
  <c r="N471" i="4" s="1"/>
  <c r="M472" i="4"/>
  <c r="N472" i="4" s="1"/>
  <c r="M473" i="4"/>
  <c r="N473" i="4" s="1"/>
  <c r="M474" i="4"/>
  <c r="N474" i="4" s="1"/>
  <c r="M475" i="4"/>
  <c r="N475" i="4" s="1"/>
  <c r="M476" i="4"/>
  <c r="N476" i="4" s="1"/>
  <c r="M477" i="4"/>
  <c r="N477" i="4" s="1"/>
  <c r="M478" i="4"/>
  <c r="N478" i="4" s="1"/>
  <c r="M479" i="4"/>
  <c r="N479" i="4" s="1"/>
  <c r="M480" i="4"/>
  <c r="N480" i="4" s="1"/>
  <c r="M481" i="4"/>
  <c r="N481" i="4" s="1"/>
  <c r="M482" i="4"/>
  <c r="N482" i="4" s="1"/>
  <c r="M483" i="4"/>
  <c r="N483" i="4" s="1"/>
  <c r="M484" i="4"/>
  <c r="N484" i="4" s="1"/>
  <c r="M485" i="4"/>
  <c r="N485" i="4" s="1"/>
  <c r="M486" i="4"/>
  <c r="N486" i="4" s="1"/>
  <c r="M487" i="4"/>
  <c r="N487" i="4" s="1"/>
  <c r="M488" i="4"/>
  <c r="N488" i="4" s="1"/>
  <c r="M489" i="4"/>
  <c r="N489" i="4" s="1"/>
  <c r="M490" i="4"/>
  <c r="N490" i="4" s="1"/>
  <c r="M491" i="4"/>
  <c r="N491" i="4" s="1"/>
  <c r="M492" i="4"/>
  <c r="N492" i="4" s="1"/>
  <c r="M493" i="4"/>
  <c r="N493" i="4" s="1"/>
  <c r="M494" i="4"/>
  <c r="N494" i="4" s="1"/>
  <c r="M495" i="4"/>
  <c r="N495" i="4" s="1"/>
  <c r="M496" i="4"/>
  <c r="N496" i="4" s="1"/>
  <c r="M497" i="4"/>
  <c r="N497" i="4" s="1"/>
  <c r="M498" i="4"/>
  <c r="N498" i="4" s="1"/>
  <c r="M499" i="4"/>
  <c r="N499" i="4" s="1"/>
  <c r="M500" i="4"/>
  <c r="N500" i="4" s="1"/>
  <c r="M501" i="4"/>
  <c r="N501" i="4" s="1"/>
  <c r="M502" i="4"/>
  <c r="N502" i="4" s="1"/>
  <c r="AG59" i="4"/>
  <c r="AG68" i="4"/>
  <c r="AG69" i="4"/>
  <c r="AG70" i="4"/>
  <c r="AG71" i="4"/>
  <c r="AG72" i="4"/>
  <c r="AG73" i="4"/>
  <c r="AG74" i="4"/>
  <c r="AG75" i="4"/>
  <c r="AG76" i="4"/>
  <c r="AG77" i="4"/>
  <c r="AG78" i="4"/>
  <c r="AG79" i="4"/>
  <c r="AG80" i="4"/>
  <c r="AG81" i="4"/>
  <c r="AG82" i="4"/>
  <c r="AG83" i="4"/>
  <c r="AG84" i="4"/>
  <c r="AG85" i="4"/>
  <c r="AG86" i="4"/>
  <c r="AG87" i="4"/>
  <c r="AG88" i="4"/>
  <c r="AG89" i="4"/>
  <c r="AG90" i="4"/>
  <c r="AG91" i="4"/>
  <c r="AG92" i="4"/>
  <c r="AG93" i="4"/>
  <c r="AG94" i="4"/>
  <c r="AG95" i="4"/>
  <c r="AG96" i="4"/>
  <c r="AG97" i="4"/>
  <c r="AG98" i="4"/>
  <c r="AG99" i="4"/>
  <c r="AG100" i="4"/>
  <c r="AG101" i="4"/>
  <c r="AG102" i="4"/>
  <c r="AG103" i="4"/>
  <c r="AG104" i="4"/>
  <c r="AG105" i="4"/>
  <c r="AG106" i="4"/>
  <c r="AG107" i="4"/>
  <c r="AG108" i="4"/>
  <c r="AG109" i="4"/>
  <c r="AG110" i="4"/>
  <c r="AG111" i="4"/>
  <c r="AG112" i="4"/>
  <c r="AG113" i="4"/>
  <c r="AG114" i="4"/>
  <c r="AG115" i="4"/>
  <c r="AG116" i="4"/>
  <c r="AG117" i="4"/>
  <c r="AG118" i="4"/>
  <c r="AG119" i="4"/>
  <c r="AG120" i="4"/>
  <c r="AG121" i="4"/>
  <c r="AG122" i="4"/>
  <c r="AG123" i="4"/>
  <c r="AG124" i="4"/>
  <c r="AG125" i="4"/>
  <c r="AG126" i="4"/>
  <c r="AG127" i="4"/>
  <c r="AG128" i="4"/>
  <c r="AG129" i="4"/>
  <c r="AG130" i="4"/>
  <c r="AG131" i="4"/>
  <c r="AG132" i="4"/>
  <c r="AG133" i="4"/>
  <c r="AG134" i="4"/>
  <c r="AG135" i="4"/>
  <c r="AG136" i="4"/>
  <c r="AG137" i="4"/>
  <c r="AG138" i="4"/>
  <c r="AG139" i="4"/>
  <c r="AG140" i="4"/>
  <c r="AG141" i="4"/>
  <c r="AG142" i="4"/>
  <c r="AG143" i="4"/>
  <c r="AG144" i="4"/>
  <c r="AG145" i="4"/>
  <c r="AG146" i="4"/>
  <c r="AG148" i="4"/>
  <c r="AG149" i="4"/>
  <c r="AG150" i="4"/>
  <c r="AG151" i="4"/>
  <c r="AG152" i="4"/>
  <c r="AG153" i="4"/>
  <c r="AG154" i="4"/>
  <c r="AG155" i="4"/>
  <c r="AG156" i="4"/>
  <c r="AG158" i="4"/>
  <c r="AG159" i="4"/>
  <c r="AG160" i="4"/>
  <c r="AG161" i="4"/>
  <c r="AG162" i="4"/>
  <c r="AG163" i="4"/>
  <c r="AG164" i="4"/>
  <c r="AG165" i="4"/>
  <c r="AG166" i="4"/>
  <c r="AG167" i="4"/>
  <c r="AG168" i="4"/>
  <c r="AG169" i="4"/>
  <c r="AG170" i="4"/>
  <c r="AG171" i="4"/>
  <c r="AG172" i="4"/>
  <c r="AG173" i="4"/>
  <c r="AG174" i="4"/>
  <c r="AG175" i="4"/>
  <c r="AG176" i="4"/>
  <c r="AG177" i="4"/>
  <c r="AG178" i="4"/>
  <c r="AG179" i="4"/>
  <c r="AG180" i="4"/>
  <c r="AG181" i="4"/>
  <c r="AG182" i="4"/>
  <c r="AG183" i="4"/>
  <c r="AG184" i="4"/>
  <c r="AG185" i="4"/>
  <c r="AG186" i="4"/>
  <c r="AG187" i="4"/>
  <c r="AG188" i="4"/>
  <c r="AG189" i="4"/>
  <c r="AG190" i="4"/>
  <c r="AG191" i="4"/>
  <c r="AG192" i="4"/>
  <c r="AG193" i="4"/>
  <c r="AG194" i="4"/>
  <c r="AG195" i="4"/>
  <c r="AG196" i="4"/>
  <c r="AG197" i="4"/>
  <c r="AG198" i="4"/>
  <c r="AG199" i="4"/>
  <c r="AG200" i="4"/>
  <c r="AG201" i="4"/>
  <c r="AG202" i="4"/>
  <c r="AG203" i="4"/>
  <c r="AG204" i="4"/>
  <c r="AG205" i="4"/>
  <c r="AG206" i="4"/>
  <c r="AG207" i="4"/>
  <c r="AG208" i="4"/>
  <c r="AG209" i="4"/>
  <c r="AG210" i="4"/>
  <c r="AG211" i="4"/>
  <c r="AG212" i="4"/>
  <c r="AG213" i="4"/>
  <c r="AG214" i="4"/>
  <c r="AG215" i="4"/>
  <c r="AG216" i="4"/>
  <c r="AG217" i="4"/>
  <c r="AG218" i="4"/>
  <c r="AG219" i="4"/>
  <c r="AG220" i="4"/>
  <c r="AG221" i="4"/>
  <c r="AG222" i="4"/>
  <c r="AG223" i="4"/>
  <c r="AG224" i="4"/>
  <c r="AG225" i="4"/>
  <c r="AG226" i="4"/>
  <c r="AG227" i="4"/>
  <c r="AG228" i="4"/>
  <c r="AG229" i="4"/>
  <c r="AG230" i="4"/>
  <c r="AG231" i="4"/>
  <c r="AG232" i="4"/>
  <c r="AG233" i="4"/>
  <c r="AG234" i="4"/>
  <c r="AG235" i="4"/>
  <c r="AG236" i="4"/>
  <c r="AG237" i="4"/>
  <c r="AG238" i="4"/>
  <c r="AG239" i="4"/>
  <c r="AG240" i="4"/>
  <c r="AG241" i="4"/>
  <c r="AG242" i="4"/>
  <c r="AG243" i="4"/>
  <c r="AG244" i="4"/>
  <c r="AG245" i="4"/>
  <c r="AG246" i="4"/>
  <c r="AG247" i="4"/>
  <c r="AG248" i="4"/>
  <c r="AG250" i="4"/>
  <c r="AG251" i="4"/>
  <c r="AG252" i="4"/>
  <c r="AG253" i="4"/>
  <c r="AG254" i="4"/>
  <c r="AG255" i="4"/>
  <c r="AG256" i="4"/>
  <c r="AG257" i="4"/>
  <c r="AG258" i="4"/>
  <c r="AG259" i="4"/>
  <c r="AG260" i="4"/>
  <c r="AG261" i="4"/>
  <c r="AG263" i="4"/>
  <c r="AG264" i="4"/>
  <c r="AG265" i="4"/>
  <c r="AG266" i="4"/>
  <c r="AG267" i="4"/>
  <c r="AG268" i="4"/>
  <c r="AG269" i="4"/>
  <c r="AG270" i="4"/>
  <c r="AG271" i="4"/>
  <c r="AG272" i="4"/>
  <c r="AG273" i="4"/>
  <c r="AG274" i="4"/>
  <c r="AG275" i="4"/>
  <c r="AG276" i="4"/>
  <c r="AG277" i="4"/>
  <c r="AG278" i="4"/>
  <c r="AG279" i="4"/>
  <c r="AG280" i="4"/>
  <c r="AG281" i="4"/>
  <c r="AG282" i="4"/>
  <c r="AG283" i="4"/>
  <c r="AG284" i="4"/>
  <c r="AG285" i="4"/>
  <c r="AG286" i="4"/>
  <c r="AG287" i="4"/>
  <c r="AG288" i="4"/>
  <c r="AG289" i="4"/>
  <c r="AG290" i="4"/>
  <c r="AG291" i="4"/>
  <c r="AG292" i="4"/>
  <c r="AG293" i="4"/>
  <c r="AG294" i="4"/>
  <c r="AG295" i="4"/>
  <c r="AG296" i="4"/>
  <c r="AG297" i="4"/>
  <c r="AG298" i="4"/>
  <c r="AG299" i="4"/>
  <c r="AG300" i="4"/>
  <c r="AG301" i="4"/>
  <c r="AG302" i="4"/>
  <c r="AG303" i="4"/>
  <c r="AG304" i="4"/>
  <c r="AG305" i="4"/>
  <c r="AG306" i="4"/>
  <c r="AG307" i="4"/>
  <c r="AG308" i="4"/>
  <c r="AG309" i="4"/>
  <c r="AG310" i="4"/>
  <c r="AG311" i="4"/>
  <c r="AG312" i="4"/>
  <c r="AG313" i="4"/>
  <c r="AG314" i="4"/>
  <c r="AG315" i="4"/>
  <c r="AG316" i="4"/>
  <c r="AG317" i="4"/>
  <c r="AG318" i="4"/>
  <c r="AG319" i="4"/>
  <c r="AG320" i="4"/>
  <c r="AG321" i="4"/>
  <c r="AG322" i="4"/>
  <c r="AG323" i="4"/>
  <c r="AG324" i="4"/>
  <c r="AG325" i="4"/>
  <c r="AG326" i="4"/>
  <c r="AG327" i="4"/>
  <c r="AG328" i="4"/>
  <c r="AG329" i="4"/>
  <c r="AG330" i="4"/>
  <c r="AG331" i="4"/>
  <c r="AG332" i="4"/>
  <c r="AG333" i="4"/>
  <c r="AG334" i="4"/>
  <c r="AG335" i="4"/>
  <c r="AG336" i="4"/>
  <c r="AG337" i="4"/>
  <c r="AG338" i="4"/>
  <c r="AG339" i="4"/>
  <c r="AG340" i="4"/>
  <c r="AG341" i="4"/>
  <c r="AG342" i="4"/>
  <c r="AG343" i="4"/>
  <c r="AG344" i="4"/>
  <c r="AG345" i="4"/>
  <c r="AG346" i="4"/>
  <c r="AG347" i="4"/>
  <c r="AG348" i="4"/>
  <c r="AG349" i="4"/>
  <c r="AG350" i="4"/>
  <c r="AG351" i="4"/>
  <c r="AG352" i="4"/>
  <c r="AG353" i="4"/>
  <c r="AG354" i="4"/>
  <c r="AG355" i="4"/>
  <c r="AG356" i="4"/>
  <c r="AG357" i="4"/>
  <c r="AG358" i="4"/>
  <c r="AG359" i="4"/>
  <c r="AG360" i="4"/>
  <c r="AG361" i="4"/>
  <c r="AG362" i="4"/>
  <c r="AG363" i="4"/>
  <c r="AG364" i="4"/>
  <c r="AG365" i="4"/>
  <c r="AG366" i="4"/>
  <c r="AG367" i="4"/>
  <c r="AG368" i="4"/>
  <c r="AG369" i="4"/>
  <c r="AG370" i="4"/>
  <c r="AG371" i="4"/>
  <c r="AG372" i="4"/>
  <c r="AG373" i="4"/>
  <c r="AG374" i="4"/>
  <c r="AG375" i="4"/>
  <c r="AG376" i="4"/>
  <c r="AG377" i="4"/>
  <c r="AG378" i="4"/>
  <c r="AG379" i="4"/>
  <c r="AG380" i="4"/>
  <c r="AG381" i="4"/>
  <c r="AG382" i="4"/>
  <c r="AG383" i="4"/>
  <c r="AG384" i="4"/>
  <c r="AG385" i="4"/>
  <c r="AG386" i="4"/>
  <c r="AG387" i="4"/>
  <c r="AG388" i="4"/>
  <c r="AG389" i="4"/>
  <c r="AG390" i="4"/>
  <c r="AG391" i="4"/>
  <c r="AG392" i="4"/>
  <c r="AG393" i="4"/>
  <c r="AG394" i="4"/>
  <c r="AG395" i="4"/>
  <c r="AG396" i="4"/>
  <c r="AG397" i="4"/>
  <c r="AG398" i="4"/>
  <c r="AG399" i="4"/>
  <c r="AG400" i="4"/>
  <c r="AG401" i="4"/>
  <c r="AG402" i="4"/>
  <c r="AG403" i="4"/>
  <c r="AG404" i="4"/>
  <c r="AG405" i="4"/>
  <c r="AG406" i="4"/>
  <c r="AG407" i="4"/>
  <c r="AG408" i="4"/>
  <c r="AG409" i="4"/>
  <c r="AG410" i="4"/>
  <c r="AG411" i="4"/>
  <c r="AG412" i="4"/>
  <c r="AG413" i="4"/>
  <c r="AG414" i="4"/>
  <c r="AG415" i="4"/>
  <c r="AG416" i="4"/>
  <c r="AG417" i="4"/>
  <c r="AG418" i="4"/>
  <c r="AG419" i="4"/>
  <c r="AG420" i="4"/>
  <c r="AG421" i="4"/>
  <c r="AG422" i="4"/>
  <c r="AG423" i="4"/>
  <c r="AG424" i="4"/>
  <c r="AG425" i="4"/>
  <c r="AG426" i="4"/>
  <c r="AG427" i="4"/>
  <c r="AG428" i="4"/>
  <c r="AG429" i="4"/>
  <c r="AG430" i="4"/>
  <c r="AG431" i="4"/>
  <c r="AG432" i="4"/>
  <c r="AG433" i="4"/>
  <c r="AG434" i="4"/>
  <c r="AG435" i="4"/>
  <c r="AG436" i="4"/>
  <c r="AG437" i="4"/>
  <c r="AG438" i="4"/>
  <c r="AG439" i="4"/>
  <c r="AG440" i="4"/>
  <c r="AG441" i="4"/>
  <c r="AG442" i="4"/>
  <c r="AG443" i="4"/>
  <c r="AG444" i="4"/>
  <c r="AG445" i="4"/>
  <c r="AG446" i="4"/>
  <c r="AG447" i="4"/>
  <c r="AG448" i="4"/>
  <c r="AG449" i="4"/>
  <c r="AG450" i="4"/>
  <c r="AG451" i="4"/>
  <c r="AG452" i="4"/>
  <c r="AG453" i="4"/>
  <c r="AG454" i="4"/>
  <c r="AG455" i="4"/>
  <c r="AG456" i="4"/>
  <c r="AG457" i="4"/>
  <c r="AG458" i="4"/>
  <c r="AG459" i="4"/>
  <c r="AG460" i="4"/>
  <c r="AG461" i="4"/>
  <c r="AG462" i="4"/>
  <c r="AG463" i="4"/>
  <c r="AG464" i="4"/>
  <c r="AG465" i="4"/>
  <c r="AG466" i="4"/>
  <c r="AG467" i="4"/>
  <c r="AG468" i="4"/>
  <c r="AG469" i="4"/>
  <c r="AG470" i="4"/>
  <c r="AG471" i="4"/>
  <c r="AG472" i="4"/>
  <c r="AG473" i="4"/>
  <c r="AG474" i="4"/>
  <c r="AG475" i="4"/>
  <c r="AG476" i="4"/>
  <c r="AG477" i="4"/>
  <c r="AG478" i="4"/>
  <c r="AG479" i="4"/>
  <c r="AG480" i="4"/>
  <c r="AG481" i="4"/>
  <c r="AG482" i="4"/>
  <c r="AG483" i="4"/>
  <c r="AG484" i="4"/>
  <c r="AG485" i="4"/>
  <c r="AG486" i="4"/>
  <c r="AG487" i="4"/>
  <c r="AG488" i="4"/>
  <c r="AG489" i="4"/>
  <c r="AG490" i="4"/>
  <c r="AG491" i="4"/>
  <c r="AG492" i="4"/>
  <c r="AG493" i="4"/>
  <c r="AG494" i="4"/>
  <c r="AG495" i="4"/>
  <c r="AG496" i="4"/>
  <c r="AG497" i="4"/>
  <c r="AG498" i="4"/>
  <c r="AG499" i="4"/>
  <c r="AG500" i="4"/>
  <c r="AG501" i="4"/>
  <c r="AG502" i="4"/>
  <c r="AF10" i="4"/>
  <c r="AF11" i="4"/>
  <c r="AF12" i="4"/>
  <c r="AF13" i="4"/>
  <c r="AF14" i="4"/>
  <c r="AF15" i="4"/>
  <c r="AF16" i="4"/>
  <c r="AF17" i="4"/>
  <c r="AF18" i="4"/>
  <c r="AF19" i="4"/>
  <c r="AF20" i="4"/>
  <c r="AF21" i="4"/>
  <c r="AF22" i="4"/>
  <c r="AF23" i="4"/>
  <c r="AF24" i="4"/>
  <c r="AF25" i="4"/>
  <c r="AF26" i="4"/>
  <c r="AF27" i="4"/>
  <c r="AF28" i="4"/>
  <c r="AF29" i="4"/>
  <c r="AF30" i="4"/>
  <c r="AF31" i="4"/>
  <c r="AF32" i="4"/>
  <c r="AF33" i="4"/>
  <c r="AF34" i="4"/>
  <c r="AF35" i="4"/>
  <c r="AF36" i="4"/>
  <c r="AF37" i="4"/>
  <c r="AF38" i="4"/>
  <c r="AF39" i="4"/>
  <c r="AF40" i="4"/>
  <c r="AF41" i="4"/>
  <c r="AF42" i="4"/>
  <c r="AF43" i="4"/>
  <c r="AF44" i="4"/>
  <c r="AF45" i="4"/>
  <c r="AF46" i="4"/>
  <c r="AF47" i="4"/>
  <c r="AF48" i="4"/>
  <c r="AF49" i="4"/>
  <c r="AF50" i="4"/>
  <c r="AF51" i="4"/>
  <c r="AF52" i="4"/>
  <c r="AF53" i="4"/>
  <c r="AF54" i="4"/>
  <c r="AF55" i="4"/>
  <c r="AF56" i="4"/>
  <c r="AF57" i="4"/>
  <c r="AF58" i="4"/>
  <c r="AF59" i="4"/>
  <c r="AF60" i="4"/>
  <c r="AF61" i="4"/>
  <c r="AF62" i="4"/>
  <c r="AF63" i="4"/>
  <c r="AF64" i="4"/>
  <c r="AF65" i="4"/>
  <c r="AF66" i="4"/>
  <c r="AF3" i="4"/>
  <c r="AF4" i="4"/>
  <c r="AF5" i="4"/>
  <c r="AF6" i="4"/>
  <c r="AF7" i="4"/>
  <c r="AF8" i="4"/>
  <c r="AF2" i="4"/>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AC2" i="4"/>
  <c r="AC3" i="4"/>
  <c r="AC4" i="4"/>
  <c r="AC5" i="4"/>
  <c r="AC6" i="4"/>
  <c r="AC7" i="4"/>
  <c r="AC8" i="4"/>
  <c r="AC10" i="4"/>
  <c r="AC11" i="4"/>
  <c r="AC12" i="4"/>
  <c r="AC13" i="4"/>
  <c r="AC14" i="4"/>
  <c r="AC15" i="4"/>
  <c r="AC16" i="4"/>
  <c r="AC17" i="4"/>
  <c r="AC18" i="4"/>
  <c r="AC19" i="4"/>
  <c r="AC20" i="4"/>
  <c r="AC21" i="4"/>
  <c r="AC22" i="4"/>
  <c r="AC23" i="4"/>
  <c r="AC24" i="4"/>
  <c r="AC25" i="4"/>
  <c r="AC26" i="4"/>
  <c r="AC27" i="4"/>
  <c r="AC28" i="4"/>
  <c r="AC29" i="4"/>
  <c r="AC30" i="4"/>
  <c r="AC31" i="4"/>
  <c r="AC32" i="4"/>
  <c r="AC33" i="4"/>
  <c r="AC34" i="4"/>
  <c r="AC35" i="4"/>
  <c r="AC36" i="4"/>
  <c r="AC37" i="4"/>
  <c r="AC38" i="4"/>
  <c r="AC39" i="4"/>
  <c r="AC40" i="4"/>
  <c r="AC41" i="4"/>
  <c r="AC42" i="4"/>
  <c r="AC43" i="4"/>
  <c r="AC44" i="4"/>
  <c r="AC45" i="4"/>
  <c r="AC46" i="4"/>
  <c r="AC47" i="4"/>
  <c r="AC48" i="4"/>
  <c r="AC49" i="4"/>
  <c r="AC50" i="4"/>
  <c r="AC51" i="4"/>
  <c r="AC52" i="4"/>
  <c r="AC53" i="4"/>
  <c r="AC54" i="4"/>
  <c r="AC55" i="4"/>
  <c r="AC56" i="4"/>
  <c r="AC57" i="4"/>
  <c r="AC58" i="4"/>
  <c r="AC59" i="4"/>
  <c r="AC60" i="4"/>
  <c r="AC61" i="4"/>
  <c r="AC62" i="4"/>
  <c r="AC63" i="4"/>
  <c r="AC64" i="4"/>
  <c r="AC65" i="4"/>
  <c r="AC66" i="4"/>
  <c r="AC68" i="4"/>
  <c r="AC69" i="4"/>
  <c r="AC70" i="4"/>
  <c r="AC71" i="4"/>
  <c r="AC72" i="4"/>
  <c r="AC73" i="4"/>
  <c r="AC74" i="4"/>
  <c r="AC75" i="4"/>
  <c r="AC76" i="4"/>
  <c r="AC77" i="4"/>
  <c r="AC78" i="4"/>
  <c r="AC79" i="4"/>
  <c r="AC80" i="4"/>
  <c r="AC81" i="4"/>
  <c r="AC82" i="4"/>
  <c r="AC83" i="4"/>
  <c r="AC84" i="4"/>
  <c r="AC85" i="4"/>
  <c r="AC86" i="4"/>
  <c r="AC87" i="4"/>
  <c r="AC88" i="4"/>
  <c r="AC89" i="4"/>
  <c r="AC90" i="4"/>
  <c r="AC91" i="4"/>
  <c r="AC92" i="4"/>
  <c r="AC93" i="4"/>
  <c r="AC94" i="4"/>
  <c r="AC95" i="4"/>
  <c r="AC96" i="4"/>
  <c r="AC97" i="4"/>
  <c r="AC98" i="4"/>
  <c r="AC99" i="4"/>
  <c r="AC100" i="4"/>
  <c r="AC101" i="4"/>
  <c r="AC102" i="4"/>
  <c r="AC103" i="4"/>
  <c r="AC104" i="4"/>
  <c r="AC105" i="4"/>
  <c r="AC106" i="4"/>
  <c r="AC107" i="4"/>
  <c r="AC108" i="4"/>
  <c r="AC109" i="4"/>
  <c r="AC110" i="4"/>
  <c r="AC111" i="4"/>
  <c r="AC112" i="4"/>
  <c r="AC113" i="4"/>
  <c r="AC114" i="4"/>
  <c r="AC115" i="4"/>
  <c r="AC116" i="4"/>
  <c r="AC117" i="4"/>
  <c r="AC118" i="4"/>
  <c r="AC119" i="4"/>
  <c r="AC120" i="4"/>
  <c r="AC121" i="4"/>
  <c r="AC122" i="4"/>
  <c r="AC123" i="4"/>
  <c r="AC124" i="4"/>
  <c r="AC125" i="4"/>
  <c r="AC126" i="4"/>
  <c r="AC127" i="4"/>
  <c r="AC128" i="4"/>
  <c r="AC129" i="4"/>
  <c r="AC130" i="4"/>
  <c r="AC131" i="4"/>
  <c r="AC132" i="4"/>
  <c r="AC133" i="4"/>
  <c r="AC134" i="4"/>
  <c r="AC135" i="4"/>
  <c r="AC136" i="4"/>
  <c r="AC137" i="4"/>
  <c r="AC138" i="4"/>
  <c r="AC139" i="4"/>
  <c r="AC140" i="4"/>
  <c r="AC141" i="4"/>
  <c r="AC142" i="4"/>
  <c r="AC143" i="4"/>
  <c r="AC144" i="4"/>
  <c r="AC145" i="4"/>
  <c r="AC146" i="4"/>
  <c r="AC148" i="4"/>
  <c r="AC149" i="4"/>
  <c r="AC150" i="4"/>
  <c r="AC151" i="4"/>
  <c r="AC152" i="4"/>
  <c r="AC153" i="4"/>
  <c r="AC154" i="4"/>
  <c r="AC155" i="4"/>
  <c r="AC156" i="4"/>
  <c r="AC158" i="4"/>
  <c r="AC159" i="4"/>
  <c r="AC160" i="4"/>
  <c r="AC161" i="4"/>
  <c r="AC162" i="4"/>
  <c r="AC163" i="4"/>
  <c r="AC164" i="4"/>
  <c r="AC165" i="4"/>
  <c r="AC166" i="4"/>
  <c r="AC167" i="4"/>
  <c r="AC168" i="4"/>
  <c r="AC169" i="4"/>
  <c r="AC170" i="4"/>
  <c r="AC171" i="4"/>
  <c r="AC172" i="4"/>
  <c r="AC173" i="4"/>
  <c r="AC174" i="4"/>
  <c r="AC175" i="4"/>
  <c r="AC176" i="4"/>
  <c r="AC177" i="4"/>
  <c r="AC178" i="4"/>
  <c r="AC179" i="4"/>
  <c r="AC180" i="4"/>
  <c r="AC181" i="4"/>
  <c r="AC182" i="4"/>
  <c r="AC183" i="4"/>
  <c r="AC184" i="4"/>
  <c r="AC185" i="4"/>
  <c r="AC186" i="4"/>
  <c r="AC187" i="4"/>
  <c r="AC188" i="4"/>
  <c r="AC189" i="4"/>
  <c r="AC190" i="4"/>
  <c r="AC191" i="4"/>
  <c r="AC192" i="4"/>
  <c r="AC193" i="4"/>
  <c r="AC194" i="4"/>
  <c r="AC195" i="4"/>
  <c r="AC196" i="4"/>
  <c r="AC197" i="4"/>
  <c r="AC198" i="4"/>
  <c r="AC199" i="4"/>
  <c r="AC200" i="4"/>
  <c r="AC201" i="4"/>
  <c r="AC202" i="4"/>
  <c r="AC203" i="4"/>
  <c r="AC204" i="4"/>
  <c r="AC205" i="4"/>
  <c r="AC206" i="4"/>
  <c r="AC207" i="4"/>
  <c r="AC208" i="4"/>
  <c r="AC209" i="4"/>
  <c r="AC210" i="4"/>
  <c r="AC211" i="4"/>
  <c r="AC212" i="4"/>
  <c r="AC213" i="4"/>
  <c r="AC214" i="4"/>
  <c r="AC215" i="4"/>
  <c r="AC216" i="4"/>
  <c r="AC217" i="4"/>
  <c r="AC218" i="4"/>
  <c r="AC219" i="4"/>
  <c r="AC220" i="4"/>
  <c r="AC221" i="4"/>
  <c r="AC222" i="4"/>
  <c r="AC223" i="4"/>
  <c r="AC224" i="4"/>
  <c r="AC225" i="4"/>
  <c r="AC226" i="4"/>
  <c r="AC227" i="4"/>
  <c r="AC228" i="4"/>
  <c r="AC229" i="4"/>
  <c r="AC230" i="4"/>
  <c r="AC231" i="4"/>
  <c r="AC232" i="4"/>
  <c r="AC233" i="4"/>
  <c r="AC234" i="4"/>
  <c r="AC235" i="4"/>
  <c r="AC236" i="4"/>
  <c r="AC237" i="4"/>
  <c r="AC238" i="4"/>
  <c r="AC239" i="4"/>
  <c r="AC240" i="4"/>
  <c r="AC241" i="4"/>
  <c r="AC242" i="4"/>
  <c r="AC243" i="4"/>
  <c r="AC244" i="4"/>
  <c r="AC245" i="4"/>
  <c r="AC246" i="4"/>
  <c r="AC247" i="4"/>
  <c r="AC248" i="4"/>
  <c r="AC250" i="4"/>
  <c r="AC251" i="4"/>
  <c r="AC252" i="4"/>
  <c r="AC253" i="4"/>
  <c r="AC254" i="4"/>
  <c r="AC255" i="4"/>
  <c r="AC256" i="4"/>
  <c r="AC257" i="4"/>
  <c r="AC258" i="4"/>
  <c r="AC259" i="4"/>
  <c r="AC260" i="4"/>
  <c r="AC261" i="4"/>
  <c r="AC263" i="4"/>
  <c r="AC264" i="4"/>
  <c r="AC265" i="4"/>
  <c r="AC266" i="4"/>
  <c r="AC267" i="4"/>
  <c r="AC268" i="4"/>
  <c r="AC269" i="4"/>
  <c r="AC270" i="4"/>
  <c r="AC271" i="4"/>
  <c r="AC272" i="4"/>
  <c r="AC273" i="4"/>
  <c r="AC274" i="4"/>
  <c r="AC275" i="4"/>
  <c r="AC276" i="4"/>
  <c r="AC277" i="4"/>
  <c r="AC278" i="4"/>
  <c r="AC279" i="4"/>
  <c r="AC280" i="4"/>
  <c r="AC281" i="4"/>
  <c r="AC282" i="4"/>
  <c r="AC283" i="4"/>
  <c r="AC284" i="4"/>
  <c r="AC285" i="4"/>
  <c r="AC286" i="4"/>
  <c r="AC287" i="4"/>
  <c r="AC288" i="4"/>
  <c r="AC289" i="4"/>
  <c r="AC290" i="4"/>
  <c r="AC291" i="4"/>
  <c r="AC292" i="4"/>
  <c r="AC293" i="4"/>
  <c r="AC294" i="4"/>
  <c r="AC295" i="4"/>
  <c r="AC296" i="4"/>
  <c r="AC297" i="4"/>
  <c r="AC298" i="4"/>
  <c r="AC299" i="4"/>
  <c r="AC300" i="4"/>
  <c r="AC301" i="4"/>
  <c r="AC302" i="4"/>
  <c r="AC303" i="4"/>
  <c r="AC304" i="4"/>
  <c r="AC305" i="4"/>
  <c r="AC306" i="4"/>
  <c r="AC307" i="4"/>
  <c r="AC308" i="4"/>
  <c r="AC309" i="4"/>
  <c r="AC310" i="4"/>
  <c r="AC311" i="4"/>
  <c r="AC312" i="4"/>
  <c r="AC313" i="4"/>
  <c r="AC314" i="4"/>
  <c r="AC315" i="4"/>
  <c r="AC316" i="4"/>
  <c r="AC317" i="4"/>
  <c r="AC318" i="4"/>
  <c r="AC319" i="4"/>
  <c r="AC320" i="4"/>
  <c r="AC321" i="4"/>
  <c r="AC322" i="4"/>
  <c r="AC323" i="4"/>
  <c r="AC324" i="4"/>
  <c r="AC325" i="4"/>
  <c r="AC326" i="4"/>
  <c r="AC327" i="4"/>
  <c r="AC328" i="4"/>
  <c r="AC329" i="4"/>
  <c r="AC330" i="4"/>
  <c r="AC331" i="4"/>
  <c r="AC332" i="4"/>
  <c r="AC333" i="4"/>
  <c r="AC334" i="4"/>
  <c r="AC335" i="4"/>
  <c r="AC336" i="4"/>
  <c r="AC337" i="4"/>
  <c r="AC338" i="4"/>
  <c r="AC339" i="4"/>
  <c r="AC340" i="4"/>
  <c r="AC341" i="4"/>
  <c r="AC342" i="4"/>
  <c r="AC343" i="4"/>
  <c r="AC344" i="4"/>
  <c r="AC345" i="4"/>
  <c r="AC346" i="4"/>
  <c r="AC347" i="4"/>
  <c r="AC348" i="4"/>
  <c r="AC349" i="4"/>
  <c r="AC350" i="4"/>
  <c r="AC351" i="4"/>
  <c r="AC352" i="4"/>
  <c r="AC353" i="4"/>
  <c r="AC354" i="4"/>
  <c r="AC355" i="4"/>
  <c r="AC356" i="4"/>
  <c r="AC357" i="4"/>
  <c r="AC358" i="4"/>
  <c r="AC359" i="4"/>
  <c r="AC360" i="4"/>
  <c r="AC361" i="4"/>
  <c r="AC362" i="4"/>
  <c r="AC363" i="4"/>
  <c r="AC364" i="4"/>
  <c r="AC365" i="4"/>
  <c r="AC366" i="4"/>
  <c r="AC367" i="4"/>
  <c r="AC368" i="4"/>
  <c r="AC369" i="4"/>
  <c r="AC370" i="4"/>
  <c r="AC371" i="4"/>
  <c r="AC372" i="4"/>
  <c r="AC373" i="4"/>
  <c r="AC374" i="4"/>
  <c r="AC375" i="4"/>
  <c r="AC376" i="4"/>
  <c r="AC377" i="4"/>
  <c r="AC378" i="4"/>
  <c r="AC379" i="4"/>
  <c r="AC380" i="4"/>
  <c r="AC381" i="4"/>
  <c r="AC382" i="4"/>
  <c r="AC383" i="4"/>
  <c r="AC384" i="4"/>
  <c r="AC385" i="4"/>
  <c r="AC386" i="4"/>
  <c r="AC387" i="4"/>
  <c r="AC388" i="4"/>
  <c r="AC389" i="4"/>
  <c r="AC390" i="4"/>
  <c r="AC391" i="4"/>
  <c r="AC392" i="4"/>
  <c r="AC393" i="4"/>
  <c r="AC394" i="4"/>
  <c r="AC395" i="4"/>
  <c r="AC396" i="4"/>
  <c r="AC397" i="4"/>
  <c r="AC398" i="4"/>
  <c r="AC399" i="4"/>
  <c r="AC400" i="4"/>
  <c r="AC401" i="4"/>
  <c r="AC402" i="4"/>
  <c r="AC403" i="4"/>
  <c r="AC404" i="4"/>
  <c r="AC405" i="4"/>
  <c r="AC406" i="4"/>
  <c r="AC407" i="4"/>
  <c r="AC408" i="4"/>
  <c r="AC409" i="4"/>
  <c r="AC410" i="4"/>
  <c r="AC411" i="4"/>
  <c r="AC412" i="4"/>
  <c r="AC413" i="4"/>
  <c r="AC414" i="4"/>
  <c r="AC415" i="4"/>
  <c r="AC416" i="4"/>
  <c r="AC417" i="4"/>
  <c r="AC418" i="4"/>
  <c r="AC419" i="4"/>
  <c r="AC420" i="4"/>
  <c r="AC421" i="4"/>
  <c r="AC422" i="4"/>
  <c r="AC423" i="4"/>
  <c r="AC424" i="4"/>
  <c r="AC425" i="4"/>
  <c r="AC426" i="4"/>
  <c r="AC427" i="4"/>
  <c r="AC428" i="4"/>
  <c r="AC429" i="4"/>
  <c r="AC430" i="4"/>
  <c r="AC431" i="4"/>
  <c r="AC432" i="4"/>
  <c r="AC433" i="4"/>
  <c r="AC434" i="4"/>
  <c r="AC435" i="4"/>
  <c r="AC436" i="4"/>
  <c r="AC437" i="4"/>
  <c r="AC438" i="4"/>
  <c r="AC439" i="4"/>
  <c r="AC440" i="4"/>
  <c r="AC441" i="4"/>
  <c r="AC442" i="4"/>
  <c r="AC443" i="4"/>
  <c r="AC444" i="4"/>
  <c r="AC445" i="4"/>
  <c r="AC446" i="4"/>
  <c r="AC447" i="4"/>
  <c r="AC448" i="4"/>
  <c r="AC449" i="4"/>
  <c r="AC450" i="4"/>
  <c r="AC451" i="4"/>
  <c r="AC452" i="4"/>
  <c r="AC453" i="4"/>
  <c r="AC454" i="4"/>
  <c r="AC455" i="4"/>
  <c r="AC456" i="4"/>
  <c r="AC457" i="4"/>
  <c r="AC458" i="4"/>
  <c r="AC459" i="4"/>
  <c r="AC460" i="4"/>
  <c r="AC461" i="4"/>
  <c r="AC462" i="4"/>
  <c r="AC463" i="4"/>
  <c r="AC464" i="4"/>
  <c r="AC465" i="4"/>
  <c r="AC466" i="4"/>
  <c r="AC467" i="4"/>
  <c r="AC468" i="4"/>
  <c r="AC469" i="4"/>
  <c r="AC470" i="4"/>
  <c r="AC471" i="4"/>
  <c r="AC472" i="4"/>
  <c r="AC473" i="4"/>
  <c r="AC474" i="4"/>
  <c r="AC475" i="4"/>
  <c r="AC476" i="4"/>
  <c r="AC477" i="4"/>
  <c r="AC478" i="4"/>
  <c r="AC479" i="4"/>
  <c r="AC480" i="4"/>
  <c r="AC481" i="4"/>
  <c r="AC482" i="4"/>
  <c r="AC483" i="4"/>
  <c r="AC484" i="4"/>
  <c r="AC485" i="4"/>
  <c r="AC486" i="4"/>
  <c r="AC487" i="4"/>
  <c r="AC488" i="4"/>
  <c r="AC489" i="4"/>
  <c r="AC490" i="4"/>
  <c r="AC491" i="4"/>
  <c r="AC492" i="4"/>
  <c r="AC493" i="4"/>
  <c r="AC494" i="4"/>
  <c r="AC495" i="4"/>
  <c r="AC496" i="4"/>
  <c r="AC497" i="4"/>
  <c r="AC498" i="4"/>
  <c r="AC499" i="4"/>
  <c r="AC500" i="4"/>
  <c r="AC501" i="4"/>
  <c r="AC502" i="4"/>
  <c r="AF262" i="4"/>
  <c r="AF249" i="4"/>
  <c r="AF157" i="4"/>
  <c r="AF147" i="4"/>
  <c r="AF67" i="4"/>
  <c r="AF9" i="4"/>
  <c r="AC9" i="4"/>
  <c r="AC67" i="4"/>
  <c r="AC147" i="4"/>
  <c r="AC157" i="4"/>
  <c r="AC249" i="4"/>
  <c r="AC262" i="4"/>
  <c r="AD157" i="4" l="1"/>
  <c r="AD21" i="4"/>
  <c r="AE21" i="4" s="1"/>
  <c r="AG21" i="4" s="1"/>
  <c r="AD61" i="4"/>
  <c r="AE61" i="4" s="1"/>
  <c r="AG61" i="4" s="1"/>
  <c r="AD5" i="4"/>
  <c r="AE5" i="4" s="1"/>
  <c r="AG5" i="4" s="1"/>
  <c r="AD37" i="4"/>
  <c r="AE37" i="4" s="1"/>
  <c r="AG37" i="4" s="1"/>
  <c r="AD29" i="4"/>
  <c r="AE29" i="4" s="1"/>
  <c r="AG29" i="4" s="1"/>
  <c r="AD45" i="4"/>
  <c r="AE45" i="4" s="1"/>
  <c r="AG45" i="4" s="1"/>
  <c r="AD53" i="4"/>
  <c r="AE53" i="4" s="1"/>
  <c r="AG53" i="4" s="1"/>
  <c r="AD13" i="4"/>
  <c r="AE13" i="4" s="1"/>
  <c r="AG13" i="4" s="1"/>
  <c r="AD249" i="4"/>
  <c r="AD63" i="4"/>
  <c r="AE63" i="4" s="1"/>
  <c r="AG63" i="4" s="1"/>
  <c r="AD55" i="4"/>
  <c r="AE55" i="4" s="1"/>
  <c r="AG55" i="4" s="1"/>
  <c r="AD47" i="4"/>
  <c r="AE47" i="4" s="1"/>
  <c r="AG47" i="4" s="1"/>
  <c r="AD39" i="4"/>
  <c r="AE39" i="4" s="1"/>
  <c r="AG39" i="4" s="1"/>
  <c r="AD31" i="4"/>
  <c r="AE31" i="4" s="1"/>
  <c r="AG31" i="4" s="1"/>
  <c r="AD23" i="4"/>
  <c r="AE23" i="4" s="1"/>
  <c r="AG23" i="4" s="1"/>
  <c r="AD15" i="4"/>
  <c r="AE15" i="4" s="1"/>
  <c r="AG15" i="4" s="1"/>
  <c r="AD7" i="4"/>
  <c r="AE7" i="4" s="1"/>
  <c r="AG7" i="4" s="1"/>
  <c r="AD9" i="4"/>
  <c r="AD262" i="4"/>
  <c r="AD62" i="4"/>
  <c r="AE62" i="4" s="1"/>
  <c r="AG62" i="4" s="1"/>
  <c r="AD54" i="4"/>
  <c r="AE54" i="4" s="1"/>
  <c r="AG54" i="4" s="1"/>
  <c r="AD46" i="4"/>
  <c r="AE46" i="4" s="1"/>
  <c r="AG46" i="4" s="1"/>
  <c r="AD38" i="4"/>
  <c r="AE38" i="4" s="1"/>
  <c r="AG38" i="4" s="1"/>
  <c r="AD30" i="4"/>
  <c r="AE30" i="4" s="1"/>
  <c r="AG30" i="4" s="1"/>
  <c r="AD22" i="4"/>
  <c r="AE22" i="4" s="1"/>
  <c r="AG22" i="4" s="1"/>
  <c r="AD14" i="4"/>
  <c r="AE14" i="4" s="1"/>
  <c r="AG14" i="4" s="1"/>
  <c r="AD6" i="4"/>
  <c r="AE6" i="4" s="1"/>
  <c r="AG6" i="4" s="1"/>
  <c r="AD67" i="4"/>
  <c r="AD60" i="4"/>
  <c r="AE60" i="4" s="1"/>
  <c r="AG60" i="4" s="1"/>
  <c r="AD52" i="4"/>
  <c r="AE52" i="4" s="1"/>
  <c r="AG52" i="4" s="1"/>
  <c r="AD44" i="4"/>
  <c r="AE44" i="4" s="1"/>
  <c r="AG44" i="4" s="1"/>
  <c r="AD36" i="4"/>
  <c r="AE36" i="4" s="1"/>
  <c r="AG36" i="4" s="1"/>
  <c r="AD28" i="4"/>
  <c r="AE28" i="4" s="1"/>
  <c r="AG28" i="4" s="1"/>
  <c r="AD20" i="4"/>
  <c r="AE20" i="4" s="1"/>
  <c r="AG20" i="4" s="1"/>
  <c r="AD12" i="4"/>
  <c r="AE12" i="4" s="1"/>
  <c r="AG12" i="4" s="1"/>
  <c r="AD4" i="4"/>
  <c r="AE4" i="4" s="1"/>
  <c r="AG4" i="4" s="1"/>
  <c r="AD147" i="4"/>
  <c r="AD59" i="4"/>
  <c r="AE59" i="4" s="1"/>
  <c r="AD51" i="4"/>
  <c r="AE51" i="4" s="1"/>
  <c r="AG51" i="4" s="1"/>
  <c r="AD43" i="4"/>
  <c r="AE43" i="4" s="1"/>
  <c r="AG43" i="4" s="1"/>
  <c r="AD35" i="4"/>
  <c r="AE35" i="4" s="1"/>
  <c r="AG35" i="4" s="1"/>
  <c r="AD27" i="4"/>
  <c r="AE27" i="4" s="1"/>
  <c r="AG27" i="4" s="1"/>
  <c r="AD19" i="4"/>
  <c r="AE19" i="4" s="1"/>
  <c r="AG19" i="4" s="1"/>
  <c r="AD11" i="4"/>
  <c r="AE11" i="4" s="1"/>
  <c r="AG11" i="4" s="1"/>
  <c r="AD3" i="4"/>
  <c r="AE3" i="4" s="1"/>
  <c r="AG3" i="4" s="1"/>
  <c r="AD64" i="4"/>
  <c r="AE64" i="4" s="1"/>
  <c r="AG64" i="4" s="1"/>
  <c r="AD56" i="4"/>
  <c r="AE56" i="4" s="1"/>
  <c r="AG56" i="4" s="1"/>
  <c r="AD48" i="4"/>
  <c r="AE48" i="4" s="1"/>
  <c r="AG48" i="4" s="1"/>
  <c r="AD40" i="4"/>
  <c r="AE40" i="4" s="1"/>
  <c r="AG40" i="4" s="1"/>
  <c r="AD32" i="4"/>
  <c r="AE32" i="4" s="1"/>
  <c r="AG32" i="4" s="1"/>
  <c r="AD24" i="4"/>
  <c r="AE24" i="4" s="1"/>
  <c r="AG24" i="4" s="1"/>
  <c r="AD16" i="4"/>
  <c r="AE16" i="4" s="1"/>
  <c r="AG16" i="4" s="1"/>
  <c r="AD8" i="4"/>
  <c r="AE8" i="4" s="1"/>
  <c r="AG8" i="4" s="1"/>
  <c r="AD66" i="4"/>
  <c r="AE66" i="4" s="1"/>
  <c r="AG66" i="4" s="1"/>
  <c r="AD58" i="4"/>
  <c r="AE58" i="4" s="1"/>
  <c r="AG58" i="4" s="1"/>
  <c r="AD50" i="4"/>
  <c r="AE50" i="4" s="1"/>
  <c r="AG50" i="4" s="1"/>
  <c r="AD42" i="4"/>
  <c r="AE42" i="4" s="1"/>
  <c r="AG42" i="4" s="1"/>
  <c r="AD34" i="4"/>
  <c r="AE34" i="4" s="1"/>
  <c r="AG34" i="4" s="1"/>
  <c r="AD26" i="4"/>
  <c r="AE26" i="4" s="1"/>
  <c r="AG26" i="4" s="1"/>
  <c r="AD18" i="4"/>
  <c r="AE18" i="4" s="1"/>
  <c r="AG18" i="4" s="1"/>
  <c r="AD10" i="4"/>
  <c r="AE10" i="4" s="1"/>
  <c r="AG10" i="4" s="1"/>
  <c r="AD2" i="4"/>
  <c r="AE2" i="4" s="1"/>
  <c r="AG2" i="4" s="1"/>
  <c r="AD65" i="4"/>
  <c r="AE65" i="4" s="1"/>
  <c r="AG65" i="4" s="1"/>
  <c r="AD57" i="4"/>
  <c r="AE57" i="4" s="1"/>
  <c r="AG57" i="4" s="1"/>
  <c r="AD49" i="4"/>
  <c r="AE49" i="4" s="1"/>
  <c r="AG49" i="4" s="1"/>
  <c r="AD41" i="4"/>
  <c r="AE41" i="4" s="1"/>
  <c r="AG41" i="4" s="1"/>
  <c r="AD33" i="4"/>
  <c r="AE33" i="4" s="1"/>
  <c r="AG33" i="4" s="1"/>
  <c r="AD25" i="4"/>
  <c r="AE25" i="4" s="1"/>
  <c r="AG25" i="4" s="1"/>
  <c r="AD17" i="4"/>
  <c r="AE17" i="4" s="1"/>
  <c r="AG17" i="4" s="1"/>
  <c r="AE157" i="4" l="1"/>
  <c r="AG157" i="4" s="1"/>
  <c r="AE262" i="4"/>
  <c r="AG262" i="4" s="1"/>
  <c r="AE249" i="4"/>
  <c r="AG249" i="4" s="1"/>
  <c r="AE67" i="4"/>
  <c r="AG67" i="4" s="1"/>
  <c r="AE9" i="4"/>
  <c r="AG9" i="4" s="1"/>
  <c r="AE147" i="4"/>
  <c r="AG147" i="4" s="1"/>
</calcChain>
</file>

<file path=xl/sharedStrings.xml><?xml version="1.0" encoding="utf-8"?>
<sst xmlns="http://schemas.openxmlformats.org/spreadsheetml/2006/main" count="22405" uniqueCount="1123">
  <si>
    <t>Age</t>
  </si>
  <si>
    <t>Gender</t>
  </si>
  <si>
    <t>City</t>
  </si>
  <si>
    <t>Department</t>
  </si>
  <si>
    <t>Role</t>
  </si>
  <si>
    <t>Performance_Rating</t>
  </si>
  <si>
    <t>Bonus</t>
  </si>
  <si>
    <t>Attendance_%</t>
  </si>
  <si>
    <t>Leaves_Taken</t>
  </si>
  <si>
    <t>Projects_Handled</t>
  </si>
  <si>
    <t>Promotion_Status</t>
  </si>
  <si>
    <t>Work_Mode</t>
  </si>
  <si>
    <t>Shift</t>
  </si>
  <si>
    <t>Overtime_Hours</t>
  </si>
  <si>
    <t>Training_Hours</t>
  </si>
  <si>
    <t>Salary_Band</t>
  </si>
  <si>
    <t>Male</t>
  </si>
  <si>
    <t>Pune</t>
  </si>
  <si>
    <t>HR</t>
  </si>
  <si>
    <t>Office</t>
  </si>
  <si>
    <t>Day</t>
  </si>
  <si>
    <t>No</t>
  </si>
  <si>
    <t>Medium</t>
  </si>
  <si>
    <t>ZOM1328</t>
  </si>
  <si>
    <t>Employee_328_India</t>
  </si>
  <si>
    <t>F</t>
  </si>
  <si>
    <t>Bangalore</t>
  </si>
  <si>
    <t>Customer Support</t>
  </si>
  <si>
    <t>Remote</t>
  </si>
  <si>
    <t>ZOM1042</t>
  </si>
  <si>
    <t>Employee_42_India</t>
  </si>
  <si>
    <t>Logistics</t>
  </si>
  <si>
    <t>Senior Manager</t>
  </si>
  <si>
    <t>Night</t>
  </si>
  <si>
    <t>Female</t>
  </si>
  <si>
    <t>Noida</t>
  </si>
  <si>
    <t>Analytics</t>
  </si>
  <si>
    <t>Yes</t>
  </si>
  <si>
    <t>Hybrid</t>
  </si>
  <si>
    <t>Low</t>
  </si>
  <si>
    <t>ZOM1377</t>
  </si>
  <si>
    <t>Employee_377_India</t>
  </si>
  <si>
    <t>Operations</t>
  </si>
  <si>
    <t>Analyst</t>
  </si>
  <si>
    <t>ZOM1076</t>
  </si>
  <si>
    <t>Employee_76_India</t>
  </si>
  <si>
    <t>M</t>
  </si>
  <si>
    <t>Gurugram</t>
  </si>
  <si>
    <t>ZOM1103</t>
  </si>
  <si>
    <t>Employee_103_India</t>
  </si>
  <si>
    <t>Delhi</t>
  </si>
  <si>
    <t>Senior Analyst</t>
  </si>
  <si>
    <t>ZOM1014</t>
  </si>
  <si>
    <t>Employee_14_India</t>
  </si>
  <si>
    <t>ZOM1333</t>
  </si>
  <si>
    <t>Employee_333_India</t>
  </si>
  <si>
    <t>ZOM1625</t>
  </si>
  <si>
    <t>Chennai</t>
  </si>
  <si>
    <t>High</t>
  </si>
  <si>
    <t>ZOM1005</t>
  </si>
  <si>
    <t>Employee_5_India</t>
  </si>
  <si>
    <t>Hyderabad</t>
  </si>
  <si>
    <t>ZOM1570</t>
  </si>
  <si>
    <t>Employee_570_India</t>
  </si>
  <si>
    <t>Mumbai</t>
  </si>
  <si>
    <t>Kolkata</t>
  </si>
  <si>
    <t>Finance</t>
  </si>
  <si>
    <t>ZOM1142</t>
  </si>
  <si>
    <t>Employee_142_India</t>
  </si>
  <si>
    <t>ZOM1507</t>
  </si>
  <si>
    <t>Employee_507_India</t>
  </si>
  <si>
    <t>ZOM1068</t>
  </si>
  <si>
    <t>Employee_68_India</t>
  </si>
  <si>
    <t>Indore</t>
  </si>
  <si>
    <t>ZOM1372</t>
  </si>
  <si>
    <t>Employee_372_India</t>
  </si>
  <si>
    <t>ZOM1451</t>
  </si>
  <si>
    <t>Employee_451_India</t>
  </si>
  <si>
    <t>ZOM1206</t>
  </si>
  <si>
    <t>Employee_206_India</t>
  </si>
  <si>
    <t>ZOM1318</t>
  </si>
  <si>
    <t>Employee_318_India</t>
  </si>
  <si>
    <t>Manager</t>
  </si>
  <si>
    <t>ZOM1212</t>
  </si>
  <si>
    <t>Employee_212_India</t>
  </si>
  <si>
    <t>ZOM1255</t>
  </si>
  <si>
    <t>Employee_255_India</t>
  </si>
  <si>
    <t>ZOM1390</t>
  </si>
  <si>
    <t>Employee_390_India</t>
  </si>
  <si>
    <t>ZOM1234</t>
  </si>
  <si>
    <t>Employee_234_India</t>
  </si>
  <si>
    <t>ZOM1385</t>
  </si>
  <si>
    <t>Employee_385_India</t>
  </si>
  <si>
    <t>ZOM1058</t>
  </si>
  <si>
    <t>Employee_58_India</t>
  </si>
  <si>
    <t>ZOM1073</t>
  </si>
  <si>
    <t>Employee_73_India</t>
  </si>
  <si>
    <t>ZOM1360</t>
  </si>
  <si>
    <t>Employee_360_India</t>
  </si>
  <si>
    <t>ZOM1051</t>
  </si>
  <si>
    <t>Employee_51_India</t>
  </si>
  <si>
    <t>ZOM1459</t>
  </si>
  <si>
    <t>Employee_459_India</t>
  </si>
  <si>
    <t>ZOM1278</t>
  </si>
  <si>
    <t>Employee_278_India</t>
  </si>
  <si>
    <t>ZOM1572</t>
  </si>
  <si>
    <t>Employee_572_India</t>
  </si>
  <si>
    <t>ZOM1529</t>
  </si>
  <si>
    <t>Employee_529_India</t>
  </si>
  <si>
    <t>ZOM1609</t>
  </si>
  <si>
    <t>Employee_9_Foreign</t>
  </si>
  <si>
    <t>ZOM1339</t>
  </si>
  <si>
    <t>Employee_339_India</t>
  </si>
  <si>
    <t>ZOM1632</t>
  </si>
  <si>
    <t>Employee_32_Foreign</t>
  </si>
  <si>
    <t>ZOM1597</t>
  </si>
  <si>
    <t>Employee_597_India</t>
  </si>
  <si>
    <t>ZOM1188</t>
  </si>
  <si>
    <t>Employee_188_India</t>
  </si>
  <si>
    <t>ZOM1655</t>
  </si>
  <si>
    <t>Employee_55_Foreign</t>
  </si>
  <si>
    <t>ZOM1098</t>
  </si>
  <si>
    <t>Employee_98_India</t>
  </si>
  <si>
    <t>ZOM1040</t>
  </si>
  <si>
    <t>Employee_40_India</t>
  </si>
  <si>
    <t>ZOM1273</t>
  </si>
  <si>
    <t>Employee_273_India</t>
  </si>
  <si>
    <t>ZOM1045</t>
  </si>
  <si>
    <t>Employee_45_India</t>
  </si>
  <si>
    <t>ZOM1161</t>
  </si>
  <si>
    <t>Employee_161_India</t>
  </si>
  <si>
    <t>ZOM1612</t>
  </si>
  <si>
    <t>Employee_12_Foreign</t>
  </si>
  <si>
    <t>ZOM1268</t>
  </si>
  <si>
    <t>Employee_268_India</t>
  </si>
  <si>
    <t>ZOM1481</t>
  </si>
  <si>
    <t>Employee_481_India</t>
  </si>
  <si>
    <t>ZOM1071</t>
  </si>
  <si>
    <t>Employee_71_India</t>
  </si>
  <si>
    <t>ZOM1163</t>
  </si>
  <si>
    <t>Employee_163_India</t>
  </si>
  <si>
    <t>ZOM1347</t>
  </si>
  <si>
    <t>Employee_347_India</t>
  </si>
  <si>
    <t>ZOM1055</t>
  </si>
  <si>
    <t>Employee_55_India</t>
  </si>
  <si>
    <t>ZOM1145</t>
  </si>
  <si>
    <t>Employee_145_India</t>
  </si>
  <si>
    <t>ZOM1617</t>
  </si>
  <si>
    <t>Employee_17_Foreign</t>
  </si>
  <si>
    <t>ZOM1095</t>
  </si>
  <si>
    <t>Employee_95_India</t>
  </si>
  <si>
    <t>ZOM1543</t>
  </si>
  <si>
    <t>Employee_543_India</t>
  </si>
  <si>
    <t>ZOM1487</t>
  </si>
  <si>
    <t>Employee_487_India</t>
  </si>
  <si>
    <t>ZOM1230</t>
  </si>
  <si>
    <t>Employee_230_India</t>
  </si>
  <si>
    <t>ZOM1017</t>
  </si>
  <si>
    <t>Employee_17_India</t>
  </si>
  <si>
    <t>ZOM1528</t>
  </si>
  <si>
    <t>Employee_528_India</t>
  </si>
  <si>
    <t>ZOM1118</t>
  </si>
  <si>
    <t>Employee_118_India</t>
  </si>
  <si>
    <t>ZOM1527</t>
  </si>
  <si>
    <t>Employee_527_India</t>
  </si>
  <si>
    <t>ZOM1542</t>
  </si>
  <si>
    <t>Employee_542_India</t>
  </si>
  <si>
    <t>ZOM1157</t>
  </si>
  <si>
    <t>Employee_157_India</t>
  </si>
  <si>
    <t>ZOM1540</t>
  </si>
  <si>
    <t>Employee_540_India</t>
  </si>
  <si>
    <t>ZOM1341</t>
  </si>
  <si>
    <t>Employee_341_India</t>
  </si>
  <si>
    <t>ZOM1325</t>
  </si>
  <si>
    <t>Employee_325_India</t>
  </si>
  <si>
    <t>ZOM1123</t>
  </si>
  <si>
    <t>Employee_123_India</t>
  </si>
  <si>
    <t>ZOM1063</t>
  </si>
  <si>
    <t>Employee_63_India</t>
  </si>
  <si>
    <t>ZOM1611</t>
  </si>
  <si>
    <t>Employee_11_Foreign</t>
  </si>
  <si>
    <t>ZOM1311</t>
  </si>
  <si>
    <t>Employee_311_India</t>
  </si>
  <si>
    <t>ZOM1381</t>
  </si>
  <si>
    <t>Employee_381_India</t>
  </si>
  <si>
    <t>ZOM1676</t>
  </si>
  <si>
    <t>Employee_76_Foreign</t>
  </si>
  <si>
    <t>ZOM1226</t>
  </si>
  <si>
    <t>Employee_226_India</t>
  </si>
  <si>
    <t>ZOM1344</t>
  </si>
  <si>
    <t>Employee_344_India</t>
  </si>
  <si>
    <t>ZOM1566</t>
  </si>
  <si>
    <t>Employee_566_India</t>
  </si>
  <si>
    <t>ZOM1648</t>
  </si>
  <si>
    <t>Employee_48_Foreign</t>
  </si>
  <si>
    <t>ZOM1420</t>
  </si>
  <si>
    <t>Employee_420_India</t>
  </si>
  <si>
    <t>ZOM1533</t>
  </si>
  <si>
    <t>Employee_533_India</t>
  </si>
  <si>
    <t>ZOM1680</t>
  </si>
  <si>
    <t>Employee_80_Foreign</t>
  </si>
  <si>
    <t>ZOM1216</t>
  </si>
  <si>
    <t>Employee_216_India</t>
  </si>
  <si>
    <t>ZOM1494</t>
  </si>
  <si>
    <t>Employee_494_India</t>
  </si>
  <si>
    <t>ZOM1048</t>
  </si>
  <si>
    <t>Employee_48_India</t>
  </si>
  <si>
    <t>ZOM1416</t>
  </si>
  <si>
    <t>Employee_416_India</t>
  </si>
  <si>
    <t>ZOM1620</t>
  </si>
  <si>
    <t>Employee_20_Foreign</t>
  </si>
  <si>
    <t>ZOM1024</t>
  </si>
  <si>
    <t>Employee_24_India</t>
  </si>
  <si>
    <t>ZOM1285</t>
  </si>
  <si>
    <t>Employee_285_India</t>
  </si>
  <si>
    <t>ZOM1239</t>
  </si>
  <si>
    <t>Employee_239_India</t>
  </si>
  <si>
    <t>ZOM1026</t>
  </si>
  <si>
    <t>Employee_26_India</t>
  </si>
  <si>
    <t>ZOM1681</t>
  </si>
  <si>
    <t>Employee_81_Foreign</t>
  </si>
  <si>
    <t>ZOM1112</t>
  </si>
  <si>
    <t>Employee_112_India</t>
  </si>
  <si>
    <t>ZOM1613</t>
  </si>
  <si>
    <t>Employee_13_Foreign</t>
  </si>
  <si>
    <t>ZOM1371</t>
  </si>
  <si>
    <t>Employee_371_India</t>
  </si>
  <si>
    <t>ZOM1403</t>
  </si>
  <si>
    <t>Employee_403_India</t>
  </si>
  <si>
    <t>ZOM1526</t>
  </si>
  <si>
    <t>Employee_526_India</t>
  </si>
  <si>
    <t>ZOM1324</t>
  </si>
  <si>
    <t>Employee_324_India</t>
  </si>
  <si>
    <t>ZOM1684</t>
  </si>
  <si>
    <t>Employee_84_Foreign</t>
  </si>
  <si>
    <t>ZOM1286</t>
  </si>
  <si>
    <t>Employee_286_India</t>
  </si>
  <si>
    <t>ZOM1151</t>
  </si>
  <si>
    <t>Employee_151_India</t>
  </si>
  <si>
    <t>ZOM1464</t>
  </si>
  <si>
    <t>Employee_464_India</t>
  </si>
  <si>
    <t>ZOM1664</t>
  </si>
  <si>
    <t>Employee_64_Foreign</t>
  </si>
  <si>
    <t>ZOM1532</t>
  </si>
  <si>
    <t>Employee_532_India</t>
  </si>
  <si>
    <t>ZOM1407</t>
  </si>
  <si>
    <t>Employee_407_India</t>
  </si>
  <si>
    <t>ZOM1417</t>
  </si>
  <si>
    <t>Employee_417_India</t>
  </si>
  <si>
    <t>ZOM1054</t>
  </si>
  <si>
    <t>Employee_54_India</t>
  </si>
  <si>
    <t>ZOM1064</t>
  </si>
  <si>
    <t>Employee_64_India</t>
  </si>
  <si>
    <t>ZOM1294</t>
  </si>
  <si>
    <t>Employee_294_India</t>
  </si>
  <si>
    <t>ZOM1643</t>
  </si>
  <si>
    <t>Employee_43_Foreign</t>
  </si>
  <si>
    <t>ZOM1003</t>
  </si>
  <si>
    <t>Employee_3_India</t>
  </si>
  <si>
    <t>ZOM1297</t>
  </si>
  <si>
    <t>Employee_297_India</t>
  </si>
  <si>
    <t>ZOM1431</t>
  </si>
  <si>
    <t>Employee_431_India</t>
  </si>
  <si>
    <t>ZOM1553</t>
  </si>
  <si>
    <t>Employee_553_India</t>
  </si>
  <si>
    <t>ZOM1637</t>
  </si>
  <si>
    <t>Employee_37_Foreign</t>
  </si>
  <si>
    <t>ZOM1393</t>
  </si>
  <si>
    <t>Employee_393_India</t>
  </si>
  <si>
    <t>ZOM1019</t>
  </si>
  <si>
    <t>Employee_19_India</t>
  </si>
  <si>
    <t>ZOM1549</t>
  </si>
  <si>
    <t>Employee_549_India</t>
  </si>
  <si>
    <t>ZOM1594</t>
  </si>
  <si>
    <t>Employee_594_India</t>
  </si>
  <si>
    <t>ZOM1442</t>
  </si>
  <si>
    <t>Employee_442_India</t>
  </si>
  <si>
    <t>ZOM1448</t>
  </si>
  <si>
    <t>Employee_448_India</t>
  </si>
  <si>
    <t>ZOM1428</t>
  </si>
  <si>
    <t>Employee_428_India</t>
  </si>
  <si>
    <t>ZOM1070</t>
  </si>
  <si>
    <t>Employee_70_India</t>
  </si>
  <si>
    <t>ZOM1363</t>
  </si>
  <si>
    <t>Employee_363_India</t>
  </si>
  <si>
    <t>ZOM1122</t>
  </si>
  <si>
    <t>Employee_122_India</t>
  </si>
  <si>
    <t>ZOM1556</t>
  </si>
  <si>
    <t>Employee_556_India</t>
  </si>
  <si>
    <t>ZOM1468</t>
  </si>
  <si>
    <t>Employee_468_India</t>
  </si>
  <si>
    <t>ZOM1020</t>
  </si>
  <si>
    <t>Employee_20_India</t>
  </si>
  <si>
    <t>ZOM1663</t>
  </si>
  <si>
    <t>Employee_63_Foreign</t>
  </si>
  <si>
    <t>ZOM1682</t>
  </si>
  <si>
    <t>Employee_82_Foreign</t>
  </si>
  <si>
    <t>ZOM1100</t>
  </si>
  <si>
    <t>Employee_100_India</t>
  </si>
  <si>
    <t>ZOM1218</t>
  </si>
  <si>
    <t>Employee_218_India</t>
  </si>
  <si>
    <t>ZOM1332</t>
  </si>
  <si>
    <t>Employee_332_India</t>
  </si>
  <si>
    <t>ZOM1044</t>
  </si>
  <si>
    <t>Employee_44_India</t>
  </si>
  <si>
    <t>ZOM1183</t>
  </si>
  <si>
    <t>Employee_183_India</t>
  </si>
  <si>
    <t>ZOM1660</t>
  </si>
  <si>
    <t>Employee_60_Foreign</t>
  </si>
  <si>
    <t>ZOM1229</t>
  </si>
  <si>
    <t>Employee_229_India</t>
  </si>
  <si>
    <t>ZOM1214</t>
  </si>
  <si>
    <t>Employee_214_India</t>
  </si>
  <si>
    <t>ZOM1415</t>
  </si>
  <si>
    <t>Employee_415_India</t>
  </si>
  <si>
    <t>ZOM1629</t>
  </si>
  <si>
    <t>Employee_29_Foreign</t>
  </si>
  <si>
    <t>ZOM1314</t>
  </si>
  <si>
    <t>Employee_314_India</t>
  </si>
  <si>
    <t>ZOM1551</t>
  </si>
  <si>
    <t>Employee_551_India</t>
  </si>
  <si>
    <t>ZOM1306</t>
  </si>
  <si>
    <t>Employee_306_India</t>
  </si>
  <si>
    <t>ZOM1007</t>
  </si>
  <si>
    <t>Employee_7_India</t>
  </si>
  <si>
    <t>ZOM1220</t>
  </si>
  <si>
    <t>Employee_220_India</t>
  </si>
  <si>
    <t>ZOM1248</t>
  </si>
  <si>
    <t>Employee_248_India</t>
  </si>
  <si>
    <t>ZOM1506</t>
  </si>
  <si>
    <t>Employee_506_India</t>
  </si>
  <si>
    <t>ZOM1383</t>
  </si>
  <si>
    <t>Employee_383_India</t>
  </si>
  <si>
    <t>ZOM1247</t>
  </si>
  <si>
    <t>Employee_247_India</t>
  </si>
  <si>
    <t>ZOM1047</t>
  </si>
  <si>
    <t>Employee_47_India</t>
  </si>
  <si>
    <t>ZOM1584</t>
  </si>
  <si>
    <t>Employee_584_India</t>
  </si>
  <si>
    <t>ZOM1657</t>
  </si>
  <si>
    <t>Employee_57_Foreign</t>
  </si>
  <si>
    <t>ZOM1499</t>
  </si>
  <si>
    <t>Employee_499_India</t>
  </si>
  <si>
    <t>ZOM1269</t>
  </si>
  <si>
    <t>Employee_269_India</t>
  </si>
  <si>
    <t>ZOM1659</t>
  </si>
  <si>
    <t>Employee_59_Foreign</t>
  </si>
  <si>
    <t>ZOM1365</t>
  </si>
  <si>
    <t>Employee_365_India</t>
  </si>
  <si>
    <t>ZOM1598</t>
  </si>
  <si>
    <t>Employee_598_India</t>
  </si>
  <si>
    <t>ZOM1034</t>
  </si>
  <si>
    <t>Employee_34_India</t>
  </si>
  <si>
    <t>ZOM1021</t>
  </si>
  <si>
    <t>Employee_21_India</t>
  </si>
  <si>
    <t>ZOM1061</t>
  </si>
  <si>
    <t>Employee_61_India</t>
  </si>
  <si>
    <t>ZOM1450</t>
  </si>
  <si>
    <t>Employee_450_India</t>
  </si>
  <si>
    <t>Employee_342_India</t>
  </si>
  <si>
    <t>ZOM1677</t>
  </si>
  <si>
    <t>Employee_77_Foreign</t>
  </si>
  <si>
    <t>ZOM1573</t>
  </si>
  <si>
    <t>Employee_573_India</t>
  </si>
  <si>
    <t>ZOM1559</t>
  </si>
  <si>
    <t>Employee_559_India</t>
  </si>
  <si>
    <t>ZOM1159</t>
  </si>
  <si>
    <t>Employee_159_India</t>
  </si>
  <si>
    <t>ZOM1398</t>
  </si>
  <si>
    <t>Employee_398_India</t>
  </si>
  <si>
    <t>ZOM1379</t>
  </si>
  <si>
    <t>Employee_379_India</t>
  </si>
  <si>
    <t>ZOM1335</t>
  </si>
  <si>
    <t>Employee_335_India</t>
  </si>
  <si>
    <t>ZOM1537</t>
  </si>
  <si>
    <t>Employee_537_India</t>
  </si>
  <si>
    <t>ZOM1547</t>
  </si>
  <si>
    <t>Employee_547_India</t>
  </si>
  <si>
    <t>ZOM1590</t>
  </si>
  <si>
    <t>Employee_590_India</t>
  </si>
  <si>
    <t>ZOM1645</t>
  </si>
  <si>
    <t>Employee_45_Foreign</t>
  </si>
  <si>
    <t>ZOM1009</t>
  </si>
  <si>
    <t>Employee_9_India</t>
  </si>
  <si>
    <t>ZOM1283</t>
  </si>
  <si>
    <t>Employee_283_India</t>
  </si>
  <si>
    <t>ZOM1187</t>
  </si>
  <si>
    <t>Employee_187_India</t>
  </si>
  <si>
    <t>ZOM1675</t>
  </si>
  <si>
    <t>Employee_75_Foreign</t>
  </si>
  <si>
    <t>ZOM1479</t>
  </si>
  <si>
    <t>Employee_479_India</t>
  </si>
  <si>
    <t>ZOM1359</t>
  </si>
  <si>
    <t>Employee_359_India</t>
  </si>
  <si>
    <t>ZOM1217</t>
  </si>
  <si>
    <t>Employee_217_India</t>
  </si>
  <si>
    <t>ZOM1127</t>
  </si>
  <si>
    <t>Employee_127_India</t>
  </si>
  <si>
    <t>ZOM1510</t>
  </si>
  <si>
    <t>Employee_510_India</t>
  </si>
  <si>
    <t>ZOM1259</t>
  </si>
  <si>
    <t>Employee_259_India</t>
  </si>
  <si>
    <t>ZOM1105</t>
  </si>
  <si>
    <t>Employee_105_India</t>
  </si>
  <si>
    <t>ZOM1169</t>
  </si>
  <si>
    <t>Employee_169_India</t>
  </si>
  <si>
    <t>ZOM1102</t>
  </si>
  <si>
    <t>Employee_102_India</t>
  </si>
  <si>
    <t>ZOM1119</t>
  </si>
  <si>
    <t>Employee_119_India</t>
  </si>
  <si>
    <t>ZOM1032</t>
  </si>
  <si>
    <t>Employee_32_India</t>
  </si>
  <si>
    <t>ZOM1323</t>
  </si>
  <si>
    <t>Employee_323_India</t>
  </si>
  <si>
    <t>ZOM1367</t>
  </si>
  <si>
    <t>Employee_367_India</t>
  </si>
  <si>
    <t>ZOM1453</t>
  </si>
  <si>
    <t>Employee_453_India</t>
  </si>
  <si>
    <t>ZOM1115</t>
  </si>
  <si>
    <t>Employee_115_India</t>
  </si>
  <si>
    <t>ZOM1465</t>
  </si>
  <si>
    <t>Employee_465_India</t>
  </si>
  <si>
    <t>ZOM1505</t>
  </si>
  <si>
    <t>Employee_505_India</t>
  </si>
  <si>
    <t>ZOM1308</t>
  </si>
  <si>
    <t>Employee_308_India</t>
  </si>
  <si>
    <t>ZOM1280</t>
  </si>
  <si>
    <t>Employee_280_India</t>
  </si>
  <si>
    <t>ZOM1455</t>
  </si>
  <si>
    <t>Employee_455_India</t>
  </si>
  <si>
    <t>ZOM1596</t>
  </si>
  <si>
    <t>Employee_596_India</t>
  </si>
  <si>
    <t>ZOM1249</t>
  </si>
  <si>
    <t>Employee_249_India</t>
  </si>
  <si>
    <t>ZOM1146</t>
  </si>
  <si>
    <t>Employee_146_India</t>
  </si>
  <si>
    <t>ZOM1616</t>
  </si>
  <si>
    <t>Employee_16_Foreign</t>
  </si>
  <si>
    <t>ZOM1405</t>
  </si>
  <si>
    <t>Employee_405_India</t>
  </si>
  <si>
    <t>ZOM1141</t>
  </si>
  <si>
    <t>Employee_141_India</t>
  </si>
  <si>
    <t>ZOM1579</t>
  </si>
  <si>
    <t>Employee_579_India</t>
  </si>
  <si>
    <t>ZOM1340</t>
  </si>
  <si>
    <t>Employee_340_India</t>
  </si>
  <si>
    <t>ZOM1067</t>
  </si>
  <si>
    <t>Employee_67_India</t>
  </si>
  <si>
    <t>ZOM1088</t>
  </si>
  <si>
    <t>Employee_88_India</t>
  </si>
  <si>
    <t>ZOM1132</t>
  </si>
  <si>
    <t>Employee_132_India</t>
  </si>
  <si>
    <t>ZOM1138</t>
  </si>
  <si>
    <t>Employee_138_India</t>
  </si>
  <si>
    <t>ZOM1623</t>
  </si>
  <si>
    <t>Employee_23_Foreign</t>
  </si>
  <si>
    <t>ZOM1041</t>
  </si>
  <si>
    <t>Employee_41_India</t>
  </si>
  <si>
    <t>ZOM1158</t>
  </si>
  <si>
    <t>Employee_158_India</t>
  </si>
  <si>
    <t>ZOM1633</t>
  </si>
  <si>
    <t>Employee_33_Foreign</t>
  </si>
  <si>
    <t>ZOM1418</t>
  </si>
  <si>
    <t>Employee_418_India</t>
  </si>
  <si>
    <t>ZOM1666</t>
  </si>
  <si>
    <t>Employee_66_Foreign</t>
  </si>
  <si>
    <t>ZOM1346</t>
  </si>
  <si>
    <t>Employee_346_India</t>
  </si>
  <si>
    <t>ZOM1430</t>
  </si>
  <si>
    <t>Employee_430_India</t>
  </si>
  <si>
    <t>ZOM1059</t>
  </si>
  <si>
    <t>Employee_59_India</t>
  </si>
  <si>
    <t>ZOM1583</t>
  </si>
  <si>
    <t>Employee_583_India</t>
  </si>
  <si>
    <t>ZOM1404</t>
  </si>
  <si>
    <t>Employee_404_India</t>
  </si>
  <si>
    <t>ZOM1195</t>
  </si>
  <si>
    <t>Employee_195_India</t>
  </si>
  <si>
    <t>ZOM1467</t>
  </si>
  <si>
    <t>Employee_467_India</t>
  </si>
  <si>
    <t>ZOM1099</t>
  </si>
  <si>
    <t>Employee_99_India</t>
  </si>
  <si>
    <t>ZOM1630</t>
  </si>
  <si>
    <t>Employee_30_Foreign</t>
  </si>
  <si>
    <t>ZOM1083</t>
  </si>
  <si>
    <t>Employee_83_India</t>
  </si>
  <si>
    <t>ZOM1002</t>
  </si>
  <si>
    <t>Employee_2_India</t>
  </si>
  <si>
    <t>ZOM1517</t>
  </si>
  <si>
    <t>Employee_517_India</t>
  </si>
  <si>
    <t>ZOM1139</t>
  </si>
  <si>
    <t>Employee_139_India</t>
  </si>
  <si>
    <t>ZOM1215</t>
  </si>
  <si>
    <t>Employee_215_India</t>
  </si>
  <si>
    <t>ZOM1260</t>
  </si>
  <si>
    <t>Employee_260_India</t>
  </si>
  <si>
    <t>ZOM1080</t>
  </si>
  <si>
    <t>Employee_80_India</t>
  </si>
  <si>
    <t>ZOM1037</t>
  </si>
  <si>
    <t>Employee_37_India</t>
  </si>
  <si>
    <t>ZOM1512</t>
  </si>
  <si>
    <t>Employee_512_India</t>
  </si>
  <si>
    <t>ZOM1334</t>
  </si>
  <si>
    <t>Employee_334_India</t>
  </si>
  <si>
    <t>ZOM1374</t>
  </si>
  <si>
    <t>Employee_374_India</t>
  </si>
  <si>
    <t>ZOM1182</t>
  </si>
  <si>
    <t>Employee_182_India</t>
  </si>
  <si>
    <t>ZOM1162</t>
  </si>
  <si>
    <t>Employee_162_India</t>
  </si>
  <si>
    <t>ZOM1066</t>
  </si>
  <si>
    <t>Employee_66_India</t>
  </si>
  <si>
    <t>ZOM1544</t>
  </si>
  <si>
    <t>Employee_544_India</t>
  </si>
  <si>
    <t>ZOM1027</t>
  </si>
  <si>
    <t>Employee_27_India</t>
  </si>
  <si>
    <t>ZOM1172</t>
  </si>
  <si>
    <t>Employee_172_India</t>
  </si>
  <si>
    <t>ZOM1057</t>
  </si>
  <si>
    <t>Employee_57_India</t>
  </si>
  <si>
    <t>ZOM1370</t>
  </si>
  <si>
    <t>Employee_370_India</t>
  </si>
  <si>
    <t>ZOM1228</t>
  </si>
  <si>
    <t>Employee_228_India</t>
  </si>
  <si>
    <t>ZOM1196</t>
  </si>
  <si>
    <t>Employee_196_India</t>
  </si>
  <si>
    <t>ZOM1081</t>
  </si>
  <si>
    <t>Employee_81_India</t>
  </si>
  <si>
    <t>ZOM1232</t>
  </si>
  <si>
    <t>Employee_232_India</t>
  </si>
  <si>
    <t>ZOM1387</t>
  </si>
  <si>
    <t>Employee_387_India</t>
  </si>
  <si>
    <t>ZOM1647</t>
  </si>
  <si>
    <t>Employee_47_Foreign</t>
  </si>
  <si>
    <t>ZOM1498</t>
  </si>
  <si>
    <t>Employee_498_India</t>
  </si>
  <si>
    <t>ZOM1352</t>
  </si>
  <si>
    <t>Employee_352_India</t>
  </si>
  <si>
    <t>ZOM1111</t>
  </si>
  <si>
    <t>Employee_111_India</t>
  </si>
  <si>
    <t>ZOM1270</t>
  </si>
  <si>
    <t>Employee_270_India</t>
  </si>
  <si>
    <t>ZOM1108</t>
  </si>
  <si>
    <t>ZOM1436</t>
  </si>
  <si>
    <t>Employee_436_India</t>
  </si>
  <si>
    <t>ZOM1265</t>
  </si>
  <si>
    <t>Employee_265_India</t>
  </si>
  <si>
    <t>ZOM1576</t>
  </si>
  <si>
    <t>Employee_576_India</t>
  </si>
  <si>
    <t>ZOM1289</t>
  </si>
  <si>
    <t>Employee_289_India</t>
  </si>
  <si>
    <t>ZOM1279</t>
  </si>
  <si>
    <t>Employee_279_India</t>
  </si>
  <si>
    <t>ZOM1354</t>
  </si>
  <si>
    <t>Employee_354_India</t>
  </si>
  <si>
    <t>ZOM1242</t>
  </si>
  <si>
    <t>Employee_242_India</t>
  </si>
  <si>
    <t>ZOM1028</t>
  </si>
  <si>
    <t>Employee_28_India</t>
  </si>
  <si>
    <t>ZOM1129</t>
  </si>
  <si>
    <t>Employee_129_India</t>
  </si>
  <si>
    <t>ZOM1240</t>
  </si>
  <si>
    <t>Employee_240_India</t>
  </si>
  <si>
    <t>ZOM1072</t>
  </si>
  <si>
    <t>Employee_72_India</t>
  </si>
  <si>
    <t>ZOM1036</t>
  </si>
  <si>
    <t>Employee_36_India</t>
  </si>
  <si>
    <t>ZOM1126</t>
  </si>
  <si>
    <t>Employee_126_India</t>
  </si>
  <si>
    <t>ZOM1178</t>
  </si>
  <si>
    <t>Employee_178_India</t>
  </si>
  <si>
    <t>ZOM1644</t>
  </si>
  <si>
    <t>Employee_44_Foreign</t>
  </si>
  <si>
    <t>ZOM1496</t>
  </si>
  <si>
    <t>Employee_496_India</t>
  </si>
  <si>
    <t>ZOM1491</t>
  </si>
  <si>
    <t>Employee_491_India</t>
  </si>
  <si>
    <t>ZOM1116</t>
  </si>
  <si>
    <t>Employee_116_India</t>
  </si>
  <si>
    <t>ZOM1104</t>
  </si>
  <si>
    <t>Employee_104_India</t>
  </si>
  <si>
    <t>ZOM1679</t>
  </si>
  <si>
    <t>Employee_79_Foreign</t>
  </si>
  <si>
    <t>ZOM1504</t>
  </si>
  <si>
    <t>Employee_504_India</t>
  </si>
  <si>
    <t>ZOM1587</t>
  </si>
  <si>
    <t>Employee_587_India</t>
  </si>
  <si>
    <t>ZOM1509</t>
  </si>
  <si>
    <t>Employee_509_India</t>
  </si>
  <si>
    <t>ZOM1351</t>
  </si>
  <si>
    <t>Employee_351_India</t>
  </si>
  <si>
    <t>ZOM1293</t>
  </si>
  <si>
    <t>Employee_293_India</t>
  </si>
  <si>
    <t>ZOM1025</t>
  </si>
  <si>
    <t>Employee_25_India</t>
  </si>
  <si>
    <t>ZOM1516</t>
  </si>
  <si>
    <t>Employee_516_India</t>
  </si>
  <si>
    <t>ZOM1091</t>
  </si>
  <si>
    <t>Employee_91_India</t>
  </si>
  <si>
    <t>ZOM1336</t>
  </si>
  <si>
    <t>Employee_336_India</t>
  </si>
  <si>
    <t>ZOM1634</t>
  </si>
  <si>
    <t>Employee_34_Foreign</t>
  </si>
  <si>
    <t>ZOM1608</t>
  </si>
  <si>
    <t>Employee_8_Foreign</t>
  </si>
  <si>
    <t>ZOM1203</t>
  </si>
  <si>
    <t>Employee_203_India</t>
  </si>
  <si>
    <t>ZOM1626</t>
  </si>
  <si>
    <t>Employee_26_Foreign</t>
  </si>
  <si>
    <t>ZOM1090</t>
  </si>
  <si>
    <t>Employee_90_India</t>
  </si>
  <si>
    <t>ZOM1522</t>
  </si>
  <si>
    <t>Employee_522_India</t>
  </si>
  <si>
    <t>ZOM1446</t>
  </si>
  <si>
    <t>Employee_446_India</t>
  </si>
  <si>
    <t>ZOM1395</t>
  </si>
  <si>
    <t>Employee_395_India</t>
  </si>
  <si>
    <t>ZOM1284</t>
  </si>
  <si>
    <t>Employee_284_India</t>
  </si>
  <si>
    <t>ZOM1109</t>
  </si>
  <si>
    <t>Employee_109_India</t>
  </si>
  <si>
    <t>ZOM1170</t>
  </si>
  <si>
    <t>Employee_170_India</t>
  </si>
  <si>
    <t>ZOM1233</t>
  </si>
  <si>
    <t>Employee_233_India</t>
  </si>
  <si>
    <t>ZOM1550</t>
  </si>
  <si>
    <t>Employee_550_India</t>
  </si>
  <si>
    <t>ZOM1424</t>
  </si>
  <si>
    <t>Employee_424_India</t>
  </si>
  <si>
    <t>ZOM1503</t>
  </si>
  <si>
    <t>Employee_503_India</t>
  </si>
  <si>
    <t>ZOM1635</t>
  </si>
  <si>
    <t>Employee_35_Foreign</t>
  </si>
  <si>
    <t>ZOM1606</t>
  </si>
  <si>
    <t>Employee_6_Foreign</t>
  </si>
  <si>
    <t>ZOM1497</t>
  </si>
  <si>
    <t>Employee_497_India</t>
  </si>
  <si>
    <t>ZOM1133</t>
  </si>
  <si>
    <t>Employee_133_India</t>
  </si>
  <si>
    <t>ZOM1213</t>
  </si>
  <si>
    <t>Employee_213_India</t>
  </si>
  <si>
    <t>ZOM1472</t>
  </si>
  <si>
    <t>Employee_472_India</t>
  </si>
  <si>
    <t>ZOM1060</t>
  </si>
  <si>
    <t>Employee_60_India</t>
  </si>
  <si>
    <t>ZOM1000</t>
  </si>
  <si>
    <t>Employee_0_India</t>
  </si>
  <si>
    <t>ZOM1388</t>
  </si>
  <si>
    <t>Employee_388_India</t>
  </si>
  <si>
    <t>ZOM1454</t>
  </si>
  <si>
    <t>Employee_454_India</t>
  </si>
  <si>
    <t>ZOM1667</t>
  </si>
  <si>
    <t>Employee_67_Foreign</t>
  </si>
  <si>
    <t>ZOM1008</t>
  </si>
  <si>
    <t>Employee_8_India</t>
  </si>
  <si>
    <t>ZOM1033</t>
  </si>
  <si>
    <t>Employee_33_India</t>
  </si>
  <si>
    <t>ZOM1031</t>
  </si>
  <si>
    <t>Employee_31_India</t>
  </si>
  <si>
    <t>ZOM1460</t>
  </si>
  <si>
    <t>Employee_460_India</t>
  </si>
  <si>
    <t>ZOM1224</t>
  </si>
  <si>
    <t>Employee_224_India</t>
  </si>
  <si>
    <t>ZOM1082</t>
  </si>
  <si>
    <t>Employee_82_India</t>
  </si>
  <si>
    <t>ZOM1300</t>
  </si>
  <si>
    <t>Employee_300_India</t>
  </si>
  <si>
    <t>ZOM1222</t>
  </si>
  <si>
    <t>Employee_222_India</t>
  </si>
  <si>
    <t>ZOM1638</t>
  </si>
  <si>
    <t>Employee_38_Foreign</t>
  </si>
  <si>
    <t>ZOM1486</t>
  </si>
  <si>
    <t>Employee_486_India</t>
  </si>
  <si>
    <t>ZOM1654</t>
  </si>
  <si>
    <t>Employee_54_Foreign</t>
  </si>
  <si>
    <t>ZOM1421</t>
  </si>
  <si>
    <t>Employee_421_India</t>
  </si>
  <si>
    <t>ZOM1419</t>
  </si>
  <si>
    <t>Employee_419_India</t>
  </si>
  <si>
    <t>ZOM1173</t>
  </si>
  <si>
    <t>Employee_173_India</t>
  </si>
  <si>
    <t>ZOM1296</t>
  </si>
  <si>
    <t>Employee_296_India</t>
  </si>
  <si>
    <t>ZOM1523</t>
  </si>
  <si>
    <t>Employee_523_India</t>
  </si>
  <si>
    <t>ZOM1649</t>
  </si>
  <si>
    <t>Employee_49_Foreign</t>
  </si>
  <si>
    <t>ZOM1433</t>
  </si>
  <si>
    <t>Employee_433_India</t>
  </si>
  <si>
    <t>ZOM1093</t>
  </si>
  <si>
    <t>Employee_93_India</t>
  </si>
  <si>
    <t>ZOM1117</t>
  </si>
  <si>
    <t>Employee_117_India</t>
  </si>
  <si>
    <t>ZOM1470</t>
  </si>
  <si>
    <t>Employee_470_India</t>
  </si>
  <si>
    <t>ZOM1197</t>
  </si>
  <si>
    <t>Employee_197_India</t>
  </si>
  <si>
    <t>ZOM1585</t>
  </si>
  <si>
    <t>Employee_585_India</t>
  </si>
  <si>
    <t>ZOM1128</t>
  </si>
  <si>
    <t>Employee_128_India</t>
  </si>
  <si>
    <t>ZOM1006</t>
  </si>
  <si>
    <t>Employee_6_India</t>
  </si>
  <si>
    <t>ZOM1012</t>
  </si>
  <si>
    <t>Employee_12_India</t>
  </si>
  <si>
    <t>ZOM1434</t>
  </si>
  <si>
    <t>Employee_434_India</t>
  </si>
  <si>
    <t>ZOM1329</t>
  </si>
  <si>
    <t>Employee_329_India</t>
  </si>
  <si>
    <t>ZOM1519</t>
  </si>
  <si>
    <t>Employee_519_India</t>
  </si>
  <si>
    <t>ZOM1501</t>
  </si>
  <si>
    <t>Employee_501_India</t>
  </si>
  <si>
    <t>ZOM1148</t>
  </si>
  <si>
    <t>Employee_148_India</t>
  </si>
  <si>
    <t>ZOM1397</t>
  </si>
  <si>
    <t>Employee_397_India</t>
  </si>
  <si>
    <t>ZOM1191</t>
  </si>
  <si>
    <t>Employee_191_India</t>
  </si>
  <si>
    <t>ZOM1651</t>
  </si>
  <si>
    <t>Employee_51_Foreign</t>
  </si>
  <si>
    <t>ZOM1327</t>
  </si>
  <si>
    <t>Employee_327_India</t>
  </si>
  <si>
    <t>ZOM1207</t>
  </si>
  <si>
    <t>Employee_207_India</t>
  </si>
  <si>
    <t>ZOM1065</t>
  </si>
  <si>
    <t>Employee_65_India</t>
  </si>
  <si>
    <t>ZOM1552</t>
  </si>
  <si>
    <t>Employee_552_India</t>
  </si>
  <si>
    <t>ZOM1144</t>
  </si>
  <si>
    <t>Employee_144_India</t>
  </si>
  <si>
    <t>ZOM1593</t>
  </si>
  <si>
    <t>Employee_593_India</t>
  </si>
  <si>
    <t>ZOM1271</t>
  </si>
  <si>
    <t>Employee_271_India</t>
  </si>
  <si>
    <t>ZOM1489</t>
  </si>
  <si>
    <t>Employee_489_India</t>
  </si>
  <si>
    <t>ZOM1086</t>
  </si>
  <si>
    <t>Employee_86_India</t>
  </si>
  <si>
    <t>ZOM1164</t>
  </si>
  <si>
    <t>Employee_164_India</t>
  </si>
  <si>
    <t>ZOM1355</t>
  </si>
  <si>
    <t>Employee_355_India</t>
  </si>
  <si>
    <t>ZOM1520</t>
  </si>
  <si>
    <t>Employee_520_India</t>
  </si>
  <si>
    <t>ZOM1678</t>
  </si>
  <si>
    <t>Employee_78_Foreign</t>
  </si>
  <si>
    <t>ZOM1043</t>
  </si>
  <si>
    <t>Employee_43_India</t>
  </si>
  <si>
    <t>ZOM1185</t>
  </si>
  <si>
    <t>Employee_185_India</t>
  </si>
  <si>
    <t>ZOM1193</t>
  </si>
  <si>
    <t>Employee_193_India</t>
  </si>
  <si>
    <t>ZOM1349</t>
  </si>
  <si>
    <t>Employee_349_India</t>
  </si>
  <si>
    <t>ZOM1243</t>
  </si>
  <si>
    <t>Employee_243_India</t>
  </si>
  <si>
    <t>ZOM1545</t>
  </si>
  <si>
    <t>Employee_545_India</t>
  </si>
  <si>
    <t>ZOM1326</t>
  </si>
  <si>
    <t>Employee_326_India</t>
  </si>
  <si>
    <t>ZOM1343</t>
  </si>
  <si>
    <t>Employee_343_India</t>
  </si>
  <si>
    <t>ZOM1502</t>
  </si>
  <si>
    <t>Employee_502_India</t>
  </si>
  <si>
    <t>ZOM1018</t>
  </si>
  <si>
    <t>Employee_18_India</t>
  </si>
  <si>
    <t>ZOM1106</t>
  </si>
  <si>
    <t>Employee_106_India</t>
  </si>
  <si>
    <t>ZOM1155</t>
  </si>
  <si>
    <t>Employee_155_India</t>
  </si>
  <si>
    <t>ZOM1571</t>
  </si>
  <si>
    <t>Employee_571_India</t>
  </si>
  <si>
    <t>ZOM1361</t>
  </si>
  <si>
    <t>Employee_361_India</t>
  </si>
  <si>
    <t>ZOM1375</t>
  </si>
  <si>
    <t>Employee_375_India</t>
  </si>
  <si>
    <t>ZOM1600</t>
  </si>
  <si>
    <t>Employee_0_Foreign</t>
  </si>
  <si>
    <t>ZOM1110</t>
  </si>
  <si>
    <t>Employee_110_India</t>
  </si>
  <si>
    <t>ZOM1084</t>
  </si>
  <si>
    <t>Employee_84_India</t>
  </si>
  <si>
    <t>ZOM1580</t>
  </si>
  <si>
    <t>Employee_580_India</t>
  </si>
  <si>
    <t>ZOM1636</t>
  </si>
  <si>
    <t>Employee_36_Foreign</t>
  </si>
  <si>
    <t>ZOM1485</t>
  </si>
  <si>
    <t>Employee_485_India</t>
  </si>
  <si>
    <t>ZOM1337</t>
  </si>
  <si>
    <t>Employee_337_India</t>
  </si>
  <si>
    <t>ZOM1362</t>
  </si>
  <si>
    <t>Employee_362_India</t>
  </si>
  <si>
    <t>ZOM1016</t>
  </si>
  <si>
    <t>Employee_16_India</t>
  </si>
  <si>
    <t>ZOM1622</t>
  </si>
  <si>
    <t>Employee_22_Foreign</t>
  </si>
  <si>
    <t>ZOM1437</t>
  </si>
  <si>
    <t>Employee_437_India</t>
  </si>
  <si>
    <t>ZOM1319</t>
  </si>
  <si>
    <t>Employee_319_India</t>
  </si>
  <si>
    <t>ZOM1518</t>
  </si>
  <si>
    <t>Employee_518_India</t>
  </si>
  <si>
    <t>ZOM1535</t>
  </si>
  <si>
    <t>Employee_535_India</t>
  </si>
  <si>
    <t>ZOM1321</t>
  </si>
  <si>
    <t>Employee_321_India</t>
  </si>
  <si>
    <t>ZOM1208</t>
  </si>
  <si>
    <t>Employee_208_India</t>
  </si>
  <si>
    <t>ZOM1251</t>
  </si>
  <si>
    <t>Employee_251_India</t>
  </si>
  <si>
    <t>ZOM1378</t>
  </si>
  <si>
    <t>Employee_378_India</t>
  </si>
  <si>
    <t>ZOM1167</t>
  </si>
  <si>
    <t>Employee_167_India</t>
  </si>
  <si>
    <t>ZOM1062</t>
  </si>
  <si>
    <t>Employee_62_India</t>
  </si>
  <si>
    <t>ZOM1607</t>
  </si>
  <si>
    <t>Employee_7_Foreign</t>
  </si>
  <si>
    <t>ZOM1089</t>
  </si>
  <si>
    <t>Employee_89_India</t>
  </si>
  <si>
    <t>ZOM1640</t>
  </si>
  <si>
    <t>Employee_40_Foreign</t>
  </si>
  <si>
    <t>ZOM1414</t>
  </si>
  <si>
    <t>Employee_414_India</t>
  </si>
  <si>
    <t>ZOM1475</t>
  </si>
  <si>
    <t>Employee_475_India</t>
  </si>
  <si>
    <t>ZOM1511</t>
  </si>
  <si>
    <t>Employee_511_India</t>
  </si>
  <si>
    <t>ZOM1521</t>
  </si>
  <si>
    <t>Employee_521_India</t>
  </si>
  <si>
    <t>ZOM1130</t>
  </si>
  <si>
    <t>Employee_130_India</t>
  </si>
  <si>
    <t>ZOM1568</t>
  </si>
  <si>
    <t>Employee_568_India</t>
  </si>
  <si>
    <t>ZOM1473</t>
  </si>
  <si>
    <t>Employee_473_India</t>
  </si>
  <si>
    <t>ZOM1619</t>
  </si>
  <si>
    <t>Employee_19_Foreign</t>
  </si>
  <si>
    <t>ZOM1180</t>
  </si>
  <si>
    <t>Employee_180_India</t>
  </si>
  <si>
    <t>ZOM1665</t>
  </si>
  <si>
    <t>Employee_65_Foreign</t>
  </si>
  <si>
    <t>ZOM1614</t>
  </si>
  <si>
    <t>Employee_14_Foreign</t>
  </si>
  <si>
    <t>ZOM1097</t>
  </si>
  <si>
    <t>Employee_97_India</t>
  </si>
  <si>
    <t>ZOM1401</t>
  </si>
  <si>
    <t>Employee_401_India</t>
  </si>
  <si>
    <t>ZOM1345</t>
  </si>
  <si>
    <t>Employee_345_India</t>
  </si>
  <si>
    <t>ZOM1563</t>
  </si>
  <si>
    <t>Employee_563_India</t>
  </si>
  <si>
    <t>ZOM1295</t>
  </si>
  <si>
    <t>Employee_295_India</t>
  </si>
  <si>
    <t>ZOM1050</t>
  </si>
  <si>
    <t>Employee_50_India</t>
  </si>
  <si>
    <t>ZOM1262</t>
  </si>
  <si>
    <t>Employee_262_India</t>
  </si>
  <si>
    <t>ZOM1120</t>
  </si>
  <si>
    <t>Employee_120_India</t>
  </si>
  <si>
    <t>ZOM1292</t>
  </si>
  <si>
    <t>Employee_292_India</t>
  </si>
  <si>
    <t>ZOM1578</t>
  </si>
  <si>
    <t>Employee_578_India</t>
  </si>
  <si>
    <t>ZOM1368</t>
  </si>
  <si>
    <t>Employee_368_India</t>
  </si>
  <si>
    <t>ZOM1650</t>
  </si>
  <si>
    <t>Employee_50_Foreign</t>
  </si>
  <si>
    <t>ZOM1478</t>
  </si>
  <si>
    <t>Employee_478_India</t>
  </si>
  <si>
    <t>ZOM1389</t>
  </si>
  <si>
    <t>Employee_389_India</t>
  </si>
  <si>
    <t>ZOM1546</t>
  </si>
  <si>
    <t>Employee_546_India</t>
  </si>
  <si>
    <t>ZOM1074</t>
  </si>
  <si>
    <t>Employee_74_India</t>
  </si>
  <si>
    <t>ZOM1186</t>
  </si>
  <si>
    <t>Employee_186_India</t>
  </si>
  <si>
    <t>ZOM1252</t>
  </si>
  <si>
    <t>Employee_252_India</t>
  </si>
  <si>
    <t>ZOM1432</t>
  </si>
  <si>
    <t>Employee_432_India</t>
  </si>
  <si>
    <t>ZOM1514</t>
  </si>
  <si>
    <t>Employee_514_India</t>
  </si>
  <si>
    <t>ZOM1461</t>
  </si>
  <si>
    <t>Employee_461_India</t>
  </si>
  <si>
    <t>ZOM1011</t>
  </si>
  <si>
    <t>Employee_11_India</t>
  </si>
  <si>
    <t>ZOM1209</t>
  </si>
  <si>
    <t>Employee_209_India</t>
  </si>
  <si>
    <t>ZOM1642</t>
  </si>
  <si>
    <t>Employee_42_Foreign</t>
  </si>
  <si>
    <t>ZOM1653</t>
  </si>
  <si>
    <t>Employee_53_Foreign</t>
  </si>
  <si>
    <t>ZOM1261</t>
  </si>
  <si>
    <t>Employee_261_India</t>
  </si>
  <si>
    <t>ZOM1179</t>
  </si>
  <si>
    <t>Employee_179_India</t>
  </si>
  <si>
    <t>ZOM1513</t>
  </si>
  <si>
    <t>Employee_513_India</t>
  </si>
  <si>
    <t>ZOM1312</t>
  </si>
  <si>
    <t>Employee_312_India</t>
  </si>
  <si>
    <t>ZOM1440</t>
  </si>
  <si>
    <t>Employee_440_India</t>
  </si>
  <si>
    <t>ZOM1376</t>
  </si>
  <si>
    <t>Employee_376_India</t>
  </si>
  <si>
    <t>ZOM1288</t>
  </si>
  <si>
    <t>Employee_288_India</t>
  </si>
  <si>
    <t>ZOM1056</t>
  </si>
  <si>
    <t>Employee_56_India</t>
  </si>
  <si>
    <t>ZOM1500</t>
  </si>
  <si>
    <t>Employee_500_India</t>
  </si>
  <si>
    <t>ZOM1425</t>
  </si>
  <si>
    <t>Employee_425_India</t>
  </si>
  <si>
    <t>ZOM1310</t>
  </si>
  <si>
    <t>Employee_310_India</t>
  </si>
  <si>
    <t>ZOM1589</t>
  </si>
  <si>
    <t>Employee_589_India</t>
  </si>
  <si>
    <t>ZOM1237</t>
  </si>
  <si>
    <t>Employee_237_India</t>
  </si>
  <si>
    <t>ZOM1140</t>
  </si>
  <si>
    <t>Employee_140_India</t>
  </si>
  <si>
    <t>ZOM1581</t>
  </si>
  <si>
    <t>Employee_581_India</t>
  </si>
  <si>
    <t>ZOM1605</t>
  </si>
  <si>
    <t>Employee_5_Foreign</t>
  </si>
  <si>
    <t>ZOM1175</t>
  </si>
  <si>
    <t>Employee_175_India</t>
  </si>
  <si>
    <t>ZOM1670</t>
  </si>
  <si>
    <t>Employee_70_Foreign</t>
  </si>
  <si>
    <t>ZOM1189</t>
  </si>
  <si>
    <t>Employee_189_India</t>
  </si>
  <si>
    <t>ZOM1668</t>
  </si>
  <si>
    <t>Employee_68_Foreign</t>
  </si>
  <si>
    <t>ZOM1674</t>
  </si>
  <si>
    <t>Employee_74_Foreign</t>
  </si>
  <si>
    <t>ZOM1366</t>
  </si>
  <si>
    <t>Employee_366_India</t>
  </si>
  <si>
    <t>ZOM1317</t>
  </si>
  <si>
    <t>Employee_317_India</t>
  </si>
  <si>
    <t>ZOM1029</t>
  </si>
  <si>
    <t>Employee_29_India</t>
  </si>
  <si>
    <t>ZOM1386</t>
  </si>
  <si>
    <t>Employee_386_India</t>
  </si>
  <si>
    <t>ZOM1152</t>
  </si>
  <si>
    <t>Employee_152_India</t>
  </si>
  <si>
    <t>ZOM1558</t>
  </si>
  <si>
    <t>Employee_558_India</t>
  </si>
  <si>
    <t>ZOM1392</t>
  </si>
  <si>
    <t>Employee_392_India</t>
  </si>
  <si>
    <t>ZOM1211</t>
  </si>
  <si>
    <t>Employee_211_India</t>
  </si>
  <si>
    <t>ZOM1078</t>
  </si>
  <si>
    <t>Employee_78_India</t>
  </si>
  <si>
    <t>ZOM1092</t>
  </si>
  <si>
    <t>Employee_92_India</t>
  </si>
  <si>
    <t>ZOM1348</t>
  </si>
  <si>
    <t>Employee_348_India</t>
  </si>
  <si>
    <t>ZOM1298</t>
  </si>
  <si>
    <t>Employee_298_India</t>
  </si>
  <si>
    <t>ZOM1574</t>
  </si>
  <si>
    <t>Employee_574_India</t>
  </si>
  <si>
    <t>ZOM1274</t>
  </si>
  <si>
    <t>Employee_274_India</t>
  </si>
  <si>
    <t>ZOM1264</t>
  </si>
  <si>
    <t>Employee_264_India</t>
  </si>
  <si>
    <t>ZOM1291</t>
  </si>
  <si>
    <t>Employee_291_India</t>
  </si>
  <si>
    <t>ZOM1253</t>
  </si>
  <si>
    <t>Employee_253_India</t>
  </si>
  <si>
    <t>ZOM1599</t>
  </si>
  <si>
    <t>Employee_599_India</t>
  </si>
  <si>
    <t>ZOM1154</t>
  </si>
  <si>
    <t>Employee_154_India</t>
  </si>
  <si>
    <t>ZOM1591</t>
  </si>
  <si>
    <t>Employee_591_India</t>
  </si>
  <si>
    <t>ZOM1661</t>
  </si>
  <si>
    <t>Employee_61_Foreign</t>
  </si>
  <si>
    <t>ZOM1258</t>
  </si>
  <si>
    <t>Employee_258_India</t>
  </si>
  <si>
    <t>ZOM1227</t>
  </si>
  <si>
    <t>Employee_227_India</t>
  </si>
  <si>
    <t>ZOM1316</t>
  </si>
  <si>
    <t>Employee_316_India</t>
  </si>
  <si>
    <t>ZOM1463</t>
  </si>
  <si>
    <t>Employee_463_India</t>
  </si>
  <si>
    <t>ZOM1364</t>
  </si>
  <si>
    <t>Employee_364_India</t>
  </si>
  <si>
    <t>ZOM1427</t>
  </si>
  <si>
    <t>Employee_427_India</t>
  </si>
  <si>
    <t>ZOM1085</t>
  </si>
  <si>
    <t>Employee_85_India</t>
  </si>
  <si>
    <t>ZOM1561</t>
  </si>
  <si>
    <t>Employee_561_India</t>
  </si>
  <si>
    <t>ZOM1656</t>
  </si>
  <si>
    <t>Employee_56_Foreign</t>
  </si>
  <si>
    <t>ZOM1592</t>
  </si>
  <si>
    <t>Employee_592_India</t>
  </si>
  <si>
    <t>ZOM1610</t>
  </si>
  <si>
    <t>Employee_10_Foreign</t>
  </si>
  <si>
    <t>ZOM1124</t>
  </si>
  <si>
    <t>Employee_124_India</t>
  </si>
  <si>
    <t>ZOM1524</t>
  </si>
  <si>
    <t>Employee_524_India</t>
  </si>
  <si>
    <t>ZOM1030</t>
  </si>
  <si>
    <t>Employee_30_India</t>
  </si>
  <si>
    <t>ZOM1010</t>
  </si>
  <si>
    <t>Employee_10_India</t>
  </si>
  <si>
    <t>ZOM1604</t>
  </si>
  <si>
    <t>Employee_4_Foreign</t>
  </si>
  <si>
    <t>ZOM1458</t>
  </si>
  <si>
    <t>Employee_458_India</t>
  </si>
  <si>
    <t>ZOM1669</t>
  </si>
  <si>
    <t>Employee_69_Foreign</t>
  </si>
  <si>
    <t>ZOM1168</t>
  </si>
  <si>
    <t>Employee_168_India</t>
  </si>
  <si>
    <t>ZOM1125</t>
  </si>
  <si>
    <t>Employee_125_India</t>
  </si>
  <si>
    <t>ZOM1004</t>
  </si>
  <si>
    <t>Employee_4_India</t>
  </si>
  <si>
    <t>ZOM1198</t>
  </si>
  <si>
    <t>Employee_198_India</t>
  </si>
  <si>
    <t>ZOM1628</t>
  </si>
  <si>
    <t>Employee_28_Foreign</t>
  </si>
  <si>
    <t>ZOM1409</t>
  </si>
  <si>
    <t>Employee_409_India</t>
  </si>
  <si>
    <t>ZOM1174</t>
  </si>
  <si>
    <t>Employee_174_India</t>
  </si>
  <si>
    <t>ZOM1282</t>
  </si>
  <si>
    <t>Employee_282_India</t>
  </si>
  <si>
    <t>ZOM1469</t>
  </si>
  <si>
    <t>Employee_469_India</t>
  </si>
  <si>
    <t>ZOM1202</t>
  </si>
  <si>
    <t>Employee_202_India</t>
  </si>
  <si>
    <t>ZOM1631</t>
  </si>
  <si>
    <t>Employee_31_Foreign</t>
  </si>
  <si>
    <t>ZOM1177</t>
  </si>
  <si>
    <t>Employee_177_India</t>
  </si>
  <si>
    <t>ZOM1210</t>
  </si>
  <si>
    <t>Employee_210_India</t>
  </si>
  <si>
    <t>ZOM1013</t>
  </si>
  <si>
    <t>Employee_13_India</t>
  </si>
  <si>
    <t>ZOM1483</t>
  </si>
  <si>
    <t>Employee_483_India</t>
  </si>
  <si>
    <t>Lead Analyst</t>
  </si>
  <si>
    <t>Administrative Assistant</t>
  </si>
  <si>
    <t>Intern</t>
  </si>
  <si>
    <t>Specialist</t>
  </si>
  <si>
    <t>Director</t>
  </si>
  <si>
    <t>Senior Director</t>
  </si>
  <si>
    <t>VP</t>
  </si>
  <si>
    <t>Monthly_Salary</t>
  </si>
  <si>
    <t>Num_Month</t>
  </si>
  <si>
    <t>TBA</t>
  </si>
  <si>
    <t>Five</t>
  </si>
  <si>
    <t>Three</t>
  </si>
  <si>
    <t>Two</t>
  </si>
  <si>
    <t>Currency</t>
  </si>
  <si>
    <t>USD</t>
  </si>
  <si>
    <t>INR</t>
  </si>
  <si>
    <t>Emp_ID</t>
  </si>
  <si>
    <t>Emp_Name</t>
  </si>
  <si>
    <t>Emp_Dup_Check</t>
  </si>
  <si>
    <t>Exclusion</t>
  </si>
  <si>
    <t>Row_Concat</t>
  </si>
  <si>
    <t>Row_Status</t>
  </si>
  <si>
    <t>Row_Number</t>
  </si>
  <si>
    <t>Gender_Final</t>
  </si>
  <si>
    <t>Num_Month_Final</t>
  </si>
  <si>
    <t>Bonus Final</t>
  </si>
  <si>
    <t>Currency_Final</t>
  </si>
  <si>
    <t>Exp_Years</t>
  </si>
  <si>
    <t>Exp_Years_Final</t>
  </si>
  <si>
    <t>Work_Mode_Final</t>
  </si>
  <si>
    <t>Annual_Salary</t>
  </si>
  <si>
    <t>Overtime_Cost</t>
  </si>
  <si>
    <t/>
  </si>
  <si>
    <t>Exclude</t>
  </si>
  <si>
    <t>Delete</t>
  </si>
  <si>
    <t>Row Labels</t>
  </si>
  <si>
    <t>Grand Total</t>
  </si>
  <si>
    <t>Count of Emp_ID</t>
  </si>
  <si>
    <t>Average of Monthly_Salary</t>
  </si>
  <si>
    <t>KPI</t>
  </si>
  <si>
    <t>Total Employees</t>
  </si>
  <si>
    <t>Average Salary</t>
  </si>
  <si>
    <t>Median Salary</t>
  </si>
  <si>
    <t>Max Salary</t>
  </si>
  <si>
    <t>Min Salary</t>
  </si>
  <si>
    <t>Avg Bonus</t>
  </si>
  <si>
    <t>Avg Performance</t>
  </si>
  <si>
    <t>Values</t>
  </si>
  <si>
    <t>Sum of Monthly_Salary</t>
  </si>
  <si>
    <t>Count of Bonus</t>
  </si>
  <si>
    <t>Sum of Overtime_Cost</t>
  </si>
  <si>
    <t>Count of Overtime_Hours</t>
  </si>
  <si>
    <t>0-2</t>
  </si>
  <si>
    <t>3-5</t>
  </si>
  <si>
    <t>6-8</t>
  </si>
  <si>
    <t>9-11</t>
  </si>
  <si>
    <t>12-14</t>
  </si>
  <si>
    <t>(All)</t>
  </si>
  <si>
    <t>Employee Data Analysis Dashboard</t>
  </si>
  <si>
    <t>Final Values</t>
  </si>
  <si>
    <t>Dashboard Name</t>
  </si>
  <si>
    <t>👥 Total Workforce</t>
  </si>
  <si>
    <t>💰 Top Salary</t>
  </si>
  <si>
    <t>📊 Avg Salary</t>
  </si>
  <si>
    <t>🎁 Avg Bonus</t>
  </si>
  <si>
    <t>⭐ Avg Rating</t>
  </si>
  <si>
    <t>Column Labels</t>
  </si>
  <si>
    <t>Count</t>
  </si>
  <si>
    <t>Karnataka</t>
  </si>
  <si>
    <t>Tamil Nadu</t>
  </si>
  <si>
    <t>Haryana</t>
  </si>
  <si>
    <t>Telangana</t>
  </si>
  <si>
    <t>Madhya Pradesh</t>
  </si>
  <si>
    <t>Maharashtra</t>
  </si>
  <si>
    <t>State</t>
  </si>
  <si>
    <t>West Bengal</t>
  </si>
  <si>
    <t>Uttra Pradesh</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</si>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</sst>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0"/>
      <color theme="1"/>
      <name val="Arial Unicode MS"/>
    </font>
    <font>
      <b/>
      <sz val="26"/>
      <color theme="1"/>
      <name val="Calibri"/>
      <family val="2"/>
      <scheme val="minor"/>
    </font>
    <font>
      <b/>
      <sz val="26"/>
      <color rgb="FF7030A0"/>
      <name val="Calibri"/>
      <family val="2"/>
      <scheme val="minor"/>
    </font>
    <font>
      <b/>
      <sz val="9"/>
      <color rgb="FF7030A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0000"/>
        <bgColor indexed="64"/>
      </patternFill>
    </fill>
    <fill>
      <patternFill patternType="solid">
        <fgColor rgb="FF388600"/>
        <bgColor indexed="64"/>
      </patternFill>
    </fill>
    <fill>
      <patternFill patternType="solid">
        <fgColor rgb="FF3F0065"/>
        <bgColor indexed="64"/>
      </patternFill>
    </fill>
    <fill>
      <patternFill patternType="solid">
        <fgColor rgb="FFFFFF00"/>
        <bgColor indexed="64"/>
      </patternFill>
    </fill>
    <fill>
      <patternFill patternType="solid">
        <fgColor theme="4"/>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0" fontId="0" fillId="33" borderId="0" xfId="0" applyFill="1"/>
    <xf numFmtId="0" fontId="19" fillId="0" borderId="0" xfId="0" applyFont="1" applyAlignment="1">
      <alignment vertical="center"/>
    </xf>
    <xf numFmtId="0" fontId="0" fillId="34" borderId="0" xfId="0" applyFill="1"/>
    <xf numFmtId="0" fontId="0" fillId="35" borderId="0" xfId="0" applyFill="1"/>
    <xf numFmtId="0" fontId="0" fillId="0" borderId="10" xfId="0" applyBorder="1"/>
    <xf numFmtId="0" fontId="16" fillId="0" borderId="10" xfId="0" applyFont="1" applyBorder="1"/>
    <xf numFmtId="0" fontId="16" fillId="34" borderId="10" xfId="0" applyFont="1" applyFill="1" applyBorder="1"/>
    <xf numFmtId="0" fontId="0" fillId="36" borderId="0" xfId="0" applyFill="1"/>
    <xf numFmtId="0" fontId="0" fillId="37" borderId="0" xfId="0" applyFill="1"/>
    <xf numFmtId="0" fontId="0" fillId="0" borderId="0" xfId="0" pivotButton="1"/>
    <xf numFmtId="0" fontId="0" fillId="0" borderId="0" xfId="0" applyAlignment="1">
      <alignment horizontal="left"/>
    </xf>
    <xf numFmtId="0" fontId="0" fillId="0" borderId="10" xfId="0" applyBorder="1" applyAlignment="1">
      <alignment vertical="center"/>
    </xf>
    <xf numFmtId="0" fontId="19" fillId="0" borderId="10" xfId="0" applyFont="1" applyBorder="1" applyAlignment="1">
      <alignment vertical="center"/>
    </xf>
    <xf numFmtId="0" fontId="0" fillId="0" borderId="11" xfId="0" applyBorder="1" applyAlignment="1">
      <alignment vertical="center"/>
    </xf>
    <xf numFmtId="0" fontId="0" fillId="0" borderId="12" xfId="0" applyBorder="1"/>
    <xf numFmtId="0" fontId="16" fillId="0" borderId="13" xfId="0" applyFont="1" applyBorder="1" applyAlignment="1">
      <alignment horizontal="center" vertical="center"/>
    </xf>
    <xf numFmtId="0" fontId="16" fillId="0" borderId="14" xfId="0" applyFont="1" applyBorder="1" applyAlignment="1">
      <alignment horizontal="center" vertical="center"/>
    </xf>
    <xf numFmtId="0" fontId="16" fillId="0" borderId="15" xfId="0" applyFont="1" applyBorder="1"/>
    <xf numFmtId="0" fontId="0" fillId="0" borderId="17" xfId="0" applyBorder="1"/>
    <xf numFmtId="1" fontId="0" fillId="0" borderId="0" xfId="0" applyNumberFormat="1"/>
    <xf numFmtId="10" fontId="0" fillId="0" borderId="0" xfId="0" applyNumberFormat="1"/>
    <xf numFmtId="0" fontId="16" fillId="0" borderId="11" xfId="0" applyFont="1" applyBorder="1"/>
    <xf numFmtId="0" fontId="0" fillId="36" borderId="0" xfId="0" applyFill="1" applyAlignment="1">
      <alignment vertical="center"/>
    </xf>
    <xf numFmtId="0" fontId="0" fillId="36" borderId="22" xfId="0" applyFill="1" applyBorder="1" applyAlignment="1">
      <alignment vertical="center"/>
    </xf>
    <xf numFmtId="0" fontId="20" fillId="36" borderId="22" xfId="0" applyFont="1" applyFill="1" applyBorder="1" applyAlignment="1">
      <alignment vertical="center"/>
    </xf>
    <xf numFmtId="0" fontId="0" fillId="36" borderId="11" xfId="0" applyFill="1" applyBorder="1" applyAlignment="1">
      <alignment vertical="center"/>
    </xf>
    <xf numFmtId="0" fontId="21" fillId="36" borderId="22" xfId="0" applyFont="1" applyFill="1" applyBorder="1" applyAlignment="1">
      <alignment vertical="top"/>
    </xf>
    <xf numFmtId="0" fontId="0" fillId="36" borderId="20" xfId="0" applyFill="1" applyBorder="1"/>
    <xf numFmtId="0" fontId="0" fillId="36" borderId="19" xfId="0" applyFill="1" applyBorder="1"/>
    <xf numFmtId="0" fontId="0" fillId="36" borderId="21" xfId="0" applyFill="1" applyBorder="1"/>
    <xf numFmtId="0" fontId="0" fillId="36" borderId="13" xfId="0" applyFill="1" applyBorder="1"/>
    <xf numFmtId="0" fontId="16" fillId="0" borderId="18" xfId="0" applyFont="1" applyBorder="1"/>
    <xf numFmtId="0" fontId="16" fillId="0" borderId="16" xfId="0" applyFont="1" applyBorder="1"/>
    <xf numFmtId="0" fontId="16" fillId="0" borderId="0" xfId="0" applyFont="1"/>
    <xf numFmtId="0" fontId="16" fillId="0" borderId="20" xfId="0" applyFont="1" applyBorder="1"/>
    <xf numFmtId="0" fontId="16" fillId="0" borderId="19" xfId="0" applyFont="1" applyBorder="1"/>
    <xf numFmtId="0" fontId="16" fillId="0" borderId="19" xfId="0" applyFont="1" applyBorder="1" applyAlignment="1">
      <alignment horizontal="left"/>
    </xf>
    <xf numFmtId="0" fontId="16" fillId="0" borderId="21" xfId="0" applyFont="1" applyBorder="1"/>
    <xf numFmtId="0" fontId="16" fillId="0" borderId="13" xfId="0" applyFont="1" applyBorder="1"/>
    <xf numFmtId="0" fontId="22" fillId="0" borderId="0" xfId="0" applyFont="1" applyAlignment="1">
      <alignment horizontal="center" vertical="center" readingOrder="1"/>
    </xf>
    <xf numFmtId="0" fontId="0" fillId="0" borderId="10" xfId="0"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48BC8FE7-FB55-4DD4-8DE1-E2C9B138E951}"/>
  </tableStyles>
  <colors>
    <mruColors>
      <color rgb="FFC59EE2"/>
      <color rgb="FFBC8FDD"/>
      <color rgb="FF9A57CD"/>
      <color rgb="FFAE78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IN" sz="900" b="1" i="0" u="none" strike="noStrike" baseline="0">
                <a:solidFill>
                  <a:srgbClr val="7030A0"/>
                </a:solidFill>
              </a:rPr>
              <a:t>Average Monthly Salary by Department</a:t>
            </a:r>
            <a:endParaRPr lang="en-IN" sz="900" b="1">
              <a:solidFill>
                <a:srgbClr val="7030A0"/>
              </a:solidFill>
            </a:endParaRPr>
          </a:p>
        </c:rich>
      </c:tx>
      <c:layout>
        <c:manualLayout>
          <c:xMode val="edge"/>
          <c:yMode val="edge"/>
          <c:x val="0.18264744521267576"/>
          <c:y val="4.0419336940642293E-2"/>
        </c:manualLayout>
      </c:layout>
      <c:overlay val="0"/>
      <c:spPr>
        <a:solidFill>
          <a:srgbClr val="FFFF00"/>
        </a:solid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215382741772103"/>
          <c:y val="0.18322689423910177"/>
          <c:w val="0.61156043841332985"/>
          <c:h val="0.70792358991748616"/>
        </c:manualLayout>
      </c:layout>
      <c:barChart>
        <c:barDir val="bar"/>
        <c:grouping val="clustered"/>
        <c:varyColors val="0"/>
        <c:ser>
          <c:idx val="0"/>
          <c:order val="0"/>
          <c:tx>
            <c:v>Average of Monthly_Salary</c:v>
          </c:tx>
          <c:spPr>
            <a:solidFill>
              <a:srgbClr val="7030A0"/>
            </a:solidFill>
            <a:ln>
              <a:noFill/>
            </a:ln>
            <a:effectLst/>
          </c:spPr>
          <c:invertIfNegative val="0"/>
          <c:cat>
            <c:strLit>
              <c:ptCount val="6"/>
              <c:pt idx="0">
                <c:v>Analytics</c:v>
              </c:pt>
              <c:pt idx="1">
                <c:v>Customer Support</c:v>
              </c:pt>
              <c:pt idx="2">
                <c:v>Finance</c:v>
              </c:pt>
              <c:pt idx="3">
                <c:v>HR</c:v>
              </c:pt>
              <c:pt idx="4">
                <c:v>Logistics</c:v>
              </c:pt>
              <c:pt idx="5">
                <c:v>Operations</c:v>
              </c:pt>
            </c:strLit>
          </c:cat>
          <c:val>
            <c:numLit>
              <c:formatCode>General</c:formatCode>
              <c:ptCount val="6"/>
              <c:pt idx="0">
                <c:v>45131.428571428572</c:v>
              </c:pt>
              <c:pt idx="1">
                <c:v>45194.439393939392</c:v>
              </c:pt>
              <c:pt idx="2">
                <c:v>49261.25</c:v>
              </c:pt>
              <c:pt idx="3">
                <c:v>38497.590361445786</c:v>
              </c:pt>
              <c:pt idx="4">
                <c:v>48956.730769230766</c:v>
              </c:pt>
              <c:pt idx="5">
                <c:v>46260.141304347824</c:v>
              </c:pt>
            </c:numLit>
          </c:val>
          <c:extLst>
            <c:ext xmlns:c16="http://schemas.microsoft.com/office/drawing/2014/chart" uri="{C3380CC4-5D6E-409C-BE32-E72D297353CC}">
              <c16:uniqueId val="{00000000-4CEB-49EC-B3D1-6CB87CE3041A}"/>
            </c:ext>
          </c:extLst>
        </c:ser>
        <c:ser>
          <c:idx val="1"/>
          <c:order val="1"/>
          <c:tx>
            <c:v>Count of Emp_ID</c:v>
          </c:tx>
          <c:spPr>
            <a:solidFill>
              <a:schemeClr val="accent2"/>
            </a:solidFill>
            <a:ln>
              <a:noFill/>
            </a:ln>
            <a:effectLst/>
          </c:spPr>
          <c:invertIfNegative val="0"/>
          <c:cat>
            <c:strLit>
              <c:ptCount val="6"/>
              <c:pt idx="0">
                <c:v>Analytics</c:v>
              </c:pt>
              <c:pt idx="1">
                <c:v>Customer Support</c:v>
              </c:pt>
              <c:pt idx="2">
                <c:v>Finance</c:v>
              </c:pt>
              <c:pt idx="3">
                <c:v>HR</c:v>
              </c:pt>
              <c:pt idx="4">
                <c:v>Logistics</c:v>
              </c:pt>
              <c:pt idx="5">
                <c:v>Operations</c:v>
              </c:pt>
            </c:strLit>
          </c:cat>
          <c:val>
            <c:numLit>
              <c:formatCode>General</c:formatCode>
              <c:ptCount val="6"/>
              <c:pt idx="0">
                <c:v>70</c:v>
              </c:pt>
              <c:pt idx="1">
                <c:v>66</c:v>
              </c:pt>
              <c:pt idx="2">
                <c:v>80</c:v>
              </c:pt>
              <c:pt idx="3">
                <c:v>83</c:v>
              </c:pt>
              <c:pt idx="4">
                <c:v>104</c:v>
              </c:pt>
              <c:pt idx="5">
                <c:v>92</c:v>
              </c:pt>
            </c:numLit>
          </c:val>
          <c:extLst>
            <c:ext xmlns:c16="http://schemas.microsoft.com/office/drawing/2014/chart" uri="{C3380CC4-5D6E-409C-BE32-E72D297353CC}">
              <c16:uniqueId val="{00000001-4CEB-49EC-B3D1-6CB87CE3041A}"/>
            </c:ext>
          </c:extLst>
        </c:ser>
        <c:dLbls>
          <c:showLegendKey val="0"/>
          <c:showVal val="0"/>
          <c:showCatName val="0"/>
          <c:showSerName val="0"/>
          <c:showPercent val="0"/>
          <c:showBubbleSize val="0"/>
        </c:dLbls>
        <c:gapWidth val="84"/>
        <c:overlap val="100"/>
        <c:axId val="2087913807"/>
        <c:axId val="2087915247"/>
      </c:barChart>
      <c:catAx>
        <c:axId val="20879138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87915247"/>
        <c:crosses val="autoZero"/>
        <c:auto val="1"/>
        <c:lblAlgn val="ctr"/>
        <c:lblOffset val="100"/>
        <c:noMultiLvlLbl val="0"/>
      </c:catAx>
      <c:valAx>
        <c:axId val="2087915247"/>
        <c:scaling>
          <c:orientation val="minMax"/>
        </c:scaling>
        <c:delete val="0"/>
        <c:axPos val="b"/>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87913807"/>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7030A0">
          <a:alpha val="48000"/>
        </a:srgb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[Dataset.xlsx]Pivots!PivotTable2</c:name>
    <c:fmtId val="3"/>
  </c:pivotSource>
  <c:chart>
    <c:title>
      <c:tx>
        <c:rich>
          <a:bodyPr rot="0" spcFirstLastPara="1" vertOverflow="ellipsis" vert="horz" wrap="square" anchor="ctr" anchorCtr="1"/>
          <a:lstStyle/>
          <a:p>
            <a:pPr>
              <a:defRPr sz="900" b="0" i="0" u="none" strike="noStrike" kern="1200" spc="0" baseline="0">
                <a:solidFill>
                  <a:srgbClr val="7030A0"/>
                </a:solidFill>
                <a:latin typeface="+mn-lt"/>
                <a:ea typeface="+mn-ea"/>
                <a:cs typeface="+mn-cs"/>
              </a:defRPr>
            </a:pPr>
            <a:r>
              <a:rPr lang="en-IN" sz="900" b="1">
                <a:solidFill>
                  <a:srgbClr val="7030A0"/>
                </a:solidFill>
              </a:rPr>
              <a:t>Role-wise</a:t>
            </a:r>
            <a:r>
              <a:rPr lang="en-IN" sz="900" b="1" baseline="0">
                <a:solidFill>
                  <a:srgbClr val="7030A0"/>
                </a:solidFill>
              </a:rPr>
              <a:t> Salary</a:t>
            </a:r>
            <a:endParaRPr lang="en-IN" sz="900" b="1">
              <a:solidFill>
                <a:srgbClr val="7030A0"/>
              </a:solidFill>
            </a:endParaRPr>
          </a:p>
        </c:rich>
      </c:tx>
      <c:layout>
        <c:manualLayout>
          <c:xMode val="edge"/>
          <c:yMode val="edge"/>
          <c:x val="0.4083817832421755"/>
          <c:y val="4.0419422674108745E-2"/>
        </c:manualLayout>
      </c:layout>
      <c:overlay val="0"/>
      <c:spPr>
        <a:solidFill>
          <a:srgbClr val="FFFF00"/>
        </a:solidFill>
        <a:ln>
          <a:noFill/>
        </a:ln>
        <a:effectLst/>
      </c:spPr>
    </c:title>
    <c:autoTitleDeleted val="0"/>
    <c:pivotFmts>
      <c:pivotFmt>
        <c:idx val="0"/>
        <c:spPr>
          <a:solidFill>
            <a:srgbClr val="7030A0"/>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7030A0"/>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7030A0"/>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7030A0"/>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rgbClr val="7030A0"/>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32215382741772103"/>
          <c:y val="0.13693059200933216"/>
          <c:w val="0.60801290463692037"/>
          <c:h val="0.75421988918051908"/>
        </c:manualLayout>
      </c:layout>
      <c:barChart>
        <c:barDir val="bar"/>
        <c:grouping val="clustered"/>
        <c:varyColors val="0"/>
        <c:ser>
          <c:idx val="0"/>
          <c:order val="0"/>
          <c:tx>
            <c:strRef>
              <c:f>Pivots!$E$22</c:f>
              <c:strCache>
                <c:ptCount val="1"/>
                <c:pt idx="0">
                  <c:v>Total</c:v>
                </c:pt>
              </c:strCache>
            </c:strRef>
          </c:tx>
          <c:spPr>
            <a:solidFill>
              <a:srgbClr val="7030A0"/>
            </a:solidFill>
            <a:ln>
              <a:noFill/>
            </a:ln>
            <a:effectLst/>
          </c:spPr>
          <c:invertIfNegative val="0"/>
          <c:cat>
            <c:strRef>
              <c:f>Pivots!$D$23:$D$28</c:f>
              <c:strCache>
                <c:ptCount val="5"/>
                <c:pt idx="0">
                  <c:v>Administrative Assistant</c:v>
                </c:pt>
                <c:pt idx="1">
                  <c:v>Analyst</c:v>
                </c:pt>
                <c:pt idx="2">
                  <c:v>Director</c:v>
                </c:pt>
                <c:pt idx="3">
                  <c:v>Intern</c:v>
                </c:pt>
                <c:pt idx="4">
                  <c:v>Lead Analyst</c:v>
                </c:pt>
              </c:strCache>
            </c:strRef>
          </c:cat>
          <c:val>
            <c:numRef>
              <c:f>Pivots!$E$23:$E$28</c:f>
              <c:numCache>
                <c:formatCode>0</c:formatCode>
                <c:ptCount val="5"/>
                <c:pt idx="0">
                  <c:v>25312.5</c:v>
                </c:pt>
                <c:pt idx="1">
                  <c:v>25489.634146341465</c:v>
                </c:pt>
                <c:pt idx="2">
                  <c:v>115318.18181818182</c:v>
                </c:pt>
                <c:pt idx="3">
                  <c:v>8666.6666666666661</c:v>
                </c:pt>
                <c:pt idx="4">
                  <c:v>77966.666666666672</c:v>
                </c:pt>
              </c:numCache>
            </c:numRef>
          </c:val>
          <c:extLst>
            <c:ext xmlns:c16="http://schemas.microsoft.com/office/drawing/2014/chart" uri="{C3380CC4-5D6E-409C-BE32-E72D297353CC}">
              <c16:uniqueId val="{00000002-C6DE-4780-BA36-3BDD8FD0EA4A}"/>
            </c:ext>
          </c:extLst>
        </c:ser>
        <c:dLbls>
          <c:showLegendKey val="0"/>
          <c:showVal val="0"/>
          <c:showCatName val="0"/>
          <c:showSerName val="0"/>
          <c:showPercent val="0"/>
          <c:showBubbleSize val="0"/>
        </c:dLbls>
        <c:gapWidth val="84"/>
        <c:overlap val="100"/>
        <c:axId val="2087913807"/>
        <c:axId val="2087915247"/>
      </c:barChart>
      <c:catAx>
        <c:axId val="20879138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87915247"/>
        <c:crosses val="autoZero"/>
        <c:auto val="1"/>
        <c:lblAlgn val="ctr"/>
        <c:lblOffset val="100"/>
        <c:noMultiLvlLbl val="0"/>
      </c:catAx>
      <c:valAx>
        <c:axId val="2087915247"/>
        <c:scaling>
          <c:orientation val="minMax"/>
        </c:scaling>
        <c:delete val="0"/>
        <c:axPos val="b"/>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87913807"/>
        <c:crosses val="autoZero"/>
        <c:crossBetween val="between"/>
        <c:dispUnits>
          <c:builtInUnit val="thousands"/>
        </c:dispUnits>
      </c:valAx>
    </c:plotArea>
    <c:plotVisOnly val="1"/>
    <c:dispBlanksAs val="gap"/>
    <c:showDLblsOverMax val="0"/>
    <c:extLst/>
  </c:chart>
  <c:spPr>
    <a:solidFill>
      <a:schemeClr val="bg1"/>
    </a:solidFill>
    <a:ln w="12700" cap="flat" cmpd="sng" algn="ctr">
      <a:solidFill>
        <a:srgbClr val="7030A0">
          <a:alpha val="48000"/>
        </a:srgb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[Dataset.xlsx]Pivots!PivotTable4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
        <c:idx val="7"/>
        <c:spPr>
          <a:solidFill>
            <a:srgbClr val="9A57CD"/>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BC8FDD"/>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Pivots!$B$20</c:f>
              <c:strCache>
                <c:ptCount val="1"/>
                <c:pt idx="0">
                  <c:v>Total</c:v>
                </c:pt>
              </c:strCache>
            </c:strRef>
          </c:tx>
          <c:dPt>
            <c:idx val="0"/>
            <c:bubble3D val="0"/>
            <c:spPr>
              <a:solidFill>
                <a:srgbClr val="7030A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6EC-4BA2-80F2-2457BA6A86A5}"/>
              </c:ext>
            </c:extLst>
          </c:dPt>
          <c:dPt>
            <c:idx val="1"/>
            <c:bubble3D val="0"/>
            <c:spPr>
              <a:solidFill>
                <a:srgbClr val="9A57CD"/>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6EC-4BA2-80F2-2457BA6A86A5}"/>
              </c:ext>
            </c:extLst>
          </c:dPt>
          <c:dPt>
            <c:idx val="2"/>
            <c:bubble3D val="0"/>
            <c:spPr>
              <a:solidFill>
                <a:srgbClr val="BC8FDD"/>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6EC-4BA2-80F2-2457BA6A86A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Pivots!$A$21:$A$24</c:f>
              <c:strCache>
                <c:ptCount val="3"/>
                <c:pt idx="0">
                  <c:v>Hybrid</c:v>
                </c:pt>
                <c:pt idx="1">
                  <c:v>Office</c:v>
                </c:pt>
                <c:pt idx="2">
                  <c:v>Remote</c:v>
                </c:pt>
              </c:strCache>
            </c:strRef>
          </c:cat>
          <c:val>
            <c:numRef>
              <c:f>Pivots!$B$21:$B$24</c:f>
              <c:numCache>
                <c:formatCode>General</c:formatCode>
                <c:ptCount val="3"/>
                <c:pt idx="0">
                  <c:v>164</c:v>
                </c:pt>
                <c:pt idx="1">
                  <c:v>43</c:v>
                </c:pt>
                <c:pt idx="2">
                  <c:v>35</c:v>
                </c:pt>
              </c:numCache>
            </c:numRef>
          </c:val>
          <c:extLst>
            <c:ext xmlns:c16="http://schemas.microsoft.com/office/drawing/2014/chart" uri="{C3380CC4-5D6E-409C-BE32-E72D297353CC}">
              <c16:uniqueId val="{00000006-76EC-4BA2-80F2-2457BA6A86A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5894762472166788"/>
          <c:y val="0.31205191903932455"/>
          <c:w val="0.13349526496995245"/>
          <c:h val="0.361609877170909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7030A0">
          <a:alpha val="48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[Dataset.xlsx]Pivots!PivotTable5</c:name>
    <c:fmtId val="1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900" b="1">
                <a:solidFill>
                  <a:srgbClr val="7030A0"/>
                </a:solidFill>
              </a:rPr>
              <a:t>Salary</a:t>
            </a:r>
            <a:r>
              <a:rPr lang="en-US" sz="900" b="1" baseline="0">
                <a:solidFill>
                  <a:srgbClr val="7030A0"/>
                </a:solidFill>
              </a:rPr>
              <a:t> Trend by Experience</a:t>
            </a:r>
            <a:endParaRPr lang="en-US" sz="900" b="1">
              <a:solidFill>
                <a:srgbClr val="7030A0"/>
              </a:solidFill>
            </a:endParaRPr>
          </a:p>
        </c:rich>
      </c:tx>
      <c:layout>
        <c:manualLayout>
          <c:xMode val="edge"/>
          <c:yMode val="edge"/>
          <c:x val="0.31041180747858088"/>
          <c:y val="5.1782322158530014E-2"/>
        </c:manualLayout>
      </c:layout>
      <c:overlay val="0"/>
      <c:spPr>
        <a:solidFill>
          <a:srgbClr val="FFFF00"/>
        </a:solid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412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37839022700113"/>
          <c:y val="0.14962420404014509"/>
          <c:w val="0.81223763820765504"/>
          <c:h val="0.70677534027453059"/>
        </c:manualLayout>
      </c:layout>
      <c:lineChart>
        <c:grouping val="standard"/>
        <c:varyColors val="0"/>
        <c:ser>
          <c:idx val="0"/>
          <c:order val="0"/>
          <c:tx>
            <c:strRef>
              <c:f>Pivots!$F$2</c:f>
              <c:strCache>
                <c:ptCount val="1"/>
                <c:pt idx="0">
                  <c:v>Total</c:v>
                </c:pt>
              </c:strCache>
            </c:strRef>
          </c:tx>
          <c:spPr>
            <a:ln w="41275" cap="rnd">
              <a:solidFill>
                <a:srgbClr val="7030A0"/>
              </a:solidFill>
              <a:round/>
            </a:ln>
            <a:effectLst/>
          </c:spPr>
          <c:marker>
            <c:symbol val="none"/>
          </c:marker>
          <c:cat>
            <c:strRef>
              <c:f>Pivots!$E$3:$E$8</c:f>
              <c:strCache>
                <c:ptCount val="5"/>
                <c:pt idx="0">
                  <c:v>0-2</c:v>
                </c:pt>
                <c:pt idx="1">
                  <c:v>3-5</c:v>
                </c:pt>
                <c:pt idx="2">
                  <c:v>6-8</c:v>
                </c:pt>
                <c:pt idx="3">
                  <c:v>9-11</c:v>
                </c:pt>
                <c:pt idx="4">
                  <c:v>12-14</c:v>
                </c:pt>
              </c:strCache>
            </c:strRef>
          </c:cat>
          <c:val>
            <c:numRef>
              <c:f>Pivots!$F$3:$F$8</c:f>
              <c:numCache>
                <c:formatCode>0</c:formatCode>
                <c:ptCount val="5"/>
                <c:pt idx="0">
                  <c:v>24931.720430107525</c:v>
                </c:pt>
                <c:pt idx="1">
                  <c:v>76846.153846153844</c:v>
                </c:pt>
                <c:pt idx="2">
                  <c:v>78421.875</c:v>
                </c:pt>
                <c:pt idx="3">
                  <c:v>105000</c:v>
                </c:pt>
                <c:pt idx="4">
                  <c:v>117611.11111111111</c:v>
                </c:pt>
              </c:numCache>
            </c:numRef>
          </c:val>
          <c:smooth val="1"/>
          <c:extLst>
            <c:ext xmlns:c16="http://schemas.microsoft.com/office/drawing/2014/chart" uri="{C3380CC4-5D6E-409C-BE32-E72D297353CC}">
              <c16:uniqueId val="{00000000-928B-4600-AEB2-A3C4B7577DCB}"/>
            </c:ext>
          </c:extLst>
        </c:ser>
        <c:dLbls>
          <c:showLegendKey val="0"/>
          <c:showVal val="0"/>
          <c:showCatName val="0"/>
          <c:showSerName val="0"/>
          <c:showPercent val="0"/>
          <c:showBubbleSize val="0"/>
        </c:dLbls>
        <c:smooth val="0"/>
        <c:axId val="1741818320"/>
        <c:axId val="1741816400"/>
      </c:lineChart>
      <c:catAx>
        <c:axId val="174181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41816400"/>
        <c:crosses val="autoZero"/>
        <c:auto val="1"/>
        <c:lblAlgn val="ctr"/>
        <c:lblOffset val="100"/>
        <c:noMultiLvlLbl val="0"/>
      </c:catAx>
      <c:valAx>
        <c:axId val="1741816400"/>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41818320"/>
        <c:crosses val="autoZero"/>
        <c:crossBetween val="between"/>
        <c:dispUnits>
          <c:builtInUnit val="thousands"/>
        </c:dispUnits>
      </c:valAx>
      <c:spPr>
        <a:noFill/>
        <a:ln w="127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7030A0">
          <a:alpha val="48000"/>
        </a:srgb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[Dataset.xlsx]Pivots!PivotTable3</c:name>
    <c:fmtId val="3"/>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r>
              <a:rPr lang="en-IN" sz="900" b="1">
                <a:solidFill>
                  <a:srgbClr val="7030A0"/>
                </a:solidFill>
              </a:rPr>
              <a:t>Count of Bonus distribution by Performance Rating</a:t>
            </a:r>
          </a:p>
        </c:rich>
      </c:tx>
      <c:layout>
        <c:manualLayout>
          <c:xMode val="edge"/>
          <c:yMode val="edge"/>
          <c:x val="0.12893192473398801"/>
          <c:y val="5.7036995452759219E-2"/>
        </c:manualLayout>
      </c:layout>
      <c:overlay val="0"/>
      <c:spPr>
        <a:solidFill>
          <a:srgbClr val="FFFF00"/>
        </a:solid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113764319606415E-2"/>
          <c:y val="0.18055539461159625"/>
          <c:w val="0.89297462817147866"/>
          <c:h val="0.71204505686789155"/>
        </c:manualLayout>
      </c:layout>
      <c:barChart>
        <c:barDir val="col"/>
        <c:grouping val="clustered"/>
        <c:varyColors val="0"/>
        <c:ser>
          <c:idx val="0"/>
          <c:order val="0"/>
          <c:tx>
            <c:strRef>
              <c:f>Pivots!$B$11</c:f>
              <c:strCache>
                <c:ptCount val="1"/>
                <c:pt idx="0">
                  <c:v>Total</c:v>
                </c:pt>
              </c:strCache>
            </c:strRef>
          </c:tx>
          <c:spPr>
            <a:solidFill>
              <a:srgbClr val="7030A0"/>
            </a:solidFill>
            <a:ln>
              <a:noFill/>
            </a:ln>
            <a:effectLst/>
          </c:spPr>
          <c:invertIfNegative val="0"/>
          <c:cat>
            <c:strRef>
              <c:f>Pivots!$A$12:$A$17</c:f>
              <c:strCache>
                <c:ptCount val="5"/>
                <c:pt idx="0">
                  <c:v>1</c:v>
                </c:pt>
                <c:pt idx="1">
                  <c:v>2</c:v>
                </c:pt>
                <c:pt idx="2">
                  <c:v>3</c:v>
                </c:pt>
                <c:pt idx="3">
                  <c:v>4</c:v>
                </c:pt>
                <c:pt idx="4">
                  <c:v>5</c:v>
                </c:pt>
              </c:strCache>
            </c:strRef>
          </c:cat>
          <c:val>
            <c:numRef>
              <c:f>Pivots!$B$12:$B$17</c:f>
              <c:numCache>
                <c:formatCode>General</c:formatCode>
                <c:ptCount val="5"/>
                <c:pt idx="0">
                  <c:v>91</c:v>
                </c:pt>
                <c:pt idx="1">
                  <c:v>81</c:v>
                </c:pt>
                <c:pt idx="2">
                  <c:v>56</c:v>
                </c:pt>
                <c:pt idx="3">
                  <c:v>89</c:v>
                </c:pt>
                <c:pt idx="4">
                  <c:v>40</c:v>
                </c:pt>
              </c:numCache>
            </c:numRef>
          </c:val>
          <c:extLst>
            <c:ext xmlns:c16="http://schemas.microsoft.com/office/drawing/2014/chart" uri="{C3380CC4-5D6E-409C-BE32-E72D297353CC}">
              <c16:uniqueId val="{00000000-D131-42A7-AA09-FCB929B05930}"/>
            </c:ext>
          </c:extLst>
        </c:ser>
        <c:dLbls>
          <c:showLegendKey val="0"/>
          <c:showVal val="0"/>
          <c:showCatName val="0"/>
          <c:showSerName val="0"/>
          <c:showPercent val="0"/>
          <c:showBubbleSize val="0"/>
        </c:dLbls>
        <c:gapWidth val="219"/>
        <c:overlap val="-27"/>
        <c:axId val="1161524239"/>
        <c:axId val="1161525199"/>
      </c:barChart>
      <c:catAx>
        <c:axId val="116152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525199"/>
        <c:crosses val="autoZero"/>
        <c:auto val="1"/>
        <c:lblAlgn val="ctr"/>
        <c:lblOffset val="100"/>
        <c:noMultiLvlLbl val="0"/>
      </c:catAx>
      <c:valAx>
        <c:axId val="1161525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52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7030A0">
          <a:alpha val="48000"/>
        </a:srgbClr>
      </a:solid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38FE38A9-759D-4EA5-AD5B-17E17E84BFE4}">
          <cx:tx>
            <cx:txData>
              <cx:f>_xlchart.v5.2</cx:f>
              <cx:v>Count</cx:v>
            </cx:txData>
          </cx:tx>
          <cx:spPr>
            <a:solidFill>
              <a:schemeClr val="bg1"/>
            </a:solidFill>
            <a:ln>
              <a:solidFill>
                <a:schemeClr val="bg2">
                  <a:lumMod val="25000"/>
                </a:schemeClr>
              </a:solidFill>
            </a:ln>
          </cx:spPr>
          <cx:dataId val="0"/>
          <cx:layoutPr>
            <cx:geography cultureLanguage="en-US" cultureRegion="IN" attribution="Powered by Bing">
              <cx:geoCache provider="{E9337A44-BEBE-4D9F-B70C-5C5E7DAFC167}">
                <cx:binary>1H1Zc9y2tu5fcfn50iFmYNfOqbrsZlOSh3hKHOeFpdgyZxIECE6//q52hpKwJSsbJ/chfklFUi+C
a+FbEz6s/ven9V+f2ptr82Tt2t7+69P6/dNymvS/vvvOfipvumv7rKs+mcEOX6Znn4buu+HLl+rT
zXefzfVS9cV3OEb0u0/ltZlu1qf/82+QVtwML4ZP11M19G/cjdne3ljXTvYbv7v3V0+uP3dVf6zs
ZKpPE/r+6fGmLaunT276qZq295u++f7pnT95+uQ7X9B/PPRJC+ua3Gf4LJbPOCVExZzHX/+hp0/a
oS9+/7UQzxBiVEiG1Nd//I9Hv7ru4OOPrubrWq4/fzY31sK7fP3vnx+7s3D46YunTz4Nrp/O2ipA
cd8/vew/V9dPn1R2OPz2i8NwXvXlq6+v+d1dPf/Pv70fwIt7P7llCl9Lj/3qPyzx/Nr019N1A+v7
u6yB6DOBYoopxfdagz9DXCjEwGBf/5E/Hv2bNf7Siu63yK2PelZ5/n//UVZ5f91V7ZNX15/dH7r5
34MEoWcx4iiOpbyLDvmMxiLGMRN/POw3Q/y1Rdxviduf9UzxHrb9PwggH27s9CS56Yvr9g/1/O9t
gckzySgTMZG/YUDdMYkUz5TAFAsifkMQ++PRv1nmL67pftPc+bBnmw/JP8o2L68/l9v1k9fm+vON
Lf/Q0d9iHkYkEozJez2YfIalVJyQ3+OJ58H++rLut5D/ec9IL1//o4x0cW226/5vjC9YPUNKIkUB
FbejPH9GaIxpTH83mhfl/8I67jfHnx/07HDx9h9lh/c37TV4sb/TEkg8A11zppAXUtSzOFaSKkZ/
c2/w69+yi98jy19Zyv3GuPUWnjneZ/8oc7y8hkT72paT+RuhgdQzynAsCVP3Oi5IvWKpCP7dLMqL
K39xTfdb5s6HPdu8vPhH2ebHCazyV8PK35ic358W3c7L7/zFf1sl4WeEYUko/z3nuJt0CPWMQEiT
MSW/7R0vHfy9inl4Nfdvi98/dmfh/59Looct8mcReYSaJ/1afd6qmL7926+vBwWx99E7ZdOdt/zD
511+/v4pQpAj/FnTnkXccYh3dPvn399c2+n7p0o8owgJwhhYDgonDmZbICn9/imXEAihppUxwF3i
mKCnT/rBTOX3T4l4FgsBnpnHXBFwB/TpEzu486/4M8HBxkoKLCiCvYD/rPVfD+1WDP2fevj9/5/0
rns9VP1kv38KcvRvf3VeZoQRFRTypLMn0Z+u30IbAf4I/R+br/nQVIpflOio2A92vrr1/v+F3PPz
bslVuJq5bVeRTqxsy2Tft+1Difn6Wy39Wyn9X4gHq9wWX4uo2Za1F2lpRmPeLnyPi/fFug9fvr18
yDXuVQu+K191eyNdk/NUYWb3Nxp1Kk5KUjOUxDTucELJOOWnbz/sIRuA+W+/jAXb10vR83S1RJJE
xqQwybBx+cu35QPw732Z+K58ocZY12rjqUOavkRood27Ja5j/mKTU79mkdi5Sbpt1JAp/bn5/7p1
JOz02y+kZaxncX7g3CqxXg2ly92BWldW6bcfcBZ0z649V8K3HyCrfYknR1i6NFYsV3wjOT7oxuLy
BWvKGr9ErnHNYbRjv4kkbikaT3Ffzgbi27deEJ1Vd98Czqq+tb216GzD7MZSVxTzeJBYZoKgL7oh
49IkY7HMXeI2Eb0YlgI1qcPDIPskKiTuoO/0rSU8sGnkeefeWkFbbN3csgVUIDE7EDN8EWypHnm/
h4R7XmEApC5ym1i6bVb8HA/bkOSzq38IW7rnG1pZV9wSw9KGVNVNDH3OF31UNe4QJt7zDUO0MD2W
jKXtJOaf0DLSZM13EeZ5pOcZTLvUWuORpdMQ7Xsar9FsjlwPgwhcvucN8FogubU1eIOBuvqwcb7S
ZBwBSsdv6+cB38Y98HRqXljtCpF1rR3zt6LrRvcTGXcVX01RqcQbiC2EX377YQ/tJM/34HqL+sHq
KOuHTfDXtoJM+qdumqIvQfKF52qsjF28rExm+4C6dCtoZJK1aqx5xBrnHX8P0IWnLDU0tHV4y7Mh
knt3WgzSc9ouG6qOY1VSFfgYz58QOuRy0ZHIpsnh6aLnQx+ne4/aNdXVtKxhuBae0xiHeczJ2slM
42Z/35it/KEXXL3/ti0e0pXnNZZmlWiBHCfD0VqlrTWCvCjoNowfGiab9RFVPbCjxPnntxxfKQvd
SKFlZlq6XUbdHv+gCmTa5Nsv8ZB4clf8kFdbDMrhmRMjXpO4XulHvg86DRPvuQ83i0FIOP/I5hYs
MLVFl1IXCR24es95uIr0W7vVMqN2bsAGm1yjxMZbtQc+wMNzoyI2qhW0r1A39pcasX5JTS325XWQ
gs5Z8m3zCrwRi6KVZ8qW1U9CWvt6rYpxC1s/94AmNgPHT9BCzzShU3Ux7WRVSdl0SxwGMe5BbK22
kU/YiKyxhaaXtsOzTGpHzWOx+ex57vFI3EPZVtRF3C1g4jHftDnWBRHidRftM78qprxr0rXAW/9z
20nyi+uLpX/Ekz+U83APeO1a5GLYF3CFrWz1VRnZXEBm3yhI6+S01HRK+qne50NVct2dmnUvxJHT
hQzv5njiLlDBHkC3nEdCNlGedSJyR1ItIpOiJY/sD3RGyn3qxXf3H5untRrxqDIS72ZId5TPU8ry
fW8vtCJi+6Gw3fBFR3TpLugue/ZqJQT3L7GQsv5ZNpixR5bygCfiHpZlXzM9LBXNtMgtOfBd3eh1
XcYwP8o9JLeGcLSttchMpJesmBBtk4LI4nMQjpmHY4cMl3Vd0KzQq/zIILq9snHUhblRdgbHrSAw
kqKvo0iojLVQyRwckt2euMps9pFd9gDKzmdqtx9gq3FjeDUym7Ylx5eSGhP/umoEiCtxGQ9JXznd
JXjnuviku93iMLMwz3+QpW9hExmecZl3LtEjtl2yORoFenDm+Y+d7s3ouBGpGxlK+TYXx50P0THM
7J6T4LmK+3pc98y6Ysr2XtQJN7p+xAc9AAnmYR9ORctohVQ1q3HVHfCE6mO+DThwU3nQh6pnkKga
9gxD3ZjEJfrQF/SxRPKhpXtoRlz3dG2LPSvENr10Wx9DeB5LVAfuGw/OZe0mTcy2Z1HeqUs8r80x
J5JmQWalHpqJnpmeGpA+5ZgeFiJsYjtUha2demiWPd7lLMCs0YTLQ0PcnPBG0DA/Sj0o13Fk4iW3
ezaiqj1Z1ReHmdH99G3NnGFzT7ygHl77nJX7jqIlWyJ2A2VnM5/o1Og+mxbBA9/AgyyZxdzXTb5k
BID7Vk1DnSI6NGHlOPUgO/WQCi07X7KBMn4pFXPHeusD3Q31IIumrs3lXrussC19XrWdeKnXNnDp
HmIhUOdNg8iUjUOdo4Nh2B5EuTbl8dvGfQC01AMtywvbRDu0eXRfrVfNVEwvXJ63gaDyIAv90WhG
rp5OxhWLfUeWWLY/MCN5GbZviIfaBlXzWMx4hZTQ7YdGs4+b2vpHNv4DuiEeaFkdNVTKfE7HtkQJ
sQ4no1IucOkeaImuKc5rOYPmo48GQ37XqzUPMyvxMNvo3USR5b8vneIRJ2zmoUv30cpk7mSJ5lQt
0DTGZ+k2XDFnc9zKfJp41nlrQfpaq/LgZOMSznEdqHYPrSVlcgCKEUin+GasaHsqqiKws0U8tDbA
dpRVAcLV7rqsFcpA5cXXsNzgfIhyWzHrRETebs2csilfkhXNOEE6n8JCFPGw2pUa9wOJXdrPe58s
ZXXj6h2FaR17OLW7mfRQLi7tmpImnLKP0WxxoHAPp3HODNnKaErFGPdHu1bX1u02ULgH09GqtYZM
2KU1V2XC66pNnMEiULqHU0HqqKgiBUtXDr20cDzyOhdFG3ZEhT2cro7inoLkbEfAtU32XnJ2jKZI
2rA9gz2o4nFVndPFnG20600SEc0yveDpU1Bwwh5WUZVjM6wdRNbctleqtuhom3pLw6Tju3ByJtek
2JjLJkV+QTV+Yyl5EybaR6rd6m7boimryugVuMePGxaB7Tvs4VRVVSdQL6asXkp5dCV7PzT5EGZQ
5OG0b2xklHQui6qpOrS1eCHwGIdt9jMV57b/gmPhRdtVRmnfrp+rDX3ArHsepHDkoVRWSxFBvN4y
EGunZMe25MlmSRHmepGH07lgrmyomTIgLMQ/0wn8QGKrHYVlGsgDqhtbHLf54LJuMPtxWMWvZaXz
QLV7IM1lNYq5Mi5jm9kOXadh6c1jJ69nIfcUB2fywG2bqp7TSkfdlMFpv3opbYFetlGuP4SZ1YMo
nvBkgKkP27HMy4R0y89CVoEm9TC600HVedm4zLCZJEiuH9tRvg5bt4dRutB1qQjIjmr7nrrtJaP2
ZZDo2EPosOR5MZFiSuM8ig5Rnb+o9jiwPxB7CEVIa7FHOEp5rH7oNvFRmq0Ncy2xB9GohDzdDKCT
tuzfDMVwyrsyzJPHHjqpXjayQk89Hfb5wiz4OWVhETT2gKk3NvFBQ23Hu+KFHNasN3nYMWvswbJq
p7V0Dhatux/32R1q8VPYDvEg2ara6L0BI9Ky+dWs6o3ceZifij08unFu1m3hU7bZGr3ftwlntSP2
GLZwD5Gkz9e+rtSU2QioBLhvLlSufg6T7SGyaSvL4C5IlLIKstso5tdUkbDABpTFu04QNvY4tjGE
5LLia8IsjY5KiTkIOFR5oJR2FhNlc5SO/J0ZjhK62CE6ocpDZFmUIx3LbcqcBDLHQqxO0Mjfhwn3
MLnA+fu29blNUakvlhbO9kdST0E7Bdi7dxVunIubqAXhsmWvidOfKrqZQK14uAQy9xaPUtnUdOQ1
A9mrm0Nle9BESyUIWRG0jTGJXzhZ1FcjXXmgVjx0lpbOLeSzsFHYzpM9rn9seRmUYFHlYXNVji6N
AuSvZJvqQ0xzPhwxZEBVkGuhygOoXjqaw1nNlBVUX0fL/AEOH34M2oo+WWsmJDacgF6cK9hxdE2V
EIlFUB4BDSFvL5azgH70Cgtf19duiK/WeQxEqPQQWncipqIkNpMNedkC4TCVQuAwjfv8KlcY4Fy6
ecpi3b6hUXuoTRmUpFDp45NF/VaQzmYYM3xYOmQOiNZfwszpAXSDEwUru8kCwYB/LOx6VQn2Lky0
h8/VTHkjcWSyDbVL0g5iPPVdHcaMoD6xamBLr2ag72RwhLQf+314JYgNO/an0gOo09g2JVpMNgD9
pU2sM9HzaI63t2Ga8eC5RAS8InVg0Xn7bCGDW638NUi0T3CaIPCUmg82a3jxdtX6Mu66sH3oc5vm
XDa8bqnJ9nks03kp8DFq+09h6/bAWe00t2ZtbKZKfWjo9qqTj6WdZ5z8Z1VFfRbTEkE/eNbCZGU3
M5cYweuXI9drstTYbYew9XsgZU2/9s3ATNZW5Je2pB8i3bwPE+1BdAXGY8tFbgD/s72YrUEJmmnY
UR0VHkoLXLLKEAwLp+hDN0d9QiP9U9jK/Ri6jroxcWkzhiu6pDtxG0162ZZNWJAWHk5pWRTSyRa2
5Bq9qTr8vhrDanEqPIy2FRuhYAbR+abeTHH1Q0540DEU3Mu4G+RaueXdOG8mI3mHs0ji6Q0qliqI
6Ut9viYWc8zmCnZiHu9bspkxIzSQMEZ9PlS35tG02tJk/azjJJ7FaVyKsO4w3Hq4q5fJUOeoApWD
e3w+b/h5y9YwDPksKLUUravHwmQiL/pE7NtzZaqwczPqM50U7JJ4xY3J0DC/Jmh8YeIpcN0eOk0F
pxN8icbMcvmhQuZN24xBRRzlHjjzlXZNoWuTcdBMooCEnoxbJ8P8oc9Gmkg9RvWgRji3KceDwc0b
F6mwFNSnIsUx1Fk9i8esqEhXJws0KlIXRzxMMT4Vqa4VsNLqDXCjtu4gHedv2yrewyzqU5HmmvEc
uHZjtiuDD8jSVxBJw07P4ab5XQS5qJcDWwfYLoOicQO+dmtsmUg1N0E9HDjhv/sEoOfGqlh70H1R
LuLQQ/Msy3M6hp0jUJ9utDXOSdPlOpORbcbDvOjui1NiCSwaGb27ftThmC4q0pkpN3vsCl4noCF2
Cgp4PuFIiHWV8RzrzLUcH2IOvHIYBRDoH5mH2KkFBp4lvc4sFcWUoB0318229kUStnovmq6V4WZZ
QTdDWQ9JNXU/ri0Ki3nMD6d4WLpIONB7L/XFZmN7WtqhvAhauc83mslMNt0uOqtztn+Ih7y4gLkw
uglTjE84IuAnGd7ArKrPR3sSDm5bJiwf+Bj4AA+3cBjXDL2eQfPELpfGyB/LsQ3rzVOfciSaDgPH
2OhM0OldVdg3SzO9C9O7l/UW+baQti3GTPTql35YUFJS+hi39gzJe/J2n2g0QstcRq7TGTG1/EXA
ocKFa7o5cMt4kXWKo3XbCRsyQKpKOFBfkmiLRBqmGA+qZovgjL4F6WzeXMKQvmr6x1hMX1PQ+xTj
4XSsVqDXSTxkM2+KPIHT4hqcjajW5lB0qmguOr0t71xn20tiScSzqSxH9h6uuInxNfT/rHmnRMcv
GjiXHC7qpqc8EW0FzfhiHWW8JDutR/PjMuLIHeJt7JvroSyj8cAhscRHxKDXngrtVndsEXTJDhxO
qddLN0ayzrBYS3qZD/WyHVAM3YSfI2D2bidEaiuORKwgc2mraT8Voyot3LbDuzt1GK/70c4d6X9Z
BaX564nyqP7VIjaOmdyxmjOzwvse9bSztI5nJg+9wKg58E0U7qJAQ6FecNnDvbB43PE7LNWSzJib
S11Zs2fxoOR2Wrp2psfZ0IKls1gotLDbcqaHotXdAPmsUttBmoqIpBsqg54vfV6ry5agiWY7aHs5
MNLMl/seda9MP8f0SON53pM6N/n+rkX1IMKyEOo5zG6ljjeODBln5QBdnyjBBVFh/sZnehGab5BI
tjoreXeT0+ZdLqqwdfs8rxlOYtYWw7qZyzOr2qucobDmIPG8JJuBmYKgg5RhpdYkj1STqBYNgTrx
MhsTF4Q3cGiXFbiuk7UZv/DahCV9xPOTNVxvnXsRD5nbnH4FF7Sqi4FMXZgrI15OU/Iqdj3mNitM
Q19QyF+B+e+mj0GujHiO0nTFPM96HrJGFu4nI8cdmvm9nALV7nnKsa8muCaihkxBUzlhuH5R7kXY
5S/qk7xigDCjUg/ZNui8Ow7xUmfrGFeBVY5P80J9hfaIwI7kRcfWFNve7YmIWDMeg5TvU72mblzy
qJyGDA6qviyaXrHIht3ooFjeTYW1W8w8bmLIylgBj2yyYm0PRNX4S9jaPbjObNzJ7LDO2lHtMhHD
SOCMXWIcxsWg2EPsovsWxWsBCQJMOEycWOq0qqrABMHne2mx5PVeQAiHMxpzAEYZP+hoibMw5XiY
XWK4Ks2qfoCLrm17xcnMpoSPhofx+6nP9rJ1XwCRaQA33DtxVfYk/gVq2i2sFYw90Iq1G/fOQr4K
raz1Mqe5y0Q8icBN7+U3mLROVefoVFddcbDLWCRu6rowh+NTvpBBq1uhTs6irSc3JbDNb/bOdWHM
T+qTvhgmfV3Wjc4YF3N02ageHeJ8WdgjZ4cP3KujPvELrpvmOW9ln+0tIua9bqp5OOSix/q42CF6
DxfOXkWRausjZHGNOhQKitFTGTE2hFnf54fBPV0euxryz2UbS3mIuhoGUHRlr9uwMtoniPGY7FCz
nD1TPqH8eVcVcO9sG7cpDutO+RSxPXYGbrziPoNZb1WTrEu90KRu6ByYYCEP3tzunekxPGBzGGjL
u/sA7P1PQa7DZ4m1U7dNyu19pk1vD2tBvuwTC124h+xi3JG1jegyyG1PLW6uMLZhLYCvVyhvUdG7
KIqLBSaIZBOd7aGJKBw1LPvbMKV46fJUtqZAy9xnuTMydSUuko5VgaHS54ktAga+9mDRrDJr9GtX
L+STiSDcBK3dJ4rZmvYD7VGXQa71Ssz783YsHpnlct5v95SKPk+sWOGckZuhz+yKyyvUGpnA8Nol
LIj5VLGl4ZWcG9JlpJFDkdRSjlelcH0ZBlOfMEbVOhDex10mWF8fRiUvGoq2sDjgU8aM7osiV1Wf
KVouL6zp6EFM9fzm2zY9Z/b3Kd7LmtXSbPOCIL63Ox0h5Y9todI2RsOQcqjq+qAci/jcHZj+ked6
Mm22G/ErFOovO1F++PYb3L91yHmU1G0yKp1jOBqE61hwQ3DI62S0br5ZyBg2eoAoT0EV5Mp9mfdt
prTMobtj5WXHmQuCFIFhV3cWP+DarbuBxedFCTU+wjqBkRJh7oD4/B3Fd7ExC80OtExoO/YVHP4e
6r6v57BK16cGyo3nkpNiyGJHJp2AHeqzx4zVcAwxLo29FKuLKjvOqgKXw/A7N8VvC5QHqZ7GnieG
mSGTjA2sHZqm7FgZOKHZHeqDUAujpO8atgcfEzVA9kyRMPnbeYv0u75kYZfUYFjaXelt1SMXY9ue
Q6t8ozvCsqliMkjpxKcIamgaxXl33vIlNJuGUb6JaFEFKsYrhtw29ZvbqhaIHzCZ6wB3SsePe6uG
OVC+Z1Y5L7mGzLbNUMm3oyzi+PUA9/nehuxHOBO5q/iNV9DhWsboWKBiHa7qGMWvMNbMPQKor52W
//THxCeWwRx5vHLuwJtxx7ofRoR6d1E182hOUIg5fIJZetweR9auw4tog6rghRb12H3EiNCT43i/
FDTaWKL23MF0hS1qmh+6nq340I3jVh32osz3X4d8q9yp1xBzD47V6yfSUfp81vV0tVXlfCK5W0AE
zMAok7ir6P6+RHC/5U1znlPxvq+ktkco2OgOvzXLoYyB+fmq1mW0H+GvbfWS4HyYgxJJ4hPigNc4
4vOF5LTIUf1qVo16gStchAVY4lPihqhhA3RHmwyv8Q3H4xuFitdh2+UcdW+lklBrbl3ElyYjO/Bs
W0wv8WAfG6RxRsx9W8ULfM5FXbHbtclGDbM6Lo3d2+WoNmA9HBeoEIpLrnhbfgx7Ey8MolExTmfW
ZJGOeEqbpT3tui1+DJOO7+qp3HIHNSJpsnmg5THK9w9TjR/T01nZ9+nJiyEoLirXGNdkvHXVO2BV
0x9kWazXa42iRzqbDz3CczpxrkSB9dikdiUNP5bTaMYqmQ002y+rBW60PVJUP2BynzUH9ITCzbwt
UvhuiaY5ObYiYIdFbVp1u8QHYHSHdZWIT6IrSuid5KYFpfU4AqIb/wCOKDCnEl7HLYKBI9AI6JsM
wXHcRJbTRNAjDvoBS/gkOkGAy7nDHdxjU4xiulStZadBKjj358XcxkHsAiLOT7+FawayeVWJCMZ0
wCBBuOte/KxGEXa1lfijwOymxqraTJ0JwaYTcK5lkpcorFghPpFurqAVSRwqs4pKetLz1h2lqoLq
OCI8IMdco7YVbX5Ec3UV5yShAw/UuQfjjcStHSYQve80zdV46iocVB/CtxrcNecGg9Aqq5r82FT4
uWDR85GHdfGIz6EDWuF5EG6VH3W9jFe1tVMWMfIuyG36FLqciXLeSASbHRU21drQZFMtPYVJ91Aa
q8bkLI6qTFRWPwfW64ex2MKGwxKfQ1dwUUQzdlXWbrg9OTX1F/HYhlFRiU+ji7YVzlM6U2VVXY9H
XcoXkTA2DdOLF3fXOh6dJYM6Th2t1hPGy4/aNE1YUxFmXt/djOWgprGlvTr28/iqaYesNkNYEPep
dFu5rkVXQCLVTq5KetfHh71lj3je8+vfE2Z9Jt0M7PwdbvgBiOw8JMAaO2gOE4XDdO4hdIchPXae
dAW3lrrt0Bd6GJPc9CqMkAYDqe8qXXUb3LlomIKLVsOOE9nm5vmwNlXYPUjis+kc7/NejEQdu2WH
M9s3wAJ4RDNfW7X36N3n0lG+IxhOVZQZ2iIyP4+rjsEFowJmeb6HSUlDVjG1k0SMc8dSDt215TBO
DZthQqbm22l0Kh7TXaMCX3eC4TnLJalEUAeenL8S43acbNVEdiKZTSuxmhPLJ5gpHDVh52rEJ96Q
BZO9bSabkqUrgWUxvYcrlesjen1gO/sEwjUaEYwMmc6VnpmKy4rE0qWlbWx/DNrSPoOwr6qJS1SK
42pKDr51q11/KBlHJKxs8imEZmrcPufapW4oddpJuhy1okFNcuIzCCHbZESTzqXoPLJsYSNcMqci
iBoO3wpwd9toMVObTyB8djB2urV0TIYWh9ETCfMSCVo6uMjvepfiGukDaVCdQH/v1zCreo5qaCR8
JQnJp3TGZZfIKIK7ZyuNw0Kyzx8sgCYb04hM6QCkoGRoTPGqFWT6KWjtPn2QLloTxMcpjRQc2NBm
L9JqY2GK8ceVVWZBA5whTymM18Sv+25tfuXxLsIyOJ87uLNyGSc327TveXuAodswzIbmYQNbiD/s
yy0jjMwSm003gfakiRtzEE1grkK9zc4axyMywtL3Dsa1LNP2JTZl2F1C4k/6inbdjXlLXFrA7Zmj
WsryAE4t7PAevt7oLk53uAaRVzMkVkLjX21H3nUlDrteDV/Gd1d22UHvcdDUpVVs4mTVOE/zHGh0
397qD5SJPvurRc2Im4HIE89bNr8uXVd1p43j1pyo0RAFv/2YB4KIzwTLZ5JTVMNLwBefRMcZs+LQ
ry6MCUb8eV+6zMU0cZBeFH11lEADO6hh+xy2dC90NzVgCviMJtWr3g5VN9ZH2+Vh0cNngilN46lj
zKRz4+ZTV0qcwADjPSx8+EywrYNyYzeLSadyb0/INj/uqGaBJvXgupcd3Qfo9aRaluLQtWt9AEpq
GO0fTvXv7vpebGISMtdp1EXmUO+6T4jewiY3wQ3ou9JzSluDaq7TahrLw8669iBhcn1YQuNzwBza
oOVsCnmq635/v8d6/amO+8dGyT8AJZ8FlpNlQQ7IyikzCO6jnKO2xuixHuFD0r1aF77hBtrVm1In
GkHrfI4+DW3/PghIPvurQRjl8P0Z4gRzvvI2mXdgJ07lan8OE+/hFLUDGfbYqBPTXQ8E3Hrl5QuO
2l6GYdUf96WtdJAKa3VSFiW1wlf/j7Nv65ITR7P9K7PqeegBhG6zpvoBiMiIvDvTTl9eWLYzi6tA
SAIhfv3ZUdPnTJdPV/csr+4Xl52RBCDp+/a3L0P8k+XMj+QvGHHNLqT4aJXh+LvwIcafIySSH5lf
yGdoq4bP8rhfrI96n2RF1gif/9xN/2GZdvHQuD1MWQkXrtNo9GPMfs5NkPxI+4opSEVEqaxkoD90
Y3Sbje27n7rq/4/yBRuhxpAxK1O2qOQq0wN0141Xy4ef+/wfppKjTuZuWCZ+zKZkg4V6ZrPri1Tv
X/kJXhbjP+h0f+RztVGvM+ErdlQ6sidXrau6tzyu6wN0qrw612r3zZ3bq/9Fc/17v/ePfukFiv87
qJeHtBrXbh7Q+21+3IpkaIdUH/oeq244NtXWD/k8KcTV5COZcbZvXTAjP0+DZo06orHuepUPe7+G
c1OFqPpKiAftboxBae1z0oXd+xxFjp5ve5YIfbfayifsvEUZn/vc7EMdtXlMZEvq3DiuUQhNDI8u
p3Ke6q/aNGpJ8qznrTqTvYfdcxnQ0PO6DPPqTdEH0m3PsJDza5vTHhE/sPkO7WbHPJFLxLJcBljD
96dE9wzW9wqYpVM5dAXDggu0fBo/6FShG+h4J35TWuE/m2XO1pKB7kvyBXeoL9bVp+3VHpYNqUt9
TOz4dQJoy5d8M0mc+JwKVjefxzbr5XdVLwj6gZBzn4zK4fbVhU8Xkt5J7yps+QjTKFt439qkLzmE
k9Vhx8gmPURptdmiEnjTZLEyH6gq03Wn8U0iViaPLV12BV3YPIUTUgLGgjO9srsuXlpRxi3xpGg4
m1GFCSVKoWCAm29zzeYR/M1uaurSSTTNvABCstUTrmweDc9Fyjh0I2t7VWUcZSP2EqaWazytqWlz
I1DZ5TKJBlUuaky/zE6x0od949+Xdg/kqM1E+/vdpIK9NHPK+T1xFSG3e9WIpS6HHRqV7Cj9ksAR
YWd8Ge6g0BB4XrptNS6ujndZL8cYrsaoxlQ87f0pMLL5b7NQ7VQX0wow+MyhQJLvk41vNhTDmCFJ
rBbRxQZyWIbRR1Cx7CBtwUGHL+tyCHiW03ROKYC09Mz6UTR5z3p5ZH0zFhPbvDKAJEJk10tludqb
eLH9wRvsUfdsqpfu/bal9SjwOkzpcuwItVsx1U2WwiW2CUOJvqYRn4Uj43Qjtx0gUEPjZTO51w5g
fi4F5SkqKOcIIYVEKHf3LumFYUcYrPTbzZj6BKh27OCttmPM7NYa2q04WObA5GQwWYuH5Vs6RNDM
mJVn+plTlYiyqSztvqH3EQMWjcqmtbQdnex9v8Q1ew961qyOXeCQCckpnuj1TqO0v00a3++v7ThM
CxQzJpqy+xmLtjmMugnpWaukmz82kRJxiu2trxnNucqkvo+d65NvWVdVIuRVLVV95f260uvYtNn0
qfMs0AKe9zHU6LVHcC+snSkbvlfO132d93MvvlHCZv0R6vK9KTBdwtkFnccU7sDqswI/PEXZ96kz
635WqQ7hfb/HSVLoBivpe5fhNT/VfbrfOxnXxzidRfcgzMLZIRatbp7mvtn2Rw+BRxphEg3fAFFe
nIjZ2Xo3jr/1mNw0Nx2bSbiapm6oruZUJuZmmZEFXXQZydLPgiG68zXxfXUPCXl0jTHS/h3SFpV3
ntZlDYOgqNzaXfhrZEis+wnmQeTTINtMlnqA0vEdD80w3id11SZnP7VLOERz020nGUzMrjjb+vhj
zKq+empmWetCBxfBE7GLpYWIRjEE+a27pebOxruLz0QzPXxAcEc1PSxU8uYYN/3ES7d1K/ZOT4Vp
juBPJ+Zuliv7PsATYCwq4G7+odlig62kmTZ/YHRypi5jTKvWm76DwfGxqhcNeU3E1/p9I6zMzkpr
zXJXRYZ9axrZ6aIebe+6XIxJFSN7KCPb2Q7KutL5NI5KZ8c0ycdh9/ozcRJXUNK4TmBnuOEq2qi2
Ju+2yI6H8WLJk8PQbu/vZw9h2oFq47+kcfAM8Wo1oiILREGwO5RL9VuFJcyLbmhSVTDl6fQxzMhn
hMGRUrA8y0m/7+3ZO6hk3wfk05kqb2bHN+z3u/bTlHcOx7TPgXiv9rtfVkJfEMFhcCD0cKuRTwM+
5fIgtVvMASGOmHQeRp8qmkP7OdKrQSayP6xrTYaQ14kT+43fbA3UYkOylDzFVUCNCCVb05wtUtai
fDdtGz0z2pu0bDK2RKWN10SWPOx792LinXSn1e1eXi1qiqpy9mkVbgnCux7jxHbtM1DkNPR5OwxO
HuEaX7tr2aODuQ/AlcQx61ucd66q6Ayed9Zst6qOu76YdpO4ItOGR9AtGFu1Huq53SZPLu4VxBhj
5txju8U8PU0YGXf3E5zu2jlfQ4YAHfiK57M3MjknRFr3QO0cjV/TdhPDLRuIxTs2NmpoXskgdrwJ
CpZt9jDVol2P+GZbd6Cqz+wH1q9NdW3rtiNniGjZcLeYFJlbB2xHAysRlUSqtx1WyfA0t01HT3Zq
6xrcZiiw8I4I+ChdN50L+qQ7RcAZTsEhjg9WI/UwX10Y02f8TvGyJo3bvgwwjYcmXabNlBUz7Bfr
IsL+VBVbpbfnLmWOnITU0LrQcQRZVa1GREXQi0OknJn8BgHJypMCAwXRPOJyKX3YfKjbUzSmGSZH
bdVHy3ul9mm8BnW32VEVjfv2HaeGHXt4pMZx8u4yqSFxQZqZ73d7LDNlsRPvoTqLDo8eRrMMgWO3
Hhvy/ID0C2vOsWukO22OSXo5ubcGngA1bqO1uZNY5TH86up9qYu59SG8I3IbZI4gM8GOPFPY3/Ke
+M48xC4R89fdWJ11+eDWjZ4DYmW3+wxvf/OpsxsiaPAlyVQ99IDD/JPocROv97QzWzmShboTzv9I
17i5qVoPfufc1yie3LTjYZp6Pa6+j9QHngSnHlfcs/V67sAffOjWtmmLrGsm+2nTPKWfVcqDUDkc
wuJR406RoX4d4ZkaP8K1PpNfJziv9F/mYe5T9FcwRCSF6tKOnxR3NqB+a2LBpnyOloCjcNhwfKDa
g2Usi+jKSwuThimANsqjb3CVD1kR41Dvzvsy9+/5gvf70Md+YEW77Zi/KD5mH2kKXkRBgqi6Ar1o
xpGIOPHlKh04ZWtOtljN97qZG0iOE9h3HrXshumOKO2jIWdQYH3tptltR5q02fqQjLGB/y7mrPJ9
JkbfHNcBSTmPc9qQT8Ii5aW0WQUoQLSRY/dh1BU/xqbz6QPmT2R8Gnpu95ukG+cJG2aGtQFaPIhq
4qqHiaq5q9Qg9VaILKsfA5gvUbGxVq1PdvczBNHQvaa+gI1h1RdcJq1+6C0wprxR9TAfSICudjhC
opYcREXGsTRxleJJtM2Q3GWLviS5MnspfgTYvk1dSLHStFTLHCdL3u9b+NiJAa5J+a6gWnyvIW4j
L7Vl060ZF1RcRVN3UZF0cIULBXb3NeeeEfcxXWB7cKqZ1zjv+RajTCcQ8GqXB5JF7tziEuJ3yzQ6
XqSUzWUfmmW86jcs9c80Nn49prwfEiSTGFieJVlLREkG8EhzS5L9KHEYeZcbWnX2fgF1So6FYooP
t72twoMIlwDU3ezkxgrRxweBBJsNxyhKjtLsGbZ9P6xRfe7ZSN37ZaiS9Wk0S1Jg0DCnX8JQ+bWo
fJOdUK4hNbOHimbC1C03W9ecGqdhrJFBV43DlhT77qTOJ4QhsdKZOD3VqAc+esXJTQ0rJZUz2c22
aJKU1fBs1Wk+TVnHroWvw2sG9U93l2LpqKu9s7u8m6PUPMYeFq9ogYi7rZlId9ROSWYe10iDSe42
XjDIyO8wFIFYG+GlBG7kkCHfBSPSD5OP6kOfdqzPldrczdoP8qH2cNAve7zGBd0WX6RN1Z6yLJO3
C6vDdZ1sw5dQr92zJIMp2pi9G6hRH2gnR5nXsbagnSxD38/5FrfS27xGtRuOAelx4cTWtH5hyaav
XReELPE6s0Lty74dR9PR6wD6YvbBR4I/14MHa6FM3cijU6X46oe8wpsrIJMPTfzauiq4D5QyFvK1
VZsAlTNZfSjbix/AeQjbDtsUYZKgkaw7zzZFH9OSqStrtibR9ZpkUGNDVurja9Mklby30WbdcYXO
P37Z2ZCyQoZsdTdLpmn9BZWrmg/UpVF60q1us9tuWweEvdbjOuQ+0Ua8kGXQ8cNMFqIPsGkIIywJ
LGvOU7TK4XPUIEu4K2hoaVvGtmtcvtAWpah0C28LM6BG8XlFIkKGPNCwtN83Qcl8u27Tun9DKJVH
OdQ4QfF2D1hbVOcdBEPdAS46VXplxNB277YEvf9hGjOijo5j3ynR0dT8PF/od4eZq5Q8QFTT0Rvw
Z0lSJnKj8pxANrX91kIfoB4W64SOiyDrtbm2syUxy2EoIjBj3Lt0CO/QGvMUXTAom/uNtYPFvtCM
3Cd3WmFJPvdoVv3nnvbynE2YMxGrPP+cWNJHXxSmlGiTt4kiBBEgdFPg7UCxlFfLit3dmmUrV1Ub
8ZFB0+9ehMfe/snaWaZdSfkc4byqRhqtz8zv3VbnUZpykjtXGVXIigzpvd3FFn7LIPcfXk0LNdtB
dEgSfApDs0kYDtDJPCLjmfbbYVzh7nol2yidHhlWGXbEmJhZYHtqNg6wsBkhaz51JG78ifRNH6sy
2w1KgHxgjNWwgZ/Qf6Di6+YirPpSiyDGxfl3nTOm9leyr3vzMthoWo9TFzl5tlYuFE9sl96Uczps
65deUmiRWNNL+8X5fl6Puo5VVMh+SW7aua5YMWOa7G5D12U1HglvIQa0QNkLo9cZRenMYCfzsuxw
yYVAeq5upzqdr3y1iaeZpMGhOqD7rh/CMAy5QVxnDlFYvRDki4luOgYvaChqJJwu551YNGiNXHhu
nZ8inbvFefuOJ543v62INhGHvY/jpmT+cq7mtUXGxKlCmX3bwpoLbx1JFLmuOkSm3ug6TB+lwE0o
iXNZMuRxC97Aix32LkKVGuLoatvxXl+hDkj4tcMR0H31nrRXaAES+XmCxTlvCirruH3SK20aWEIn
irVLjpeMkkJgVw3o5iII53beJO296Hy8FwYL/kOfUHUYqpaNWGrVcj3FQDDugFcQ+ijGjfXXfjXy
G5CYTyg9XMoQqcJAAZ+QEZM+jWldfYGfRdeWtcKm2Hamv3MuRmW2w2DEnwcumkLvAYEj4P/Hp5Yb
MtzNjtjhzlSLvVm0nrqvCIh2b9HcW1tuS4THmG38pV+yy3CnFzjbt8y/MNQSrqz3GbU6eE1uywfP
1RFiZcnyTvsatQFGlSvC7sQGvBY7oQW+47p7DzkCEhjFBemB8Nu89CjG8pSCgX4GlC7tLZnFHD0S
DhIfSEF8rNfzyuraDXgoS4gtFN1V1x62mIiOHzrB2nf1jGz4QwKZw/zbtqb9WkQNkKsv8GpAQK2h
wmaHsUlDilezTZ9Ni37kKoydzdMOG6jO18Ugxa5Ol+a7oMqmL8QvzVoEZRN0Ozwb1i3vVjFEn9s2
qb6JS2lyEhtU5h8C02+uH1yGclfOCYpZlfXLSSITRBSSGfU2USzZXCCyo0AsSJwdBpmJ38G/nuy4
CUEc4G9ZZWhlEKp+3FLu+SddRxL641ZWQAYjqeCMZDUsCkoUJcpfUzZN34dhIwn2uazpxhc4tcmu
SE3jyalzWXhF61zvN2ZIqzfVDLukyP8Oa3qrGp/NH6IqZvQtQWQGfUVr2QAZ6Wp6KyfTY++Im1Ck
dTL7RyMrriE1wmwpq1kdP7YRY0CzUXrEN9TDUPQoV8PScnN7TA4rW+2aD2rZnuGJnGQftZHruyjK
7EdR8eQDCBRuv5oqqEVO0YTGeBvUth5YJmDou3er/oh73t+MSQ9aG+sQwA2Pk2w6T42Uc0H1qHyu
o6r/BKXuls8UKh+tM89uzKajR878dsfk3ojjVMF64TDQsF3NiJW4SvQQnzPEJGPPG4l9aWRNw4Ou
J6iH1xV+Pzmdl8o9+wUWr19gIILmzAafNZ8ADROeszXgPqS+67AtSJKQCRUHh/5YxO5DszEUiQRQ
Ql2jyuhoBHtYvkelAQ2eHqiogZt4xKsjp4Sbvb1KdaxfYL/e9U+pmCAC35DA8NTiQnLSroleCmzb
wfncABsjD7pveFYQjcv5ME2Vn47dXHVNkWZc+28Xrut5GgelbjbO9wG/o4/sU59kfnggNfco2EJL
jkLoaDqBQsn9O0DR4wHbxDgeDaWdLdNmHRLQ5RAMe5h8jE0E/hjXeBaAIypNJ41224O0vIbgnmzU
dGsx0iUZrqNoVfsV7Mf214giNikfEA15U+/ThuVTCdyO3seHXmZLMc/OX5MpQcHZtONN0A19Ant5
hkIA/o7AOWDUQDJefYp20MmPAgqZ8AE407biILJx8uqEqVOODJx+Bzxgh0WP5xETivZLs89WFXhS
ELyLvkFljh1zWFXRzJWGfznMi+QdLNIEL6RnejlvUzaLK45YbkSjVisTbR5R2B4evSSXRRh1a10j
XXFGx4TNpy+73Up/dhBlyDydNjdgGWPe9bbg7KzO2ri4Llc4asdgYqo0S16mDBVauXppmoJnK4PW
x7HQv7QMNjVlDL/59tMAQCPL1bg0zYd427F71FHEkmvGE0ULJdMhLSegYWsxjSugrRwiqK0uO6jQ
4odMz0a8QyBIu+YBLtD6sISKTnlI9wwVjNSJ+x4ZpCrkFFIP+Q5ZNiu/aoL2/DvDl/IfLQpUdktt
MvAiG3ifPg61j2GarNEUNK1V6ilAwN8f087GKuQUYvsVAGYz7jUadQfIAS/1hqIQsenVjKxraau7
Zorb/Zxk8TbeSQ2cNmeaePil68a8xZS0zX26VyPIPVXcj6dFrFH6CIEdZ1hThuwe858x6CPyG705
gi6mVYGpCl2+jV7ZCAGJuxPnaACc8ike1OUJMTQ+ZWKk7qBaRAOm7hfgh30BfYWzSw4vliS9iVlK
0VxSF42nFjyL9ZtPg7RlxVjlrjz2a18aqnV/GAgRc5kikcb1+WxUaI7oBgd5U2WwXwP5crjEgyEt
bSq7ppXbdeViLgroRGpJSzgxxFhQbaUwz8YodKqv2bqRHTWL09kJIMGEaf2M2i4HDpv0OZSFe1fO
eA2GY7YtyfzGW9oPEXqHJHMEebcwMflN92qAnqvHhMzhMFWoE7MiGoy8YqlOw3buE0HECzyjlbv1
aO03jS/eZl2GGmQj0wPl7bB9jPBtZJQ3iSPTcry4WaMhXcW+ZvfLpYO+qaKp31B8gS8Lg6lQ1fVD
UIlFs2IWwrDAsx6YFS8wa6HoVmOr5Pi9DeiuQZALXMVvxq3RjGKAUzRMk4PcdkVazWSurZwW8UCx
edQoFUW3v/YNphFfus5P/TGrszHyuLuajMhiZqZ9l6Hcx1pOJc/oUaM0mt8anVEvcpdIuDV7ni3i
fQJ8rkX8C/B/902abOlfdLRM0eNUY+Dzbr00qnAsCGJIC77O8DWGbE6b4dwozL3wkmSaHA1H48MO
yFFc5hsoAGvqix0zpAmdbmt4y8uYMiduvMYk6RbVtWC3KIsy+zwOXW+ueU38dI4WZKV/IXFcxQW7
1GzHZVLRkg889dHtFMOd6l202KXFHgcb+kKiMh4PYVHC3LfWQeiiaMzX9/sAXmAhYoshT0uGERYz
po7cd8Gsrt4Tb7H5j8g36Nb9OtoR342SFb6Gw9nrmgTUU4i4LhK+ueUUplGSkwHK7q+Gnu3xC1BF
Sq/bHpPAQscKBIADhKexESXezR3Y1gVRi46zSdOlIEx1UY41d8e0DRlmjRT2GMc4AbV6PrZRgnkP
GzHiCfmAiDWRh3nTtDQNp9nJbYvcTzrboniEpVvqFwlMr0ZW2rTIpLulibH2hVq4qr/xOlvULQrb
lh8H2izy2XuMZsqhFl0NdSIIaY/tOA7spqqHsX/2AjfmJqSit9fxgkiduxXXmiLRPOz0sVu4qq+3
zsj+Axq9tlqLeEG1PJfdJBRg6wwebW1cLFjMOirg/cGCLjEH5EIee9ABLxbG/DMcDGObFFLCAFMd
FEZBdjmjADO4sY532jzinB4BPIOMg1EaajcZngluO8RVkjb9/gHTk2o7rljJR7nv/BZNNItu0qiS
KOxYDPe69DLGE+lV3DGmr/qOz/R2HyZIdJM0TO6zbxcJ04p+gXXI0dV6C02eeEY5ZpwpSFfxbMVa
MAAb9otaYVn/OMF2wabHi9VrAkxjowh3F2aXa1dI5X1fBmUuiXLOsntqqmw8ZxCX+9M86oWU9Rr0
eJta+NQAIo0xb52C4cuxBYif5JFNkuiIGaVry0HUEm2nnq1GhURUS75uHCnyN9Ved9sTLBkyB+y9
qcz+SkZK6m+6n+LhHBNIHc8xUN/5DvJy494PsKRGbTPSbLtNssiG38JMO30bQh1ZAHxbKopdohzJ
gS8vmK201oLsN7vsbomV9YULCA49G1xCVy57mvYFuPEMM/Msu3BUV3GUoAffDyuSgT/Evq/tnXF7
Ml5zxN7tl6fNK2gdpAtIhrc8674B5otI2VERaQuzVvQzhR3xtqsDKuseByQ20kub7432DzIyKylC
FCUGi0XMBnIJTS93UGrAVagkDJUPlq9DBF16y9vX5XI+vvIFOnvYG9D6PE8yJHmM/W54JsakDmuv
pmp2uRYWQn9ATAiK4k3cxiVJaQR6Dann6j5tuPNHbKPwQlyHsV3fXLfp7XbauaIfzbawDM3L3C3X
IfB9+yi40uvDxcORnKxaqlzB7GbOUY3WF7BcbyvOXAwwH0UIkl/bBkqDewxKFDwYUBvvgLbmHqgV
RXBlRt1XCFdnkUNYlPrDxnQP1M7MzRNoEgkqohWhzE8dmI04F5GxAe9GuYpKvnAdS9C1xxjzrPVq
rMw8ubyF3i/LJwEeASkw+zbLG4CkGuAtAJvYfQVasbdRzhzK1y6n2GUdMMRhgtojh0k9+s7jBnko
woHGLWPNZyisw2LyxSPEZr5Sq6NtV/gZ/uGoQ2O20aQ0pAGVo/x3axzseSMqrjCpIq6IwQiyeSTc
XBUwSiYfCH46ull9U+uzbC7Yb432e9OXPTOrHqbUmgPQgn0BUzmqovO/V8sWb8FmwwlG3dtWxqyb
lnwPDX3AwGpcSlZB/P1zDKYfnYVYyEY1jXY4xPJTl71n688x1H80FKIDWTGuweeS9kkAtGjpT0po
frQTmuDWKKuW8yOOyRggklzjO4vd2v4LDe+fGFZhZPBHpg+gsNSBkYbJRIT1NzdT626UjyZ4IFqj
ATila4dYAC7n9HGzgG7RYHVRXEzRhuf0zylUF1bRP2Ib/UAsqzGi2drI8OOENNOhbKEMuQN5cC5Q
r2H8iFmcOP/z3/RnZKofuKBmtnjVwCk+whBg5s8uTNVS6hp1bulxMsGdFI4kA6rSLYz/4g7/Ccny
R3eiDvwwnCYpPTKBTA4H25nDDKz5X3yhP/v0H9hnGol+ljeSgjmivvUmefFCV/+CLv5nn/0DPRRl
+qx0XdFjQOxH3phwbpeB/OSH/8Awc0nixmlh9AgM+oBBaptXCZDHf/6Y/+zKf6CHVtvaOipbdqzj
yOJMX6s8aXD6/9ynX37r35Hj0l4TsINwX9JdwZvXSaRM7tPzP//wP3lDY/LHD2cmUV5vHV6Xhsv0
1QJT8kXMQopcIZEqnesFbOwTlEJU/1Q8H/nRz6YRteewEaJHxKHSj9ls7H2XAF7951/o9831H6zu
H91seBcIYKE6OyohGyDQcgwewxX87y0kjr1kqLzxX8YsGdlVq7v33d6+T/Cm0VNl26VBr1I3B6Qz
vm4rQXRz7jhKsv++uv/4vv1n/TY9/vd12L/+F/78fdJo9uvG/fDHv76fFP7/X5ef+X//5o8/8der
t+n+q3qzP/6jP/wMPvdvv7f86r7+4Q8H1OUuvFveTHh6s8vgfv98XOHlX/5v//Lf3n7/lPdBv/36
y9dX1Y4lmh7Tfne//O2vzq+//pIANxRpdtlv/uPvf8vf/snla/z6y3Xz1fTN1/H1T37y7at1v/4i
+F8kFXBL5FKKGKEl2GX82+9/Q/4CQj1GhYRQ+bsjwIj00+bXX1L6l1RwgR/IiECqz4VZaqfl979K
/gLyFFyAKacC3SASOf7v9f3hOf3Pc/u3cVGPUzs6++sv/He/wf95rzh4AkSQFAozfBwiD34UhMQq
7uoqCvuVSjDHKYYlni4cz4Q0B7vQRRYxrdhHW4d4KK1hrTtohMKuRR1gSldam6JrqPS8PgPTkdCM
UkePbojUHZBrd0x8454mlEb5mEy+6KjaZa7D0J4uCAriN5kqwbTzJy8X5u8CFX67ZVNsMCeZxvaB
IolN5mCENWgEkDLc3BjObXoAVWJ4ykZHA+brIYSC8p2kB/jfjvJq4g3Uq1PXegw5agryieg6cYrl
SNdTv1bd07rQ+TRjYtGXyTZ+ouO0yWKpkuUVXy4pemHBumewPHjPwWTByDeqhir3KqmuPIV3ThF5
5qfcj4ocacbW+mgIPB2P7e6zCcHiVXvfugQgV9/MmSprrvf4Ou0r0ueV34D3dKKv+KnjCYlP2Q57
rUNlsha4IfNsK9pmjL5MSyUlNIyhvQXO3H2d1dLe2jTO4txMgCNv0AciHUwMcEcqFOGGlb0xlucT
0qw+1X5aPsPjEN6PbHHTW7pH5Lcm45coWKf1bbW34W7zq61z7PV2zhcrA8A3vYHTG6X+Mdqj9V1H
jILNTxN1/4e9M9mtHEmz9Kv0C9BhZiSN5JbkHaSreZY2hHwQ53nm09d3PaMSGVGV6Eqga1GN2mQG
EOEu6Yq04ZzvnD/IsyQudms7G299a63UWLS6rw9W2+s7Q9kRurXFldnfetIKAWpi8VSbxbTCYQo6
Zq1Ng8/0hSu/NKfyAg1SFu+bM5jRnrO9Z+PCbNkhTSko57KH3OlnTr5h7uCvnMAzmr1sqilUXd/e
NVRj3SVUpRzNoW4fkswVN+2S2gbub1bOYWHb7i63y+ZTcGG5EVNmjsHaYs3UjZNf0l+vcAPyJvAW
OokQKKeGM3O10t7Y1vvalus+ifPl1VkjYNG48o69nfcvS1Onr5aXcVUzuXGjnLjuW8n14FHWjPSr
Yt371rBMQS69+TaTLiJfbgP20PJyzY3L22ONewcHojCM5ExxIb5yOFo40nHPtzQD++4IIWzXxghH
XNO7fslGXx9VmQCwURd4sEVSvnTSaoLaNZ+1aZU+iuPCttD47XSaFK8BsEa6+h1X8Advss2LNOEn
BZlyw5TkzqmNOhFGQ7o+NzFskR7H5dIcuEQmzjYFLYM9Vl+vnRdIUkuTn6sovpO23O5NNZ3Fm2y5
5Vk3YRczzIqktqsvd7aG+zFqVJiNtnzc4nl7McpOH7EDV28/Z8yVBhBqqhdG+qpXq86al7wexq8x
6bIXR9oXOKfj0cr5uzMBbxfASOq7VZXte6vK/r4qLfk5ewjPMK2O96jSUQRVwuiaICtBBrgAU/oO
Rm9mu9lct5C+c/WJHT6sODm99axUG98y9TIPu3kqvy+UrkK6mvojS4x+l5RkNcMJUvSBJqnouDag
pmlZFz+dPgLnq1tByd5gYOZkTrXhzYis+VIptu35QXgyN2f7Spx5bkJ3FsXz1grnfi2XO6dOjclf
kgEm2rHlzM9ptFNYKFe+myaH5cNoLZUdekUR3Zimw/WZNeIhwpzHT8uXGktoWV8p2i0GJvWJ+kiP
OyhfZkbmV97VW8Zv3mwTlE+ln0b6eFUwgo+fKxriByo3q0/dWbz901hxsXab4k6kGLlB41XcoBk7
cWWreADe2dJtvzSDR+c/8IuVRjR+uwISSPMMdN3a7mNLicHHQuwuN2G3TdgVnZYhrXLbsVhdu91V
kEh3rjSZiFjnvCSNti0Y1EH1D7Eq2kNaL0kNmjL2j1RspDutzfZCZJ4+mbqIHuLCst4paMgvK7FF
H8bcP4qmXK6yeJxNvxFUiXmdzstjPePjTf2mStiQeLzIl06tGM7Q1lKu5pXO3eEaNA7MHq84uc3t
xbvxlA2AnW0GolldWNv9rPt4Pqp0GB4jkRZPCbPbP1RmzDsgVYdsAJgVKvt8CYmsrwo1laiZI6XN
xkg0Ps8XBl9X63qc6sW+zLOO7B1YbEVuQ8ypsRv6QRt7RqqndjBrr73mVVDPOulrnOQsPqlh0per
F5WfCyjHp0Hg9tB6gu95Ns3upxwG0l91qp4mfO3ddsbyXcIOV3HXNT/iKJ4/MSLQlGLTHlz6E/OW
ez/RjSP6I1pqOhRO68vqK+pxW/3zaeOI027uwa6MNVTIoRdDRB9cNufmvm7Pn+iKawKFZtd7gkok
T5IpvzdohtNBJ4g97BnCwX7rNl574yUsLwi2gPN+Mk/zp2EWEc5RqaCwh3X8ovS7HG9lPiY5z52V
T+yeTnUdYRXsqzFd7zE8Mnb2ru/uq9opvYCxTr3PCARMyBzt+qqaiIvw/Ov8pu+xfxzCvZeJ3cNr
WGamfiKQRognapxFQC4iPXn2Ont7pSbxrBn58cKenQMRQSQXvkNZ4AeQjH0qChe+Rdves5d0Gvm6
o0LBrTNyH7kajVORRpu4SKe+ejKr1uz9duiz09Yawjol1Wq+1g2iTrjY3UXao6X6dl/Vl1M/t6eh
dtTDIlx1aXlJvo96AeDnxoW/1dt8t1U9H4jHousbzjC8npM4X1yrmOkzd/pQDG11AahTYAJCQHhR
a10BTyhUQ4ip1wHTffQZgclxyI5xiC4Y3q2v0yRJb4qozV9rT+prDmytdYjaamwpNfWKKw+c5d3b
0gXSS78Jq2gOq86XUBkWj3NsbaHXNdaTkZn5BfGUAtLPbPqzYtE7z5kexmrXwOIfEqyi9yoW84ti
6YSyUl1z8sBRdkhYQgA8quWoliK51Gk9XqxQwDs1tJr5Wei4o5kwgSbLwEgIFH2sam0zP6UgLChM
J393CT8NWGqme+wi4d6YKzhW2Eox/Yrs3tuN5GU7DkY70ZwdGLP/rNLGPc4zj/9IL8kJmvzJWpki
OXvTo3Qw+Ds8+MNk0cLhO5PLipVNtjjAzYOw10VcPKY8Jq8t4hlgMqGDdMZh3kkasx8UEvZyOULP
ZEE9NkO8q0xlvYFyr98bxwWaW1nVUYcLj1U9K6N+PNLUF525LQ46Ii6cPuDXTGdLNNo9y3ZTvKet
nvkQvQkXVbF9HqJMyWBLxvwuW2l58TE3o7BG273TdfpUiNi5i1MresLod4yAvKZ5MVrzGDKFZYlY
DGvjV2OX4mnIM1AMCpGwHOKOG3tikS2ezKeZQTV85HuGj/pN2dvXfSnEVSlma0dCx4S6x0pzINEv
Solv4mD53vXu0IRYwzdOmcobAPQIY1LM91Fbp1f5Vsg9Y3WMJBgke6w/R5ToBk47O+EU1Wo/ll52
I8kEXKF8zPnOYPZYeWQQ33DdbRwW4Qxs/WJPdkEQZqgTM1RrZehTywHxhSHDGk51seKXlrWOHWy1
H5hTgPhtjpwS97KtionBKC6+oo1X95zhNdyAdCd3sTMYmrdiXU0WsWW7RLJo33ot9bNb6BXq3omw
KatJA7DU9j2LHTMVylYk77zAYm+uc8UR2jBLdtOiekTAjq+b3O5YUYeatM/WuJeKH/zL01M5hMkc
O3C3nDcvMIuxUIoNmyywnKEXx6Yc1J7RRH1yLAtMRlbNVRrh2NsRMZ5CocttouS3NMSxGVhj76Q7
xzWZfgxda3yeKZbHKo7QpgfO7CEB3fJ2c4rxvXbO5hGzNavrEcKgtaDqgh6CjkGYFBrfukQE3vt8
4YaWWFlW3oIlC4J2bVvYoZ1YyNceDMQSymmZo0BUSW8eadXDbat5lI/RpLzXiBhZ5JOj8ko/J8cI
Vj62fX1pYBUyn6g6c0yUB732PXjXYdDCPaE+QP9nKk6fawN+/76su3XcW1ltffUMI6oPTVt26z4S
g4NF4bjxgN3Gw3E7mBZXjqIA6fXdRG5segWDjZS7PvDOEP5jMPQCa75x1mD1Pw3JdOwIy51AW61X
liX7QTNhAuwt8k7VtA6Py5r3Oaep7XWG8DR8ukhhgbc6G4IuwQDzWZI2/d8jflynPwjN1V/DX9WP
Pwkm/6MkEnWO0/5zeeT02VUIM/nnn+WR33/qb9KI436zbaVd4WlPMUr9PIz6b9KIY30j3mFDakgh
bFR/ZMI/xBHpfrNs+qkEAo10HMfkX/0hjkj5jeyfRGdR0uIfaLf7F8SRc13In6QRGx4Eht7U7J1g
Ded//w9Kpe5to0GfHHYcliAq1luAvC/pVvsJVMeIhvupzr9aa/i/FTm4v9sa//SVSZNRRCBdQU6G
n0X9+SvHiW1y8C7GnY68jiFWjvChACwikPYk4wslmGKGkWVpBJfU2B6WvlmKi2JKtptU9s2XZXvr
QoiXXK1fUS/0VrtrfcqUpciEpJiRYRyzv8FVrO6dVbS8JKOYkr1pRypIOiZcbXpyLo14QATmbrkR
/mUJLdaYWhXd3TJyVofaNH9k3I7DMae/AVwtGIwETritHtaSkSZDLHbaUIL3dhG+tXTZg7lIoiIL
SiRhQENCAsn8xukxL3w2+fkG2vIp9ly+XrQu/WHBa79f7XqXN9kVd7v+Om/4KBZvk1sQLYLUb5rD
TZCCS/OgrNvph6kN63lwehK//Sjj29Txuiu7AnSS6Rr5Cky2pARiJTwBJ060Iotf0ll6D5rwzi7a
kibE6zvIWY33cMNWGMGWvMFdmXGQd5ZBRCsHyzMnw72dsUO/okUxsKuqkVmDOBu8n0MzI1ARwjP8
uPPE8yK2nn8kGKnDqDGThx4cuUCwXXP8Vo5T8H35OkO3uclJmWI+zbaBNc4JJjANW98saWndQjul
yU7lq33XGjkhBqsXV2m/jMHYLNXdEs/xeO5pHlBgWmcA7ipJHzRNVB1qa1yupswdGJQS0eXeZd4+
Y0jdqVqm5rmtXAdqrumNOHSYGfiiOCURMjBcmNQce/oAO+XVdzFAWcYIxLwEb1rHIQqnqi0Dq2+8
wZ/Ivh61ECm6RCK2F5h2Co+QdOJhwIaSsLsNo6Fv+e/m1ldzJX/ZhmOLXcyNaTfZg3eX6BkGQhAt
sYPxPCvIlqRdwBEsDWZXZ9MhngTh914o82BRNduENS3sL/Y6Odtuy6iVD/VURX60DK57zu0x6ax2
mvUiKnvnHLqwm+txTIaPtlI8SHkr3mJRJ7+iwWl+8MmkD31eebc0+hFHa9dirXapNSZvmJ5ci9Ix
jSHUKpMriZDTnVYjX2VTiTxSH+sNwVo41gdTrPpLvWVoeBFqQ+SnU5ZUYWLKdYcrpvZZX6yPqt7M
hwp5qA1nqYYtzDiLlP753PmjLR3N/T6em/spkt5H79bJK3eYwt1ZbldfoxTkIJRerF8m+vl9Zxzl
gkmfLp9lPfTPUNEcr1TV6c82zdrKbxw2bik7bQe6yDoRtLKVv4w+lY+EccqXyc6ie72YzhtkmJr8
hIucAYNqiqeYwABcm5xyqL/KLh8ZCmrt+hWl1o/buOH6TVIGAc0c0UHTxB0yPvfCkKFeKLaNE9IM
u0Qo9yAT4GcST5skHOeKI4zANB2SPOke0GNabh2xKE4bl2rpcxBmFWFMSzz7ZTEbtytlNiXtLW7+
kq0GdpEQdXYmn5z6hxAwRaHmpHDkiobmII3MIeuCEHYxYs5OqJ8ldFWTudmdQeryTg2ODfmKvJ4H
WyXn+xQl7YVfqe3XjcaR0m6jdxGTRR6JAyShBfm7s027vC9kmu22hksfysbSvhGUqEmvsgy9z8j+
Hyzm/EZd8nToMeRM7MByS8ML2ok6BwCZBgqDAxKJQ17ygfPdwndqNMPlGGsEcr5Dj/viVLEsTIRS
6zA3tulmHvT8UhB840hsFdDk0eSp5iiUp97ToZ/sIB5tu9kJadDSASudXVO4Mt5BGTTP7rrYECXR
5Li7aK6st7ncmp9tvHVFWCYodpRIeAy/5HYZb0FTJJvtx263xhcyMpTjO6aZ33ACFcldzYCbZHe2
Ey5rUPnk0Bfkky9XQLOY0ITk7erqMiWY2mbG5xx1SxSscUTRV0UR+76vejpVZqCXvWVS+RHC6KNx
Eq0zLCQiIuphCxII8VkbJRncWXhhG9UAIKTge/4TaduJv3TueEVEk9HVBIgvvWwi7q3c6Jonqftg
JpW8NvLOeRmzrryk2Do/bRkkFPucLo46WdlB82pcX+kXYdEj/jrfWAOBg12Zs1KD/JJ9I7HWtr5p
W87PutL6cTljOCmyWEkBgcgbXjmn+1rHKbnvtNkkQVplVPcJb75xy1nu+UEnoJq6fK24kV3GjI9J
g8xh24lp4c59XW2nUlGjajjkIRxevZ3Jd/65EVwY5yTyR0ecbQ2p1Xfs4+KGCWT9vAM+g+jM6dlM
A4YHOOIY4cngMIxu9CnilTvkqKk8var1WkAm6yl5FYQy+UWfU1CBuywugTfJz7ZEyfpGY4x+Yvlt
gMuUPsRgJO81+/OVVvGCakfc/x3CHktH9pujCbJpdP0pc9Bc1Ygr7/crbQKBBq36mEd7uMNcmG6i
JVJ3wuntX9yqjMCN0u3Z5kX64Wkj4tIjdIqsVRwUEHiD7jJEdGEUQ/dzSyey+3bbOzYkHJT3+Zem
7lOrHR/rWo4Xo1B5cdVOk/NugzJ/bXlEg6dM2glSrchJwY1ZQmbcH+iXsC62xZpaeiXwQlbZ6E92
l/ReS5ksLFuUMiy+Gol4hvXQGINALcmdWzLodRtY02YtJFmIMAWG2VnYXqMdLmbR8xKQJ196AzcG
sOSmnurXqeySsOq4VyWZJD5X9oC8HAzaLRgHw5lOa2LpR72Z5xLV1SZTW0ZoYE1CVDhEYj7IMlq7
3QgHRhZcuT9aNZinKtGu7S+OjDu8FK8/tiDbV6MlgQWj9jlfTOu7myuvODqCx2znqZ4gi1QcEnyL
+/KXy4RZNKDRobLDSm33AfYwxmqZTK5cLqN1+zBZxoy30xwRlMkXdTw0E60wdD9kObHWcTHq0zhZ
5DEpF5Z+KauKg1BhsekLtr2uEOSsXMSq3GeDl19dHkU163QRv6XMj90QSq3lllaKXoWC5pZdkq4x
mkOC63WVL+V6iThqfI/SDqAzRSrO/bxzRdAQmf44txtyNxxT4yM2dK0Dk1ESn+SYWQU8VSLjMJ1S
PjJw27KO8USoiI1qm59nggBsxoRt+wu0dKbK8ghw3c2zbI2vCZebD4J2BXdf4OBxdaTapAtGlL6L
QSvnZxlBCixWFLheXoRd23iBOUi9tycreZ0BBH3b2DixdZSr+3nZI2cL4tY0zGCJMkEbQX6Qxo9V
xs27sAMMyioA1TqHtOHY48Et91ZqrD6lAlzNt4Yv1sTqlkBwzPJgJ2FpToKQwMpIjKU6Qnovmb9m
rnWfNYaBclO5eyCwYud4kcWWO0V34Pjw+M7obnumy/+glUW+8iSaX+CL2a4DWuYNqx3vzhm77ipL
FmjfNSuch02uab0Tg5c8GsyevUZJ5fPjpXghfcVyBaDOIDa3z9bXyHL7J+i1RITpZi9rSPK1l8DQ
zfhFimX8YSVTpRF6+6RErIpEH5Tcbr5Mt5+6YDOS5MlqVsLQNX7x9dxDD6eKfEcQK55CP8epTUI5
rvNXajhL2Gxt+ThvLCp+U9FGG8KTOyAuNBZzqByGRR1HijNwo/JlvbR4EDn0FnQDzSs7rcgTbAbb
Ws2EbaxqixsAorEMc0RAcWFjW+xiqdPHJm+Nh3qlo2hzSEptpbO5zFfunN2scPdqLzORmlr0ZeIm
2rjMi4hc67KClPAQa++pRjk0SeSsnATZKIs2jLupoOBLwu5TQqATdHi8vz40rJWP1rHqZ8mwx31D
XkXvxrwRJ8LVyYRZcBaQYsTtVwRbr78E505+5U7cJT4tVZyKKubrlNgZcPkEmlX9IkazeJp74f5U
ZVwfEcKW5mKEXX6ruBkTQmSy+Gdm1bHYc421b+c1h/w0jYr6AxULeSLMyvHQgx7p+JRd1yRGElks
DpbEULTqur3v3JkIzlDyGPpdunHAHkkfBb3ViTvlYH+dChcOf0/HgHhyKlRFov6/MMgWxydSmVCj
I51I+1NpZPHR1jGhk44sTI33MZPbJTl5mRJuusT14YEjApRfDJnd3fVmzIB7klSIQBbxKn9aGsxh
eI2L2Y3tJjDq7Kd2egwq00mJE3idfa+zCtdmo/Chram7odZmSfLnZAMxGLh87cjtHCpQSXwoYwgV
7dX+rPRtzwtwmxqRu1v10AROgcFeOxw/upoiIn91hpzMy8bFYkuzMBkLyqmmWexhUNND1crqHvez
vCvXrg4HyakRGXHtIr7MahVXdSXTnUFM1Udh5XCxZPqWUWf9nl7b48jGRk3OvIv7fL6rdCdeBLke
pERcsbDs+tcqmsZgSJV+mOBKdlg+696ullsnMZYZF2fURyJA3kXkMKiU84mKJ1YoT4T4B+lJyhy5
u0vdbSc6OnQSt/Yut6mbraCOvCjYWLx/ub1zYDJ6/9WsSX4XT5TKDFN1zplO7qWTKPNNtTr+6bKB
Bg4f0NgVULSDNYqWpqkosXf8jblxt2nTcYIFtpcTb9I3TyVxpaOiTgn4GOr46cwRnIqoGv0JCvbo
6GR6boBsP6JRbDAWYjW+ptGp+g8z5xrEASCFRa8iV2yHLstnl5VULeGQEiyFpWuKn4YcuqtVJpws
p8RjA8sWKTgNNGs+74lTUpJE0wKzeSw321PvMe5He0aCT0Rjwnukso64ZnJSCPPzntm4TWrTnemy
ULkzjWshZ6T+kmF6LDsD39o7zanbRGQ1jUS4LAYPxSTUZh/tkmsCcWaTsjdV91ZOs8Bojr5ZSf0x
kAP/1dipisgDeDkDpnrXu/Amb/GOFEz0cWCixbIHm4X+5dKPE6YoOad+7uebNVs2JyBbzMF0pIbz
B71UQ+1bhFHvkQXq4zCa5oM1CNyL2BUsiQxXm0P043gFDu9p8UpLBroBVkRczrOimhSemhJXY9c0
R3pOOD0NLnTiHiR1+DGsmzscfot+/6/hsP//9FEhSdpbIIj/XCINzvRYGn92yZ800r//yT9kUv0N
QEt51n8gyBz9zQFcFAJ98s8ImSm+UVsi4MQsl2OOe266/0Ml5V9p15EeY/ZcFj4BE/YvqKS/h/L+
o1iJZO954GMoshqYTf2FPx6Js7A3ZetBz137XLa189ZycL12VUShQ+Z1y/tgiO9RLrtfMBcVtwWa
5rifJBxN+7neOVPd7RyWrbdOTnipYLMhcavip13E4+v/Poz/JZ7xb48UxPY/fxjDX0WS/ifPIX/o
j+fQgVf0bGlrl6zS+f//LtfzhEqLkYU8Vv8u5P87y+jy8KIcehpqkGuyAif+40FUKPnIdTw92pSS
v1H9Kw/i74Ggf3oQXeXwklgS7smm2OEveHpa2dzrPGoe0o5kPiVc7fA0TvH8lkzDdEvx4RPHF+Oh
MgciPhT4NCcKu2hoom8zD+0548Kbd9MnKZH0Ak1v3JEDs9kkEcGISA77lAK8+0WL5YG/Ho0nmxtM
2rL4RabqOw81/Y2bZ+zaDHtA11Z913hz9NQq+l5AJfpXs7bKz9rVmAeE5LkD5Pkdh+KHvC6mEwOv
qY4zEXvMTIudyNhcYkonQo8CKW7A3htxYSuQM6pJlbcL0roxH0TFoWJRKoXEbNgi1vZRlKCbFI/W
7GSD99As6H/jOLSPVmkZuz4mWxSjUMN1D/aRVq72QH/D/EpYgAoxFRVftAFUVxN00ndXI/aSkB6+
jxUXgGxU5YG6QiR8nAdQoYnDF+LlYkj6NiL5ASPIi20x6VS0rnc1y2Um4r+RTgz6lpIxs8xSXASW
rNSnClS819LxfBE1MwYgMzNqv5vsa3uYiPOuTu6+uEbRn5JWluQm3K2Z0EhRkP/Xv/svIc6m0uch
R/98PXj6LNPi/9x8/hz/cVH444/9wTaLbyYFm2APnu2yyZxL8f8w8PQ3JdmzgLgE9t0/0s3S/GZ5
gu1CmJ52FC18f18R3G9sJNDN2rIcxzZZGP6lFeEvBp7jQTZ7/I/NV1PirztT15ruqPGrdmnc3MmI
C2JutB+lhZfTbYNvDPml1S/bkYLS5G8PFV7tfw5Ws4D95Yszs8MBI1J8JuSC+EH/7OHxUohsdpqC
eIaxHaNBnxv1eD+6pV98+o0oPysyhYczJYexEenVUEvxo6JkiGP+kpSQNeyODNTclpvJdnufq6J9
qrptobwrNS/bzqtoIeq9a5Ouz3Ds1qmmdIaD3zESTRh1jUMqWdg5HURuGrRaP5kJx16mDvIX0nwC
87rM8taqZSG40PfXrGVgYGk+BDUFGvsCdXPw7aI3bxxrM56kIP8DS2Ju9yjE6kq5vfHkoJUFmnvF
7UzNnn92a6/jXDBN3DDW5yzFMOACW/iSgyxrrqYvbhX2ycsn72Cn6XKx4WuawdIZFBYrrjX50XJa
dXWOdZPJNNJxvjBauzbhVo22OVik9w5xigvQGZFGKE5W98NFUTPBtxr1wEBjZETi4gPnWoNPDa3h
uE5ZfzXEnXGkSygp70sznn4hu4n3yup7bFAMtzUQGzOiaECc57c5juHWDHcuH+nxeCU/a+8IdZ6l
p+HkVtbJq6rmiHXXH6fOTQ9Za3zoUdD+gOSlw2JcMMnGflR+nmdjetIZcd3jVi7Lzdi0G7+sPD9N
7lIeikQzRNSN0Waz1q2vKra4i6RYyqM5JfNTjOl28KI5ZtjwuO373jV228ivu5e5+ESWwGKtmj4K
PKdcDrkBkwiifeXluFV50zXXppEfasWMcd+mXNd3jN49Sog2FEOXGgFCxPJqTeekQbApHfKQjMLd
N0bBr5/ixb03NtZFTD0dAoTy9pOlqBAcxv6Vu7z7SoJZXFOHwDMdU4khW5OGJJ7zIWYIVou/f20C
Ej9NIE2ggeMQzlxIdqaAf7ZLr8FraBOgwZW9xVEM9PVtu8sfXRxnGU62ttFTVw9SJMzrlla9vk/n
j8wdTblvaHZDlhkF5e95T9vZLpEzHRLWdg4VmbOyGBGRptuNWznm98qKBgTQ6ow30mNKK4+7Ps5m
5PzaYtU9OnPvPQ9Dr1ofgtX4yFK1XOETW08M5hQyXOqldW4s2qjKHZ5p3YXRZEfzXhpGe6B3MiPv
KejeZEhXG9cXQx7P35t1oZBpypS6yjrZyQ/X7dfD5tAqxQHLBfjadPa9X7ribi6zPGzjsXjqU2Uf
q7q9ILdkH91i/toG6qbKbpn3eWWaXzGG5k+Qluy4xnZ63YJXXmwMbQpl1BBIjVtzuoF4bU7CThte
6kUOz3pW3o8sMqMLo9ZbaNiFEVT9PMOr9aV9zEXLuDuogf56k12yW82qe2XoQLsrxlne0Bptf0bb
VO1Hune/FAr6bq7m6qFCHnisZ09+ErPWd1DA4yFKyPiui9s/UxzDePgJj3pgfNxbktntC9dj85m7
hHWR9PPZm14xke18ymeY5Xw+NERASaBX4PEBt1XZ/ShSVcWnxOzi3i+zwoXjrtMaO44/+dZtERTd
mnxFkamdo7WKcdvJxK63o5opPvAHCsJ3ta7peEkQHD17I+ifjd0iqMZuKw5+y6r9XhpeFy5UcH7y
pC2rX+GOsCA5HhFoI2U1pkIG0YuO4CjbU4WzVqGJ4bkj1O94V0Ozlpebucp+31qMVPRdQ7kXUevK
D2hT7w45dboAB49ee1N1UZgZ02zQ8ndGhKMI5Pg0oT19UrlSOEibHj06qz1jYNHveIEYzRTINsu3
+3NNfh+Qypl2UYzZC4bf3Axd0qvLhGTYbjLWdwyXSoVrzAdDA5/xWNG696uN1gmutE52swMGvhMj
Zzl/hZZqQ72W1RsPPxJouSGXBIiEnnnIowE5nYjMii8yI9UFpQMFi5/BFDjfmhv5vjQTeuGQ5JJJ
LIJuAj22w7tRzZRgOVTuvyKIiLc2jVMU1U39SMdBUbuzeaE3bN1eFHF/Oy/a+9mbW30j2sXLDoDM
guiR3qItKCjkP6zxgr3Jf5bCCLZ0u8WNYz5BhuiE/DMvvV8T/T+uWcc3UOYbpdhlss3oYDLDa43z
rDQI1edNw5oJve5zbGeIeJ2v4KYRwaAyUNqkadH9zTmUDE01fMSuPuSyXb+w9ZAKQLrDKqzPqER+
hibyMz7Brwxd/4xUWHmxXLVnzCKN0VJ9cYYvJpRDCgkT0xigUsrqrgUSDewzstGc4Q15xjho20yS
nVc6Jv2vk76RZ+AjZmr1FVLizGq6JafSa8FG85ESPYdZPYDK2vKIH5wxEoPrFjeO33SJhSB5ftEN
DgkDIZJYeO7PjAKGOGBuOnwKDcv9V7cK93b7za+IYTH2/W+qxTsDLqU1WaEr6uHeyOuDOejlLpmh
YrZ8jl/kmZSpz8wM0RF02iZRVE6emRpClt1Vn8QJrQNn5Ead6ZvizOFMZyIn+Q3nKNzJhQQpo7uI
zJjC5/bWXbtbQu1btSu6iQ0ZyPBgiRrwhx7Fp+nMAk24Iw7ASZvfUGMOK5QW5o31GyAicJk+LAO2
3Yr0daJtfbediaOJUNh4ZpCMepMBZ7I9ZZJVyAH2hzX9G3vntSQ3s2bXV9ELYAIJkwAuVUD5qq72
3eQNgqYJn7AJ9/RaRR0p/hmZCd0rzt35SRbZBWR+Zu+1SVWbkC4Vdw1TdVczOXnD5/EbAceD0zwN
9YTuqZCknjdNunPgCeF+zZX/OKUsAzayFzZbhL8iqho30/ke3PbJLQdvu+ahog6iEPpT3VVYy19B
Fuja9VmCE2XXY6N835CmYCLfIg+o21gFg+YMMsEX02WGbmB0hl/67yiu+juWG+8TOu8+qyv+ju1a
9riM8P6O88rRVT3xAVU8HVUmoY7DD6BaKyqtXhxnac/9Mqw6ZB0BB95LgDPtGp3pj8HtrQ/oBGyQ
En9lyUOpAqBcahcnkQ+aa5tjAfq1NoX35HTx9C4QosGbG7PilPh2c5elUn1tu96s39oEgeZWTCPv
U0USziOMjvWhMDt0mspzXnMAJCgVrBxCmPQ/575AfzJjTkXb4Ev2FRhdHLZ+leRvAiNPg0dHvkJz
CPT7Kyhgu+5GbB4sWaZ8eUGFwfaPit1yQrXkpnsw57q7aCNIiVlL6vqS5lXzB5kpH5PAIxrv34vD
udqnXRkK6XCIZePk9peuncrphq1IQn9MDCwArI/GdeskxhLfWIb7KsoTwbfeLGiXN3kRZGVUUBC7
Oxckx8vYxZ1x0iicTPg4mA5OgWwBgDByp+hAUHvSo1f6lD3mTAUsEf+KxSlODZoa5OF0Ra/NOlkf
oDbkBy91Pp6E09nnigX1ZeXQgZXOUfG2NPGI4JVwhZZ5+NSy8J+JPIj8LOgoWQnaOq+qNH74BvSx
KL5DzTboBzoSFyzVIxWgcxh3rN3R3/CdBN0JMmr8UZYjCPWlHLPLmpIpeXQJFTiWdad3adcaX6bI
41MRCxjSJrfKccEq6OI5S/NPe2L9S5dgDB98282VtWsO66iyhyOqRVqQvrTOq8PiOiC881KRC5CF
EK1Y2fJP36J2DzQoZmd+aJCCp5GXsoxG/YKuiKzJ1n0dCCKAov2PzvVfxtd/Gl3/A6HBc+gyAyad
KFboVIXj/AdTu7L0oMsMTkssgMPUQ/JTZeqlFc2nHVQvxFlwsXppwBwl+95DPHr6v38+09Z/pyW9
fzwCON+husOiad7/+z+0pEXcW1UxGcO2izFbkrGnLvzwy/8k4/1vR/vPEdj9Y+4DOFSzfA7pBf/+
Y5Z+Ha1pJd5tTO7WwlE3SegZtuEfnJR0hbAYG/J1rUClvxXXk4XQi8XpRozl9CnArRwXQ+mLRMT+
DB0/uN5/ZEx0TOvBmJrl07JoFLJCYpbR3IvDI4CT+l/xzv9/X/CfWc7de9L3/3kc81/V77T78V8e
ux+/v/p/vy/4+zv/NZFx/u0+dmAc76KB/g8TGU8iqGYO+z9N5f9DUh38m+By8kwhWCfco+n/NaEV
1r/J+4A24I+TlEjB/8s45n95B+8fgePurs+WaLrv06d/vgSyL41R6HzYdZoR5EuKhPJ19QzVRG4d
yJvjpT67cgHyS3Gy7xxzyImdTtzoHz+2/81ZwBbmzoH453vCX+O+tWAsbTOq9P/+Tf/xOpruKJFh
BNa2pvF5L3zOnlgG8XFMKutVF1lwmZH5rWAcqhjIZFNr2jFmu4wx3AP/V7YzBIVSXaTVdzcloEUh
bqHnR+0SVai2Hs2B0IIVQFbEvagf0jxLQZ5xr20dYFxPad+hDaDYO/rw4UKjNVb4nEkZb42umCLb
9ZatoqAkvkbzZlqOB5VLugoU7RKcJaxmGhqLBKWcX79sCIEQxy6W84+aFoB303kAUmUcqBld7Gf9
YP8wXbO8uog7WWW2pcadZLbcK0OYQXv8adsD9ouic18DHoI9IUzjaSim/jGDYZ9vcio5JAVT/XPw
/P6o5djdUmcQJ7MWViQJJNrJwBkeE2mz5FTWwvzaPpV1c4BMg6wJucgbs/ayBUZIMqGTC/kp8LeT
F2Rab+kUGDsN1OmIvjbGxWhblzZNjB2/BNMWCoKontLu0DtmcEkMezqO/p2qtJQ7tSRL1KIROxP6
kgEXdJJtM7XN1tOEdYa6VfZuwdK4jQdnIdBUDq9uy3QsyGo78hg/vBBx5H6i/Ii33QJdye5MPDx0
JfzT2se1QC1VSWO6JlWRv+ppNj6mCRw1IoX4YDlUcF1tZdu2bvLQXrvxd1vl/lZWhXpyKkKxN7E0
9HVqqg63ne1EiPp2/TxdnbQ9+Mo4Y+lEYT8blKCmd/NsBujoVxKsYSYA10pZaIGAu3ook/eFvWAC
7uWdILfc5YxGhOCowANUbXvZPyKWkjQdtOAIC1U0kWXPEMlJo2boSGYoiuEzy5MBDcRQIxVPkEkp
w/jprSwT/FEtDxX+NPJeeZ5wkBJqes9tauweyRK7jd9JNwT7CbnSxwrxHROjGJdr4sBYKNNaPJmz
LR51Nc43szFWBOXjzDqEzTzkxhsRLHDaK73uGxThT2XpYni8m3CdIQbWvhoZBAPInCPorcdiydSN
kWqyta3M3ZKWII8EYDmhm7ZkECjTCkeECNiAm+a9ZCzCt4n6UZUFmUtB9ccGn0VRGlSvGCeQ6kBd
i/gz6lCnrTyMuAcuM/kVR4ac/l6pxNraTF1xQaE5wAUWBNsuMf1wJvkk6hI7O3QMErcFast577k1
YiPCptydtt0RTKyUvGt9ISOjmcGuq2qpDjn4ldOSekgS7VneCMaxnzFd4bnqH+ZmXffBWLtXv3aW
/X0jzyJFimvip7eAQwbfNXJ/etMyxVeVmEqfR2Fnv5a6S/9UCYr/oIT4III1RvswmbjD7PYz4dQ/
QNuXp24cm6tCk3Jc1ejuDM9D48JfO2wBfj8nYPB/WI2fnWTO/meYtP6FWbJ95mT2ET3W3Xer1Tm+
2JyhYiKRWDYQFxkfQmYujiBEQvA63R2arfWyd1FqTVHKUglNW4PAIk6RXmDa9JsHNZoT5pAuya8a
YmSUdka+yxMQdilCMaghcYJ+E/Q4YpzWtMkVRZ044O+cZDRm8TtxF/HNIalspYoNaou+8+5pDkBu
EZAifP0EpJ763TL77r1vmxXuQpzc5ID2V7pyvMY2MQucacue2lKdpqVKvzVCjWPoJx3vdTpi45zt
oNitzaSSEGPRbF9SnH8nD9yas7Wb4Gsh3Cw5Nkq120kP6uSTgvLpZGTOrHlNGtA4EFGAh0Lu0V0x
4w5IyfmT0Q42uEm64Y/XM4RGKDZ8spvUh0bWN5UaWE+n/qAMU9DEkQjmAypa8UgIfHdgdgfe/9X5
Bi1XBhuZJvWnU4ESDQj+gz0wMRmaAH/jslFHevGpZKF4z7iDI1c+kkc2ij2NISJWmS9jcGkqsn2+
pOH2+lnklfOSNCh9dwhfmx89r8KPOLbUe12mxpVYO5VuYvoAXqGOT6sCRJVN7nRwQ9rYeUcf9FlU
gXHG8T/HZ9NB/SjltMrQHVAG//e4PHl//oGf4nL4m5kH3wQ0arbIP2Kx3Geuwt4/Tl5e5k9D3zMx
9UT2osGLvaQCy1IEcNxyH0amH3/oMG0T5agnP1Q727+WyV+OAEzc/ZKN8iyX0f9ihoKfM7bM/GCg
E7/EuUOUpMH+9wWHqryq+e5mLEpvP4rWoYE0WvlcxLL9Rv/XPjuc1i9L1bYHojNH/E4JuDFo2L7c
wFCfr/Ya2wfHzZKt11O7/M0IH8bJe++xFPq3XsRefhqLZwPoIB4rJPoOMW9bk4Eh7Xpgtibm7C77
Nrk5C4GuyWD+VWUy2Fus0u53Cf9Z3XJYvfV2yNQd6UBq0bYURoesEdvQk1B2zXFrJE/p5E6fZdeI
N9uY7Jd6ENUpED0sLXuub3FpJG+K+e+Rqgahuhz5I6i1Jjy0CoF9OWcTGXKsMAT9Eipr33hyFwu3
U6v7UE1rDRMYkwqsZIO9bRKPb90sVB4VGElwUqhifliKyhq2K4R/e7OmIzOgpKrnQy7wJrM1OYIb
mH+mnjFFuEDTjwR6xxV1ZQUsPxUhDbcdwpyxQgITwZqQEWEEs39McUXc9ICprGuDvgltwh6oxfz9
PBNZxqGK1LYPC7xY85lZG+b1TQnq/MDQaZ1OfZ2nJ8oZMiwtEMqvlA3ylQyzlPSfhvt9HwDaeSxa
/J/Tgoy/WGvZ44OyO9z67c7Nl2zf6fuuunJVJEvTO09Jv2zTGr1ypPqu/2xYrOF2cRdyQaxhFxPn
xHVkQ2Vpoc6wxi73cb0mtxHb8m5weEadtPMvkqS6TZYgSs+cTeN8peZx7tQnRNYfseuB8ShOlvfZ
jZNthVBDMdtgvvpJfQmCAUcFqMx5GT+MdGkfyw73iV3ANIhKGFMPd5DwumdmIgnZLoK9bxQEuRRB
yYYeKG6eJBJaDAmWcMHG9oFssDT0XY1oV1fNdo5NsTz2s2nVp5oRP0D7ikhzNzW6zYgp7pwVQfE6
6jjdWKB79+7Yl8ecfMRHZDs2SOCmXr5Gq4LpndRT/uEPQRwpwyUYgqwyzw5z9OZQZ0DYV9u68i1C
ylRv5vHGHVnz1+M9edLvMRqgCJiI1IsrBKIzpnXCPZudbDt1UYDTH1ihtug0dfE+4xi3TmMyMj6f
kJUegjhuywO2GXXBWaobFOEo8RiSoC0SxmG0R/FT94n96ExWT13dL+YLp01KJFOqNeiameF6N8Tb
aozHU5EElw4jI0ACQJR91ewT9MaXycXCb2kmLAyWh35PvoRxAif1A4xGQLANG8vNslrll1ZewnDR
d7n9Ucxuutm5Z2xAEIoY9KkrRAqqN2M039n1Bo9ccO25xo1/xuwA6dghCtOB6ISEsY7/YBMot4Ww
vduMbpAC2tOwEyby1easMd4NuXKGLDNubkgDytwXOPy3Xum2z+skEYLOg2U/wFIIwixY5x8u0YxP
C6f43koMpp8gSu9y/jLUZf/VOdhpJBuRyHNFw82ZxBSdq4hcMT3EHUVBNtlnm29omy+Ftx0lk78G
4dtWctFsyqbNt1UWe9cFSc270N1DS1rcDhZ3vy9ri2V3T3Nz6dykOEvMORwkVqkPNT1GFCSpdTRR
+D45M9BPp1Tnsi7fpFV9Ici9DaNfbwqRFmE7FyZyd8UyGBqK6PI+rAGBbaQY1lvZthUD507faqov
BPhxckkJtT3AjJxOnvhZwCoZhsFBs1sAaJiXg204Kb3UOkVLulQ7wYVEbluyIElnkXfAJbqEsYV4
Nj3ClWJmJontSs7Fmslr4iXirHxm8rAXJlxkjdtEpRgJGJsrdLItcaP9OL02vEw7RyU1+3G8LibY
gQjeR/GULFS0cZc4Z3/QzpMjKv80mg0ycIHs1zNYKMe87We93PMX7brDbDEo8/4YwltYeDQM9oZR
7c6HmNCdPelCJ78Y9kTyoJtL96Y38kwv4aRc3D/E5p2gxIPQsPL53KGViECA1PRZNaQO4VVil8P/
2AAVASiMAsqJkBwcnAxCmkkNsTqjH2LixkIp8/IYrxXnH7LRd3aOtRGm1UK4Uo+0N03a4NN0G2fP
akN8kKflhEGblKdmXgFXGEgCS8MlphJKx2FlNfrdZ5D1Ib21eaYCzuHRZON7oeL6aKvGeBZQ2p6L
tS04K10ClRzVpZduyNNrWrUominafgkhaKFFg3YKXexvOCPuxnCGy9zm576K3Wgx45/mzN1nL/gQ
CrylmfEKpxg69jJi5Jvw1hjs3o6zpYMrnpDghYC7IVJAesIaSFc0esreEp3mR67XXMxUEXKY1ZE0
Sci0HbpIs3rOx7mgTlDdD8iPTgRKIg4dWvwjS78DiHvjZNrsqLEbDmStDv3JC4pnFz+X62ObsJzu
obY+WnO+ahLXVhuPxyC/FSkT6skUB1JYX8hd2SUGUQlVd0BJeb+W8InGRKqGlIYfXRJ8VlUQWawx
OwYbYdnhRUx8BSN51tUhGBAQc82oi1NMFs9xVx8Dvzj7bloRx+isZ9mlBiJMv4TY4e8xJ9d35FuJ
lkRl5IKWyd4e9ct9iY4iTI2hhb46WkdCfHg4ankECSUPsDWLX7aV11DrPRyL+DokK1fOSLJNDykb
4MgdSnNP2G28qwsvPs8leUSk0PSHQNDpb1Sbe5csYcHkz160Ah0/dmWBmN47Cp2eRWUdVpvYsUZk
7luDPf9iIgl5y3KHkXE3DsHWtRYuxoJ9kNwUeDN06Ofa3a191rwbU1Cy3KNFWSVoU2CEzZkkifGl
8arHwjWJIsAc6oPoh7p9Gqr2S83sqvBnG9j3fBOKvk8+b+NHbSeqHSOm5nhH+YWtPReRVXTLFfvN
GEnPMn/Z/PuwHWv0NB6o6E9t+O0RH7b/OOOmhYcxQs9C/9YnZbPFBGvu5DjgRWJVQIbvp42z7hlY
YU+HMwdgNUwXU61vyG43wAzYT5mCQDiZ/OhByYfeOAXbySD4ddN07qUCGB3JRk4XIHY+cr4aeQ/W
+VV8ObaDeHH1TkHwMpsFwGD7kb3osRqyn7jIvxZQLPbGbGoKcaudyw3GjfbQI8/bcW0a4eSWc5Rb
hrnFqjk96GIUdNlGduDmOhTCPQivhwc8spv0ydMFLeL7NS+UV225bb/kxDBZucG+99aDa4izCwNp
Q621w9v3TVsTm4MZO82x5Tp46YS5PNhx+k3bFhFWtfFuZ4F7q/J5+GG4dnPgv6OHpGzxaCCOdks3
RolivOBcvNZ2GzU5+34Pa++lZf++yV3rkwM8wcXduu+2XYnIYPke+Yt4x3pNAJ/0cSwRAUwNHXZN
ES41+SsmgsmRq3kTeMRMFtrHylHJPwViHZlmx6qYw3SqXlvJUroAGJm1413zaXu7Cs8/w419qZZP
o/Ed3h6j2GYTzLFNSbzJC012vyud7JrHZIUHYnicupJSDxjXI4iWtxxke+jNNtkjpUm9yCJ15wkL
c0GPlbLN4AtmVskoTzgP83xfXpejAgWZI65Qcmv1SIQARnY4HcaTU1xwh5ybKYPAWasX0sk2WPBP
cdAHB5aRD3IN5i7qtQ4iXYvqNWnr+TNQw4lommJT0nBsqmY+yLac90ODPmNbzkt9xImsd0YhxdEQ
qXUoeizy7Tom3xNU35BxbHSv/avNFm56BKWnRfvbY871iketPgpK32PKZOiurrkYEvQLxtt1Z85A
yxyrzOlN9C2pGLdoXTfvtsiJic4XnWwyw7e3omH/qYaR9LhmaS6Wx8SMtiHeoXKTL0TkZmFsrvO1
RqvGLNOS7VHKXKMum7NIBfPFAJawCaZ85osyk31jxTB5LG8JNm1jZ2+jOzsPPGdbSy8XOAP9hbio
FcCoydTrSAKgv+X39mTyOcbRolPEamQuEZ/p/WrWGI1YML0Ecf5SWXW696Af7rugKd4NRGRRi90J
/yF/r8zMtgU6WtAiht4m3PPUySNMy9SBPF82z+SioIClTlhWz8EeY0AMY1HbhO00fXNr4sMWTvGj
hOt1LXHLErKAng7TR9G0WEb4zg7TbPsXD24CjkFPNl7k5vw6XNhjlKqUCVXr/vYYdQEUXCwcSfn8
lPdJK6LiPg/HBUBuDhGuhWUlH0QpFxf4BOoEmnJutj0cHgKO4nucLyKNfD8RYPIdRdmwHwrb3dVU
mhRUhY4qhxs5WzG1bzqvsQzOBTzLVzz5Y3IZ5XLGemu8k7dKNkxD67HtDSFeA9cFeEAUR0E0fV3l
l7mnJAPtJA7jJLDSeQn0PdzqK0bxRXoPno1yJE769sBvsbcmrL8Lvbz1ngWlexSDbP/0aUPpGDv9
ZepomJRhm0+WcpMbnlN736ZdvidNkAJIyFZsk0xz87JCcy/mOICSLEIbwTlpy0wpLnjQrBddWckJ
HJf1ysGvbhpy7X5MWrAcZte2e4so5nZHVK7lbsoWqxTNf8PVB/BqcdqRMVuLry+sFyv94UvOC4yx
U/FmCf+qCThmmDmpx7zFDytm5ysOTPunaYs6JUfIjn/HZVYBo1Tf8sCFYVF0T5buX/EcjdF4H3hp
4jdA+zW7gtr5DLmAx9Vl8OVLNR6wM6kf2JS8g08Ecgi63NyONdqyhPFglGD2fjT1OIfsEQDqLZ7P
2KywBl4thwGdhLJb1TDos7x58At4q007e/shHd7GBTGraXUfmQB+Rf4kabVQdx5WZIJEP/Xtdyfx
YSaYsTchAtJOG2rHTjcNxDaMyq/kpgdHP7iXOxogpq/Pc5bnHHhzflos709G+b+xc8BcBSMoToIZ
g+CIjfJVlORmhv0K8E4PQl2QFj1qb32UiQyeUlSN4BbKZlcP1i+V+jyM6Gqvc0VtDG7BPuN8NX7c
YwG3cR18DwbhH2RzJ9xAUibbsqQIg5ZnsCIq8yORgOLArUtrbJ3wh6m3vBTugyV4/AhsTU569o0D
jR0BFl35NGRgCWYWUzukVRdBoQ58bdzbK1PJ7Wit/bHolfEAzuyecui8pg02RlVUrFc6YilSQ46R
JhVnUR3/+LK5M9luxtqaFwEVeOPHbn6CPUhTXBQBkyFZnAc1PwsLGCRuS9AO0yROVhy8LPNwJxuq
F5OXCCnstOtGL9jOAwDfMn9ARmKGqSQHdCb2UWzWAiZT6OrVPEjVDTvcDSyTakajznYIRs7kySvq
c1DbQ8oUoMNquEzsi4XkQBbQBt+QdMrftesxtSRxL6SwWPl63f5Y8xhGi9/UuC7XAhkqx+J1SPv4
sVvX9bSgU7j6wVCG4ICACsgn2aPF0sRhyxwrKolJPtPuveNipiOS7CmgLjpnKbSPNouyqntfdP7p
jjWD1h5uA0YlUrGeYgTY0cqC5aUDIwLqGRGRbdbdGe4Z0WqJTN9dJDyHAlJJNM09Lk9CjECZeFGb
NsjdSLzbVwNRv/ppZtd0hZORn3LetR8VIOg4LD2W/VCimL2gqWvDRLkXoS32YrChCViGAJKQqBPN
ojvCoQK/7bjE95HETDWYUS1AQl64Tiq8k6HpOiYjR1DAdlsFfI1+Zb2bbYqgyNOE0/hzqX4KZg28
P8SmXfhD8xNy17fBZ0RVGtau5ny7Bgsw7dAgr/zXCmoFFGsOCWVCq5g0CjF8gHfz080645W+3yYp
SLjvMwC+cGbGjh5Xp/2NcwEpQ6Kd8rucg/EXETH0dQwNgpGlUFG4ROEqNyuY3jr63R367DYaM6/x
UvAlsGOa0oeY9CtYF0NGmQktL3gtheyP6Vzj36k6c4Ss4rlvOhUpycEecyqVuLVikuk4RL3WVnlL
yM7BHVLOAbDapJpQkPkZfGQHg/KbLqfuyDqKMk5pK9vRUTsHUBzZupF1Qza0R1I7qbLT+AnY91da
EQ44LNggtQO3t83IRjZb61dJwcfCbWVgBcaSkQgoXh/Y8pBxUtT8L9KN6q+LrFNKStP9VHnBu8R/
NvurgYf0p42qiSglK66RYY3u75yCfEccmjz6cQLGs2S0quGnMB5jJwzscsAkXrpPGu0Fb7uX8KC0
Ht8ebjv7YBhxx/4JM0Hus/Zh0qU2lIrjFz8dvVP440NP5BnyqO5Zzg5rSGK6IT85rhHmcV5e4SXO
L0zW0l2LN2dd8QmEKIgqZJGFlBAuscqDg5Iz8hwRuz8xgw/jFqN9e+qNsnqzMFRHCFqqA/Gq9g1K
T9GHXuxPrKJhBtoopvTogHMiGZKLb852bBT37cQDnKz+D8CEyc4nXRK7MfkVqxHoY23V1g0G2Y+g
Z6K3yahpN3oavznNoHGcJ+22cNZHTYJkZDVVsMEzrDdxamE4Gqo1apfPJkMKjinZtuoHNoKweXQr
3pKmjcal6Mg09td3Ag5x7ib4DXWuJzy8AnVY2Z1s5dJ1eGt3oAtMd71txDAIyaHztPw+x/g2tggB
261JDuk1B+i2nRmBPTtFXJSbnESpV5ZN6y5NgSkhj8526Cvnb/EgvsqVoUMBreGmuq56Vxl3B8JB
EyRtkD1pmPl7pO5lFXZBC/yXLYpcQ8xfwTljLEnXAbniNdXm8OxZLHy2VpUlY1hZZnYG8kZJkGDY
h3fNnewiLQUcOd8xiOKQuXrc4w2nQcOvzQbxSLAaq1N79Lb3m9qj8QAjgbWqQRCwgQxjvs8aE9mM
PZNpyljeF7MiAqM/boFnvdKZUaUMTrf368a+5rABdhUofygM1nf2b/GZQiS/lFSTYdXS0EBKkGcX
LSXYmBx2PLu/a5mn7odnrNsqMScwZPZy6IfBOyDS7c7NKrJdoXvzOZ2scc+SgTEnPLWG2c1Cms6g
pvglHWf5wLiSf0rOUhDcnHNmNS0e+anCspTO0lxFrIFvkAeH8nX1LGQUjb9e1Dp7f5ZFVeWe7Qs9
IFu3+TR1pBf7zsrTwyz1NUE9dbN182gka6SY5l3beZBHkivBFYPrq8+JShjGtSb50YBfRr0jpKYI
g7X+005SqM0kWal4ta1/l0gHdoNRxgc7Kfm8um+svaBQOJPLdSirBXjiiIxnG4zG5G0SV2XvfL8A
ctt8PzNE4Opir75JKkHbNsNfyHsgvnm6T6GlgFNC7t5tHMZ0DHfY35kRXhqCAFdby+1USFaKnYBA
s84y9IECfxsWewE4y/3YtB6okpTGoLPrM6yb/i+vm8uGnTn1f7uk2fNAyBjj4ry3EXByQg+1+ciu
YZdNPL8VuamidIvfq1Flr33Qeb/ZwAUXV4tTpnO72dBvo+X0ralTnIWixCZi1J8GC9kbiIxu4yol
eCqgo5ooK79PQQ7LlJzUwrrTihkFUzP8YgZK52G19i2xyP5FGERKsQ8UlcX/TGSvgnzfz455TioE
+3M+sGAy7jDywQAmPnffg5R6I5T1aKLd9rhtcBfmv2KGlbQJaHf3NnLxA5odrKC1bj8YDH3L0vXn
NAcl17js3myLzMOsdcENc51mnwQarx/DYrLW0aa5HKaOOp1eA1dLbpaoA+hZoiTIxjslXD35SwWt
UPnyBvvD21qgTQ+gpgDkMOkjIqNPamenGpIgIZ7lMZavaTDgyWFCuDc4BWOJ3ep1T2y8BBiOWjDF
SPr5gNMgYJVh+Hujna2n2jHHiwdH/DRwHj0j8jDClUk/KkDCCeDBOwdrGJJPEIH2W1sMABMNVCts
e1Ddg50d972+z8cBaImH3JqYO5ld5bPwQjU7dUVUZy5iIpB+4zYDfI5iNyuQDuJNGghovJi6VOGg
AL1v1Cot8Hy+l0eylaTNe/2fXGRDNNQxmPI+R87QFeW6tWzx6jHbDzNTEDHKabplv1tdjNJ6dEeF
4Qle78ZyV++BpERstNk8/xxLm9Dv3p/8J4fld0eLBAnYzET1zJI2eIFtPT+ywJY/LT9VZ2OR7NWU
OZ7yzlsISE1KQu/q1H9xFraMiz189syhi02HVwMv3VzsUNJ0e65S9C5kjt6wvT7jhS4uMzXXARGr
HTmT/w7VNo16QPaUkv6cv5FUoB6ncXbnDTaw/H1uV3YEhr8ibsruoDJ7vXY8EKEq4vGe7Ocd+7TY
p9WUntwqYxwZ+/4pd92HJi6qSNuVjxloUUdmGWO4Zk3FGzFPJxLx1icgRMw3O8+rwthfzM9YYfbi
lbA/DGk/+138FszN9IhzRUVeTBdXdH0SVdMdMTTnTyl7wgw11MHxoXn3QbCcl7xh8lrO6qGogfao
rjjalLNPikTXw0QTBUy8An9F82RfG4DqB+Z+v3xAH465nBPCYKjE3BNQSJY2pp/oQw6i8xM5sbfr
ywq7n+NUb0J7HFwDO+mjytVJ1FKfmQmgCXHcGRuS1b6XBT8oEliIfa0sUv86FtXgdGR/P9KB1YHS
LnfwB/ODZWTIOmqNbMdsyfItBgYAs16wejQJe9nUMcsnjmmwPazk5y03R71jJ2metTV+NZ1g1tMn
BCVlE6O9klXkA+eWG6L/Wk7oCYi+DZL5dRySGSNZPB0CKEvPSCzL7ZrFjKQCoZ5biovnaVhwXaRV
8w1NdZ4CM5/H81zBQUoDOEhytuP3ETgzFhSaUibSINt589f2xnop+FBZuURNVjM1SGsjKpRVbF0y
UI85NP5jlXrWk8hk9mCrnkH5muIUCSZ7eGQ2kP6CZGVqQEPKCW0GkcgdhDwDjXc+wb/MnGdrz9QQ
76hel6ALYSaV6LYy9gmY6H+1ceAQLSySXwwJqSHy+ygKQt9TRhNe0Qho9+QPn/dR0IcZo8oCVW4O
39ZYWu9MN7Jv6NPWG7MNe5sEMe7ELsi/UsMRz/h02BzEdfka53G6ZS1Ae6+AX9lB4724pjD3qW7d
0PJl+jwmrM/DxtHlaUjz4g8B3uOL4nplMYMivw1aFwZRUwIUH3Jna2BDP+nKtndtz11D86zMx7Jc
pm+MWeSVlVW59WtfFzzyTn9jY+C8VJoG3KiX4qWojZ953/k72XF/Qrw+pcncs85xu1vSzuIHanDG
igXvDGRXbCaOlxkIg7oKic1qHfuChAXGM+MzYasUgNaku6hUXrNbOwYZTR5MYRP8N+7OZEdyI83W
r9KodVMwkkYjuaiNT3T3CI+IjDlyQ0RmZHCejDOf/n4s9b2QUmoJBfTmdgFaFFIpd6fTaWbnP+c7
lvlppV54hUOnhsNp9MCc5rCP7xSbgwPDuPBcVPwOR92QXZk46nN0Ri1gGmXdj1Ub3qe+X8GqYu9V
hskDqyt7HoezNMuvfdSF6zJLi7OrNssn0j/xcpw76uukkXfMrNnW7tgjZy8U1syI0UYYvw7SRXPz
83REdkDfpiSUuRBM9+zgCltetZZa3ss6UYEXM71ru8LeEiFmjpfCs2O6Mz+ghnVHx4HSNS6r9l6L
vv3EXDMD84uch4US39Mw9/mW7w2qMGGRc53B7h8Y0W/5qTagg+hkmyneQ1eYFewAbHkJtyUT7IJk
ctJ9KRazwxkHWar3Q++Am4w9Z5QYQcno5qEFBsWJGSazkLTBbFuP6CeHytn7XAzlsFIs5VMWcw2U
bOGS5qo6VbCtbnTa61sZttk5prWYIzxGQUCj0uOSmz944BiXIYR2sFf5Sr91KGXpNv+JVyxNUyun
E4joiLnNveqH01ThfnLC/C3vZuARCZbhJ5Uz/3BwX92BoU2/krgabhyboQs6LWbYbDBynkhp+Wuy
4H/aLv//EVgch/paf/ffO+FffrTdf2w4zb7nvyMT/Pr3fvXB++IXoaRH1sJ1f++D95xfwBXYABRp
MVvZBGQx/i+rxP3FsoULLQD/vPU7tLgFWlwCUcEk73qe48p/i1Xy+65OwNy+Z/sWsFR29wjtcMp/
54R3pRE1uae8gFaP7NCwb8Z9oJIdcgm14+V8+s3l+RPHu/mz353Xk6ZpAVXgisDX+AmNklpTCGzB
dwMza6MgsrL0B2PA5stglpiB5mHcFeGytoDxb+E6w1XnM3dw+ucFktl2HCz7iTYIb/gbJ775MyRh
fV/0CHlSrNQHx4UE8dtEgE/aRpJT9ILRyr92Je/DHA1vg9LDZlUyoVww2ee2PoTsTHbxfHF0L85/
fXHW6M1vswDre7BNB4iSpUxYET+9h8xj5jKlvRfUydQEYdaGZ48J/+Nfv8qffOOwkTwHFI4Pl8Jf
//w3iQOXiwyeNPUCu8KllI0vHovKcUxyirsgff3Nhf2Tz+TYgk8jwWlIbqTfv5q2mJtOqecHfsnp
YUIV3KQ9/Vx//ZnWvMZPV87nF0E8RAnuYeunu8rCiNCMTugGuAj4GFDMcWH390ORfP/rF/qTiwc7
SJkuCCzHU+qnF4K5yRVdb98woWwGmuDnmCwNNNzyzk6zvyny/NMXU/+qZFwLCMRPLzb1sA/dVrpB
ZUvB4x5vaTwwJSsWxaqGEvzXn81av4ufryIDHNuWPBGghfz0XSUm4oN2IzdoDMKQeqgg57ihuM+Z
9J4qasDo3WjUAVwi3ocqrQ6mKMJvKreRGsqpoQSb5ZHm+GEHroDydJwY1LrZNAk57H3vOuQyesk4
KDcnYuUJm8TC69hLYd/cVGPDVoWO8l3vpHB9RKpoZir036Tf/ux3ToRIAaUWZJL+cD+OoLhHZ07c
ICpxfKUUi5/mwWEwPzhPxlwe6jRsT6WOPl2bci1pZdbjGLEw//Wl/rP71efJLRmosUuXP11pnRI4
ZtH2yR708jTJ5KYUGKxN8Hrbf/eVwNuwfjB2I+f0h+80rlfEQep7gRsmxXZaWfGou19xDFv7v34l
4FZ/vGFXug2wHRt5x/31z3/zaGkK0zZcq2Xy4Q/Wnn0GkQWe+HeWUNO9MrgRLEhYFBri4Ou7Odt1
nmi2IeAQ0qTVxLGmrYFiuAQzaSty1APHVefdGRo6lkgJ5Oi5/fzgt5287rqhuiL0BPlSY5xDNezT
6ZAzviFeYDZbgVPxJPzZO9Zgjw++plTRaNpmp3VDzsLRvsm/KMAJOwD5adPsLAYi9GpeehgRt6Vj
0vXUxq3aR8Nk4b3yktsQuNw7jVHFSTJI34vcZ6Prr7bboXFPWdO5r4m9yFvi78lxaWW7NUJkGIey
uLMnrPBipvNK0bL3OeDnU8xYA0CMiQsVufNRWrp+tajHe/dIfYDcoh5gg+E23JbVyJaUXplDSf/e
MSGN9mCIurn1RAHAY4IFwal6WlBMR7t5pdM+vOghDp9jCreCoWi872pcOVyhsN8yI30paSNnwwmG
4yrtNBhQbdO0FO8aQVBHGsWxJOhR8wSIrHvT9GA32rHy8Njb7e1CPBp+MI1abaOzgI8DPXsgnwyp
A/jXUnFwGqqEog2eUvO135M6I6TbFz1jwrB3t5RsJkHejMMPtkxck9ULFsdrK2DemzdNFwLpcWyr
PzWVbF9MtvnPDtjMZlc4dauYGQr/mW0bESSn9LsnLy/kqac0ZDs2jUE9lyNhcyvMvo0gzptEa5F2
s7D0b4gzFUhWuaz6XTZ4ydGKfH0oPb5vi7JQpEujhTGiyL1FfLc8hKi828vacd5imjquKHKWbzj7
UOM92L63jNMFiYmBTO3Gw5njMdNoJ56cZBGwfBWj/zy22MyebRueyCBE+r1ZW9A3buhwx/vAgB5y
yUYIBP5Y72GGcxBrqb6lUuZziewZIBAg3WgnKCdNA8+iZ48AON4Pi/KL86I6VYHoxC4eYpvdxOGk
AmthgwMu3yq+KXJBDAMrWhR8iSVJE0/Y2FHWH4cQh59aDBqjUhmRsqsMGncFVrUd6sJN1k94oO0K
IudUmrzfeESb3VCrwPGosFTsI9MlyzV6KhxvsznHvqOvIjSPB7scu22WzIepduNHEnzTPqH37tDy
3o7U0UcHv+n8o+eIgu93ov6FiV1PbxUYJqhMPY6iKjKfB9tzr+y5+VGZKKhJD+BWA8P/6oe+orkh
oq7RMLXewBa3wC0NzPzxXI+BAZZi1+QZVx/L18XrS38LSiU+xaX2+KzA3DErFe+CLNBNigvy6Nk6
/EDnccJNlo7jlyEllJfzFT+ELpW4aWLk+3GGjGVMrMJsRfV3CgW7L5bfzkd/NIpAt723h61nHjgM
M4OHTjQNbBBxuMkrrLvpfnJBxWmykJuB86KTeFdt5TUQOZYRhFkbeVt0iadoHuQVbj4sH1herjSj
hPfEU/YTXNduj2pvozuEmu49IO9HSzjVMcYpx+kPPzeKV0Qr5Or4q9kc4+qIr6J6ePU83Z69SmSY
5UgQErLqqbZbykuXOxyDqZRYdtQbS1QtnaKpGnicZJ9WuwmWC90Dy01Lq+ce2v7yYDVue6mXLPlG
ggZIg8HUn2U+CZomm+7aoRpPmPHC1zoS0abPFv+Jlo4FkwEdvSVFG5fIT1975augagv84mUIaVrd
hXlxL0SG7S8u1GnsEUDDNUGwUMyRo5QcKluNPyD9dECs6oxRgtcb5uvkN/aFwe9lDGOsZnUabadR
kBaRs3mddza+JOXF+UGTXdo5eTUeKrkq9CYDclKfMMe0Hu7Dti6Tg5Y4uPNugY5eGp9Y1zbF6DqP
bJKWoG8AHpAKfmakIgKTjNR+HCvzQufzlzrR13ZaQrMyjZpWDEtTM1i+m6vJLeaT23gccHFTdSQp
nmlxI8bJwsTOGilm6Ef7phn78L4UONpdShSuwKtfZIVpjkAMuVjMTIdx7JuvIJJhZ8xQqNSMacRp
qDnC0Dpu1DSq19KNYV/k0YyUEiJgeiIK8eKVxsi2ai7rJ/ZlE2aixD5CUgsDnYwwKHjY3CQFLWpm
Y/gPMZ/3Tfsj1jVUOdSmXBVq4nHepBBT8r5ydy5Sg4B4pLNhjxhe4Rf1Fxc9v8QfFvHwehli3X4j
khkS8QPw0J+idJ7QtkpGe127fM5WwpQwodZ1dPv3YsmrE/85utC8qT2kEoeGSRflrp3ze579O8HD
B+uUaIIlBSxGOjx7Y/LSnAkERaRHlgWSxQh2K4/iQ5KQFsW0wM941FcgmUBT5/J5sJjFRL7xRBcs
aR4W+TtlVCg5S5hm2yw2MaCEauTOzVrYEa4kqaXEg5sgfxGlpbgN18kRTGd6nuZWgknuKYAAKrWq
9CXQLYebYmgsK4iqXAU8UqAp6Rb0d23l13NXWHfwoTH3Ydd+o3603TeSDDAcbgB6PC2m1q8+WZCg
nZRjflxw1j1FpmBGnkzO+EPniyM3FSzuXapbGDGLL9gzOvPBMLyKJHhVnHAuflYW8RnK9MwHbGDN
QYv5LtFDdp4XB1iGb4O2N01jeB6yLPpkfKT3JCXn2wbB/gTgLjwYpa/vFzC3B8zqH0yA+xuzNKJD
nvjlWXnpWomQ9tlxGsiejmk1U1JO3KIrxJdmIcLV2rF1gOswHRZCPwke/qhkgsCd4E2WOJh2T8DR
SpdDNSXZlQQFxBCPHvERH0cHdgssx3drwj0aojh3OAe4Ij4u/yAsfZMIU+URulRXmexfZz1VF0ho
N1NetR9OUfdgj2zassx8BQBaN70N280P2/bdpjM9QJEfTswIA8TW5zKcM7o6lzraN2VYnquwSPdx
PUW7qFfF09RO3Y3vgt8RLIKUEkbnci70k6xjj2S9Rxkoc/ePhogaKzebgo2VUKqCmjjuaotnc1ap
6AabTfSF/pxy24qa0qjCYpppC2AzCBnD3RTrl3olP1VGfx1bQ74t5nHPHGjYLR0NR5BwQL5PHizx
agkGvxu2ax9Su9TuxVrwvVpJknxhY49kHGGuBQmP5byk1W5TTOVzmxrJoXZps8qgOKrkCD2tO+X9
jDEHStfRrtxo75kDq7A9yWPH0CrIDRJCPuMR3FCHWc1zsqlrwzv71ZTuLKpejjD+8egUu6an9Ykj
1K5sIpJJ2ZTtvQg2mcJwEMQDDa02r7/RhfO9a5zw1S0U3QmCX/M4K9qxlmNXN09z13pEU+ZzZ/TP
XmqR+BpogB30m98ZrNGx8d1LaACzswtQoYdoYIVKCvMWnv+PKPuhR28IMBz3kGiiR5hBMSWa9bl2
mBs55sWA9IrZqW+vc20Ql/HNawL7WRCOtve9mlwGDlZBoDna0toxBLZqipfF/kCKyw+e1RCrGFNS
z02NccOZEdiLNnnsq4Rca1s+6cV7Vk3KP817Vodfp8q5jqmQl5bTEfWQtHjkmm7hIn6KLR8ie/E4
eulbaTWnupP51mnLG8qzee8W5iNVD1TqDOjiXQqYxjL6dEcMiVKCxjqV5dgcRpXfY8NwTjgW6CgR
VHfPOxz85EssE4TCQGFRGodHZVrDbelHDj1Vbvujy3Mf0cw5ZaFBNpMZG3CpcQkoK/6W2S4Hc477
j12DBX895POTpeLtO1Oh+lBQcxSFhXOgNS4/z1lO0U444pCLJ9XsJcO4bZx7/a6diGTi+9GUN5QX
wiPTti0n9io1QAWbeUdgRBwR2jEB/OsY7GH4wORSmV5bPbkKKcvdUvF9c24lQWC4D56iHN3GJq0s
/XUA+0jXbYcHm91nkeE0d0Ke+RhCiTn4sI/ti52GL91c3hQqpCuYeM82MoBgpG6uqY1esFTK8kl0
oEE1k05rSuvX1ByqHalyKqeqb64hX8hZEnPGPLWd65YvTWfPtWX3dwzQiucJMXQzM28+6jEyj3Kx
qj0Vu4wbmjZ9T4a+wwIBUaNHEDm7pcCO7zbGjjA6e1tXf6WVHPOLUnxSKKxYGIZbx2xmGAR2tV/s
vP9059i+Teju3pB2yA8zpWIHPBYdbhZxKTmzwHiQ3nksQzZHwAMcS9/pjgOGU3vNa1wbTlDGYU8C
fnlo+qg6hHWzdYboBqBHd9s2WLgnnh176YfqUvkWU8904twM17C5WSxm7nodNQvF4dhbkYtZuux7
zxYHK9EU48EC3Lqjmh4tg4iQW2JhGzW1EyAgq+8TH+rsaiyUauIrtcy+Plqx0Qest+KmbsiZRlVW
ngu8p3i5YIRW1kXMTU7TRJ9eMvgwzy2z12dvcn5QLwIHyCopZMtt8ZIPeXcszdR4qOtBfxu5t+9w
PCrsPDZ5Zts2gpom1mAqpnhLCXJ74/RtsZfIOLCcYvxeTUJGYmQ3X7Lva90navvoAooo8RVUqFHh
h8a3zclY0moZ1/2pLahLoanqbW7YKkYoXtgzYur3GnOmjZKtUMcROfBTx0arTtkrpaI/qqZ0ACkq
da6xj78x3KSYV6t9zs/3IFoao1YqLM58Z9xpuAl3iaDQaZFZfXbdeFgDVF9ihKjtUPCNMxr1j9bg
mIcJLQXL5djDTW2Ti5y0PmHrAC0xTgefHzpnqUJfVSn+jjTR7CuxjV78sWeDW+ZEujJz3A1LGJ/q
ZdBBP9GuVeSdc8XrzPs+yeJgcayBFNfonUPPD9FcqmZnJ+zmOYA9jK1lf83K1NyqqfsgxgL/JYu+
0omcY0WKYXclywfHcX3vjw3h6Egb/Tahhu0Av2W4MkT7ZFnOCy/bnkvtn2LVU9oHQ2DTUre71bBL
n6ypxW8gGh3fWMJAGyo1BvmiF2hBhWGiOiaKerSS26eq6oMTV2F04NAnX+hpNnfcgvXLkLJMh6u3
zCt7zJIxHsEtycbyC1pF+VSTtcLTFtfvtEnZ9wnkuztrnRLH80rZBPSh7yiw+gZ+yr9Hj1Pb2oD+
ADey2o70KG076D0ITL17jRNaX4NFzfbKn7LTMJVIok2o9o1RFYFhxFjYGABTBWMmYDfwzW4cjbnX
M6txm5bL17GV4hhBRn6NKz0x6E81Cof65k4YPGNsdFsGBNG+Lez6NrcpscrAF16rgZOW59sEExvx
xZeqxn5DLvA4RXZ8HQ0lbYBVlVxZAyAvnMQoqpiQeziesreHL3Mq5MeQjo11NuDIBBADbG9rq8V9
NctJAAIa3cnZ6z5OPituMndr13gwruOomx8XvL3uNheGDvcexRxyJzOdv44Ktroxj5z0lm55FFYk
g3rIWR3nTO6YmjyksBeO2tfZ9yLE3ok/dNp50xTtRUnmPWtr5ynMyqusG2irM/WZ1kpamTLWDn6r
+XLBTu7vUwqp+RTu0vabuCTC3rl59cwL6aciL6vXbH12mlVxU5VddkhLjCMOPodDbo5YGMFilm81
FsFz5xTWfpFuNe8kpadH0wEpMDbz8oADpnlMMmDRovAFuTVIOmL1BsxGisre5nV+NGuiSLx00u8a
mKBQCmeTZ2IhWH8xaXtrYybu3cgdjT12z5XsEBvpNu/68NC4EVr63GThLstYDPBx9pB0VdPmByMc
63eV+ZazfifZo8vz56YvvP6HLh1yfiGHyaDnUnvXrN9xdkgsfR9S2SPM7F55fgG+BbSAg365qX0R
XUanv5OM6XcoOcPatgg5ajBuENxd2uXHbTuEPHiZIxwMB7uSJo4TkHTB8AE6GYfv1jeoXDWmzKk3
g99kFyeiuy1r2meXDs94hz0GWGdBiZ3iKHUEM0FZuA67/eiDOXWXrr/nSIm7PivSgJIdtZ+amncF
15NCLHY3Tj/t4VWJAOnjY2kteSJohWl/GZ/7OT42YzcGKLWwSLwQhx/gwD2NIkCteuJDOT3Dx7Ij
LU4/UHO2veRedWW/J5t0DvExGlvuFio/UYWhJ4X9BUqG9W2qXNL1RVoUJnvwmSQIbm4HKbTurjAh
9IHrOgZIKU2BlUoHP8C1U78gf9RfqBro7qMR0wnE+fSWK8+5GOnuYA7avWUvR8C/ibxDwa9vJwbr
RxdHGleMOd06C/DbjfDz8BsaLDt89PL6qrSjDmApzzyxwXbgugeiOYTwxqjBAJdVftd9ktGnR1WY
4UKd6DgxdoQFEfPMhAHzxFraO9hDctQsZ+45BpOfJrXQ+XNNZ0FBZizyMOAulVtcOidLnzI1hHsz
9prrNqKPJxTrxCWkzG6u6+2UU+ULNIn/ej+29w6tsUFRm+IWWcTlP936yBctip7jYn48+OxlaRGd
GtzuQLL2RYy/iUnPhEcLuGktB/Id+Q6od7sZ7XTPCSjcwv7+7Bf9hBncfyqnkUxWS+4ck2nZFpi6
l9einF4IxZKr7jILb0OyM1YMPnGEiMhGkpyjCk2Igc4pyhPjuR0N2A4AfVfZHcNevCTALKddQZf9
oas4dTWRkx494XOYHaSB8EKR9IkdLOb0BLMaeb6OVRETrFe3SDsjdDO9VsZCuSc1QgKIHAlTFeOm
wn5VHYRRoOOgaMQPNhw37NB9dSKIsVJS4vpBDXNBiK1TJsbVomVKjeChSLX3VnfX2qU0eYDZ6lFg
AD/qLOIQqTmtVDs7lPps2JboNjMN0ofMa/WmiZA1xeiqVz7XcujmgrYrgEnVs70MWEo5seR3oYiA
5ptLY3/g0GXTa9SGD7OyNC3QmM1at7o+LLNhlZAzO7Q/pcrWckXPM4KUGQLLG3rJizNl7ms3x+41
E6nqkmMRuGfw6Z6UZdtPwomieqecf9XjGRIGbZe3/tswexUbGQPkj2CFE9zb1C2j9iPaAW/lt5UO
FTR0w5REfEtpP/X8hJ9DkdbEVOlk23R+i2u2EeQvdZMSEmp8mX00hiPgsM7TUTAZeUgKB+hxFhst
606lvhKYcG+dOs2/Eb8IUUyj6LafqjXNbJNGbPuoeE8dfznXheT/l6OPDJHTpgzotdBkK+rKefAr
ymi30JLM95a6w+Oou6HAwRmru0xgvsOc3EZ3MLvRdmPjYMVh8ixav/usSpruGCKFLwWYmTeD3/7e
aLnyKZczOyl2kse5TJYXijvjV1Be/DTnJOzeLG2od1Rg+TVvAc4NNdDp0E6ol23Zwi+rB77kFjnX
hpQsKRUIC/rZPq3FG7cGus22FIQuwe3Tdjlj33k2nCI+2ZOYL3oc/bfUhC4nXPofxbyytJCZqbkz
OkJLlQ7fF0QWfgBV3rx5ZReeF/babKqXXAcZG8BN1xZtfIgG55HFq/wxlH11R5pKBAwbDHvjODra
s80Dw5UZXxPknmrDHJ5ECY/5HQ3wOZnCLL3Bx0GwkMd+s7erurhjXAage4rQuxzKaigZt4r6YW6x
uG+yOQdxAVsczIbVpherG/OTHGfvRB1sd05kVZNKSRgMVmZnN9sUps1C2jLJ8XaPQuy6rKguPDA8
+HMJ35xV03gXcEwmbTJYDafoqnBA0eFlzNhn417/bqZ6/IJgPd4JETYP8NJW61SfX0pRZucFTM+n
Lx3vEgJ0uo6kaxhbyxzsT6fvqh+ZlY1yY1AZ/lZiPXlNtW5dSildraDfNiB75xFK12YmfYqtj+g2
XXXysXUakzaZigjVBq+XuDd0J58jtyg+ykg/A9jCgNuyIxnmGtaSSwX9hOLeZHdLP87vRevH1CCg
nfbsp8DfukjvCxkFZD3weMDwOAZwkft6YINhqHoR5zQmyLWLO1MwbyDydUOkjvpmh6krz4iIyk7K
dLqrOGX9gh/twJBaCJcRVR2KHPsji40FQQ4kvmeIy9BIqB/cEtaN6F0EO7fr5q2j3Oi91ziDKZls
X6UJzmUHlj0+UUBb3cd8Ud6Blk751DIghL9YNO4HWyM5bPykmL+nUTkiruS1mx6BHaw9IFY7zwfu
5rQNYOKuyqBuCQq4fqm+9vA4MTKy5b+KQnt8Ut26svlqDKLFQLU3StM/R+78TeuMFJXLRdlwtOZ3
wh6JT8AwwbTUtmpYctGxJ+Y47luUL/mHjsYQybIDHq5mrCKmeU3ZCGha7UmtAlsqiIXY9CcLX7dm
4GHzB49mNwz9pp6lWe7ryIav05tu1e1lnCCdtSaGfpodT65MHEhKUUdrgyvIU5OZa77r2YW/MkmT
5Z/RzXyVZUa+FWOnXmE7s3ykEYe3QodFdgQ2YX9gPRRXs5YlB9xlNoN5ILNqZ4Pa5kQUDipnCMQt
WZ7AJTAocxmm3SlKW4gdgkrUNDu13xdSIWzxLEO/pG5c7MaB3UQV159gifwrx5A+4QLbvxsXG18g
H7s9z7rVl3nujR2zWs74M30WShgbg2lfwNmGmC+n5vqz8Qbisbg4k7vYc25z5r6AfZroMS4KG+Rz
awDkAiQ9HJjbxxRSy3f4f/O9oVL53VBIO2YprmfLrD56x06fgBjl4riMlY/4K5tXn9X82ogq8yaH
8HIf0WjwN0aM1Wjxe8uLD5bDt1m4ycNLuRo1fuNYiDPhEgtqvPVMz/CUE/OdS3juNgcpwLrNVvUW
hFP6ROCdpfSvDRPyz+wSWFCYglquhfHmJ3/PYhkKevbkBbOKultf1ZoSl5YpgmBsb4/gIjDpsrRW
Ih0+xoUlRfc9pa1DRoCTbzarcaJ7XoHYWYtki++3hdOl7AP0jXYthDTvyoh2kY1VKIiQrKjLUStZ
nUeZLhdikDetNTCqcNAGbZxaYJjGjKqVkR0waz31HETHraCYMhCxuIN2iubRTa97yQ7FeaS1mcnY
OJt3TaK+p2WFS93Fk9sYPPDTqnTpvo1Xq9Tk2X9z6aw/2gh9H81WkiOwUAfd9dL+5nsruJW4fJLd
Oh5Kzg3iTkrwD9s+nU+liWVpnPFm2D5zd3Pu56uk7eeDn1NoxM3UYGDahSQ03C0hZ0oo+kLtU98e
TgJ+0LaajKtJ9Jx384wNsJ2mR2KU7t8Yc1Yj6c+3HghuTJ8gYvEzeKtz7jcfIWEtqQdf+4HQdcoR
xx8WyJO08F4tRncPMx74JIvzdp7b+GwK0f9g4tWftFjdeghujllm/MRGgeyBb+Nv7s0/e3MSSjLI
Yh9n6k/XlzZkQ5mKrERmIlQxigRKJoh2/M3LmHCl/3ARfHDO60+AR7v50+vUDIxlG9Z+wPhzzli+
XaqRRt0TiMzX2EyHQpABlijpT96F/aDuEzah4OjGJrvCs+Pf5rOXYZvhx1I7hLE6u8cLnoWLsZeJ
eKy7rH3+60tj/mxp5HktTMcRWCelh/bzk02zyZsFQYJ7b2gtHgoLMeatKxAH0zCrQQTG8tnPbiuR
VG/5gnrG/AeD+ZDH51nOaoeZYf5wUmgf/3pf/9P26/917abrQsxj/b83aT913bv+M1r5f/3N/4cr
93BVC4GrU4GuX29V3BfdP//hur8I37bWn6rFEM0z+cL/y6ZNgakkcMWPl+eQ5To2f6kFMRD/8x+W
/QsDDG5soOXyX3WT/w6xfMXl/3adAt7h4PrB3CpYK7DT/v5h0ZVseXTvDEGddv4DKY/5tqxSwIa2
n+hvhr/waxA+dsvfXKi7X1/gP2i0vquSsmv/+Q+TTsQ/vLLE72piNOeDY1X/6ZX7VmUkyfBiKImc
lWjbqd8La8QElgwm+MuezGm8TfTYv+Y0cOF6YAOfbT03B72BtCxUIPKag2mr7fwtbELcKjO6I4vr
DPnZ02zxRctIZQtTou2PowWJd/XwgcSFUkZkvK68+Zs9kqfuZl0GHE1deKnF9D5Xlv9ciLSI98zS
hi9zO7s17A1gK0mcM+fA+rUGC02rf4WJmxx4EA87ryiuJFPbYIwO88qLbZfyG71p27gDbbRUZrVr
mUajMZrXrR7TL36fuS+0ZDWBHRrptUYhIcfrSGYxRqTCJ2PIIWIukVGdZviSW2bMP9zKyQIKMAHU
pdapY/C0o+jqzot79zBMeFhYHZlFmOVzkiDVjTUCozlaDwPgiE3iW+DVmnILLnHtA6k4wvk2uW18
fh5HXqwQgoH12PMXdeMQ2USpNNbOIrYQ4PUm653iNKwWvrwSTrtr4xyHhq2DMswPZETRyNeFnBla
oJRut62zQP2I0aitsB1vefw2hChruM0hYkSYQ1TqKnrr4eb0W9LZdC5EqBLdmLj7DDsxg8AQtI4T
9ScQyOZBJrZzksJVHJqsZm+yazkDIFj3NDHAVQr4GPiXwJnCFE5zHRU0R2Uq8J0cDCbNSMEyaoOc
Dp3xaMFRzhzUkB+1OUTHXgpj5xrKuAEMUJ5M9vX385K32a6UFN4zVEo4c60HyU0K+TOFaxcX0Y5w
ofTXqheYJqMt2/fZhTy4rReb7x0FiSNBL72LOyfmN4qpi4/ORaLaelntMDWMx/4e5e0aibHKd6MW
CbFUTMwd7TaRkMYZub4+x0tRvRQY0LjWqYbGIpYOE5B2cIhvOcwZasNoTym4jqq6K5huWZBmHJq6
JBMyIAaQhmWbATmZTDu/znGGBpNJ0Iw2PTKihWNoRBXElh1J1sXaO4ZJIGxxYZEIbcfjpm3m4Ytl
cC6QUTxHZ9QbxJZGNO5b23kEJkOLSpjGJXKKPweuAAhjcRIgL8pVxyxoe6msE1tgKolicpNHOPny
scKIxqyWnSpnP2/FdNmzHG28NnVOnK0anv2ooQ2HlXJ8yNRk2VeRIfW49xxkzfM8gh6oGoRmBeLs
OcM+2QddYcpP/Euhf5C2hTHBbhtbWMQ9HOPeU914UH5DwxUAhgzR2NLoXg0WMfgyUHWJclHdnjTG
la4FDXz8z946UeLe94tTjry/Ao7ZYtyGcv5QUfatLeJrc0iDWhjygLxL5HWw8uMQ+/atkpBiG9lf
Jx3GEA8g5bXf4XZZzLUGUtR4M9mOHdO6uSnV0t6hV31QNkbitSKEF4IjPIrUJfHquhkIGj6ROxf1
ISpczkSh0QVwdD0Cj5O178h2fluUHg7EfdWNAENAR8McjtckwabPoggjXA6jlVz5OE1ibmDPCrdL
SZ3mRs+O+c1Nx+ScA9+8YiZzOxFSA9OEoc3eAZ9s1Y+mmgGubJhyyC1M/4LfpfEKApYIOtDiUpkO
abSZU2o59F982wRRESehtyObPSCCLD9qu+H50VZSUr5Thzvfmt3LYAO8l9lib/zJiPbj/2HvTJob
x9rs/F+8RwXmwWF7QYKzSIrUrA1CSmViHu/FcPHr/aD9fe7qju4Ie9+bjMqqUEkiiTu855znlHF6
qGVSPmoMqVGard5a6/UY3fFb5dbzgJWUwKzK5SGP6d+SWtlfGKyC8EeYqwnUS3X1sSdDcKgRUDJr
8vhkRdRQaEP87WOKDaHy+XvLn/jFHMJ5cF95NSgXxuxbJyeH9xGnC72BuMsYCo/5ZQFnrcc42vcF
zg7GP0dZJN65wat67F3nD7sTFvs6aHZFR1535fJJEQeoxzRqEICNN3B9ODamIjaqUFNt90MpB/H+
OO/0B8+tBHcoYJxik3QaBz0fef08JcM9JXP3JlNKjgo0td861HBw4NbUrgMemJ3TDv6wbxquu5th
GHxuHnmJloJ9aiDAT9ovqn441NoAkNvoWxU4f59EW7LMyrlKZFhLS58YWmPODBtOBwt9O+42eUNA
PE5n6Ma9/t1QNbh1SoGNh6HVyUuDcGE7a5jKSywbwpzAkWD54ObvWsYuLXvyVXbj+wY0g1Q+j7mJ
CSQyMvviCW+cNsrtzFUxjO2j8qtbBMeLGHEKjK8ptcdC2tFl0hbfHaY8ICJI3F0aGgwxQ7ON6baI
DyX2CvLzdnfKWnYmpxtWFkWg/ArJORj0n9abfinW98MoAEZijVeHdA6StYa0sDBlXGQHXMsmFrrG
LyZK8zpn5w8ETiMmq+GcgPGuaU44ZU78GlvYj7jS8QFYAPRjjHg7SlvAJtHm5F5ODeWLGT0pY7SB
A2IwU+/NB5jL0Hs0aeBj9dKfKV4AYv0gz4XgtprCEcCVDw9AidZcxSLqdg2zm5B3aISICFpGMLoI
h2l+iQrgw2ZZN5sSCwUwtSo61/5Q7xBRXoi5a8+MMbq9DAB6ctQArOx2cle7vrFjBfJPsYMZzc8x
DOg94R6nst09Na1kfbLgUWiKx7c07evE+66PhZBrsxsmrDW5C6UP1Nyu87E+WlZHJxwhNufEcQFw
BNBb0t+BQz8EEvujmzbIqQa+q01NgPwj8PTi7mFuPDFwy/+IyXEPGlvOAWPY+JY1ENB7c6qH7ejo
OGPsqa/ws+jRHz2ZsTw4CrO7LIArsM1GOyo4ITnXqZE8xhqQ83UeD/rRje1ph+vP+grwmjwwkJiu
9OHm40prKlgnUW+6Rwis9NENQwb+1ezTJ6Lszkn3B+OZpEX0uxARRvym8sud38VpzsJkRIdM6s4x
5qXW1/OUBZvY0tIjj4pIV3T8DfGuxv6N8880KG/AyMzoZ1ia4WCYJWYR/yC7ERgo3MCreRMqkKso
I8+m52b7NBEYcads3lW6Gt5tR5anvqWgZDVzfLgoGgS2puixRUpcy1BeE2t+hgGpfjN5L3lMwQLe
Oy8Y7kFSN0TDUhdMVRn165Gj/ZY7onj1Va1fIlBnx4SB506ZA9ybWcE7WfE5iN9Tu4XdW+rFyYHe
8zyMpb0fqnS4aYElOU260aOFhfxcGL4BTc333rUCBGALI/PdsqODwDa/cmV86fzMpR45BnODvAJN
1s9tzC5pAg+AFc9YueacYo6zcBt7XberNZMDzxil09pruVmseoEdZgX/hA9T7kTlJQq8ZMdYpV2Z
Q8WBEXQMKqw2HwihwLbyK+PFcochX9WdpCIzGt0YrJKZGY9sEexvfewNigWMxshS0AZdFEKEwVwF
W9cCs7GM/eAEgf3ziuALDoKxweWGyueT3zGHzN22bZP8cGiBPe02MgXjVKBs9ZOqEEoXyFY7iA8e
2vmuBYLTpjNB+ev4Joy0zcVQANCgrOO1S/fyI3YH8zIKfaCvyDKn9kZZbls8ae4Ye6FkLI/TjNlo
sI6MGP0a5/1ErJ2hGbtsL8mHuv6g7Zymzu6lPcbPU2OkZL8ZmgXM9DB4jXa86ztd3BqmnB8Ms+1n
+P4QpVRnBu/9HAcz3h363+JSS35wc2dHjWjeV2ubMgYplKa8HQ3pKZ0D6m9SGPOR8iPLR78jcKc6
g7Vipr2JA5sAfZI4so13cExYsjHS9G8ub/dXHnn2i0Nysnv2S9uVlwiPgoUZk2a+jSEobY3LrNss
aiHTCiemgyooMa+t0t5Q6aEx+BCGfaxFGed2qolkqUhhFDlPr60wdgAAH+JTDTOc3IXVNpe4w38V
jmib51ZrPFwSjWcq9NomJvXRW8xFxmTH5L55hU7Qf5lcidat3bT3zrFvqQa0ZipEiJfGPxFrtzDn
AjwrCH9+McIeP+MqyKCLOulrhr/h3UDao+soUPaHm6rpOMhRbYfAr6/mbLk34nsITkY8RXsb+lOr
mvzAiTp5mEx73Leip3edl/Br8OKB7nPNfcTZ221LjZCyrL1righwlK5JNHHos3tla/Y5YM6Uk+xi
vr9umxRakN/ipfcKFZ3qjiiR7XjROU78zz5OfrShnG59wwBtNbUdDTUWfVwr4Q7Bn95vcFMCgtva
phuHw2gmr50f9G9jxpODL1e+ZWQ/QvIz1rmCoHVMC7u85bX9J7YTjJmNDO4tx9lHeiPJgpG2+U2g
emYHHc19hZrzDFRNHudY1zfGLMdXaP40e2h5chGwGR/rubM2MG1EtSmNBmB5ZC/qbtwcXAxwt4EB
QGhBBEGrzcbmkXRm8d0q074lZSW3al6ien7dXQcQIIfaa996fYJKPvnQMtZpaeE+rAN/3TFUhqgl
56+EWNjKmHp9nZOnhhSRme9IEuaZ2sv8BB8yeE8JMnxGKWu+E3NOY1sd7tRqqk8oEdWlkvG8maEk
nEG45E+SUx6JgkK3tzM6+JFsYnOOBB/5QbDee03df6ZpV9GCI9MvhUMchTrgSk0Bj3f2PS5rKzgR
9u+UXSXEfuBj52FP8UdnWGeKO5YVLcU8SQbWZoheC98RR4f6zFeCBFxQE7fkJkhow29INJaJZTx6
xCSPkUeIXBto055UY54TBPM/9jiRJkn1ynxe4O4XvWTPQziMrB8/Jja17jscfXosAuaKSNx7jQ+a
sbGKATqFlHn/1gNMisNas5s3OTVtwL1rMp5oYWuevc4UXxkmtGnl5RSOhURkKljARfQ1Sh0aUhCz
vpA96txHWjJj3MFV7j7gFUR+LF2cy1uSItFXLEfuV06fWt+DW7mvtQk2ClBr/TWNRhMS7/DeIGTC
cS5l/RBzUgMAxtrBD5RRS1v5xTYdPPseaKzeBmSTPa+kuHaGGM7kvOQXWcDhZAxtuhImdWeihuuj
ektt50TUgHxZMOo4bd47T0+3cV5qd6eAXZehOa8Mb42BfKgJRdbVDz4Dd7oEWpw4e7ooxiUSSMyp
x6r7ik8PfmeTT+mfQbf9bdABTlboeWQI5zHG/wE76i3nDhmSl3H2ArQKJkY5xpwJ7IgLtZkIu9xy
CugeFEDADzNIjWcvq/gApcbMz6CJ+q7gSU8MguLq1S7h+OZpSxzMU9UXCRv1h2Qd6TNHYxmiEzWk
MAA9llqbnTul3/CNv4HmIuJ66quYHBXiKNHXo8ToAbtTXw5jrywy9aLIPenRSMyE2oBTnEmfd7PW
MO0XTggiGMw9xjl6DO8yFfaVkvXyQY9tepgtm6ANMLP84MiqOo125R7SSfFx0Bj6Heey6+uQhuhl
myq3uCjbMPAwvtf4aUGXzScwRv45pZEC1HrQ7Ywg0r9xL8ffGIUQ5vOqLvn6oj25ie6cB25Q6JKW
vGfKe1RzYmA8VSMtR0CmacSwsMdjPiNxENgEMq3u6pg0hzET+tDxcDershkNK8y1KrtyskNf1Vmv
zjByXaZdwknA/iQ2bdJ4cDHTTbPN/G2WoTUlxateeAVw6LFzbxwNCpuATx5docViWIBos5c2+eqs
sNLQEsT3/UjxXBZRgNhFMnQriV9gEepBrtods0SScGb01sYDVXldIz4yZennDE0MoEuisYDbg3Oz
0r49t3w3NOY2ekwM3TrrjVYxOAtq70T8lfBETX7ITJU4NVJvTqmd+nfXAPhbQUyKQ7PiOVVikFeG
a1BfHEtwpPG9Mt+01KmPq9lusk1sq1/B3M6hNGMLRJup/2hzjAs1mqMnl5Vp5Xo9rBz6x0xcrVCR
46yPt52jz9cFb7FLTLyJK3q3/DOhm+Y2a5g/V/3iaE40q9q79Th/TUPhEaSAa0vMjFVwqkXLvBE4
T8PwCmOe1ogrdwLz1U3AOIa6PnDmwphnCTYzWQ8rxHh8DLlB0NzUXmAJ06mrRnwjqoQ8qDeE1bKp
mG5eZBbrVvnagbql5qjVer2m9LX91EGdhai+pInLLGUxFnuu6yhRZXsd9JrSTkgZ7GUTGyl/dQ7S
9ssHoiHj1irYTsMqyQA1Kh9jIvhmnnEcggnRIBXt+rztDDYec7gYOMZfobsbr/5IxpaADLgsJlfQ
n+gAgbteVDn35DFtnnPBYXybOmJS4ewNWbXV6CKqT/D9TUayTY1eWjL8wKSax9pbldmELvUkY/bM
IZr6cRwX91klXXqqPTd9SrwZhwY1ngx7Z8fFF561af8n88p5h/nD/czN2b37U1AbW49S5XaTZa5b
bMnksm5lbULkoihcqIxYq6w75iCOyGOQkhLK/aB5620r+x407FnrwB91CAOCTs7jHNj2c2rP1Xtr
RYRlswrqF33gMcDHVtwIoQAWNJXpPzYjgzhrsMsr282HY6RNGPkiJ0QWBJ9abSXbRtFsliKrH4Vv
lq8ZhWRoX/7Ubns3MTeqMqAqK3ngVZg3xKCmC1hCD9diHdRPhPenUI/UTOmqC9ULeNKjpVxGDNno
Y8DpZ/Rr2Vr+D1MDl2avCnQ4EECkA22aNDvUvLHbM0OGBdXF9AKQk2WDYISqzrK0vU2f3NIGp20Y
00L2nMuoeojpXLBzF3ygWXjTOTLZCfaCbaZcpTRPf/tJJmo4UEBHV1NNB/eKqbNz8xvojqtmVEUQ
pp6C+iYtJrXhUPuYvy2rJumjINQXdiBvFpzQNwbn401ze2KhgQHcrrLFTorGerGAMF6tRtqb1NcI
UNSpqUJRONlV9KiYm3r03U9J39tHOrnFCZbh8NhpJvUpYKgSssH+hOpiGAV/JtTLXVTKKWstPW14
x4hHyZPL4XqbOBDv9SSdrpCIFxqznWNwzHkhbnXWzdo6bsz4JzISD7e+bRhPccSgF3eAXj5lqWdu
Ji3iAh24s8N2isOAHjcuUlNpOZeOLop7G9f63SS2f1WaA6RNRWn7MZNXo7Mha7nLt7571oWmM8ap
RFbtUwn+ltS4eUrbwIWRhxknwbHH/JNaewrvwZtHv2A4zl94GJmVYd7m7jnocHoJMCRUoSmLa9zc
DcUbnzZ6Eyucq5zpKzFdhW5Fvyi0XhY4HiLKJYo3D9X2YFHJdNbNyjsmCfWtcVuKE2s7G5AI9B9h
g0ELA7q8dmOjaS+ulja3ye2844Tp+cEe5XCYraT/I3o73bl8bFv8k4uTupXT9NvNojLsij7kDkFm
WuJE3lc2XSZwdyDzA/19olvAOVJQSj9drvqfKmuJrcyuwikP6XKf2ZQqgQAu2y+j0UWyiXuvvnNF
YvoNxBnMkeXfIBAXvwj+eU+z2fEHFt+tiIf2PZZUEHT0GyF3pJ7QKMnVCZLxGj5Vo5C/2IFKnxzU
GDxrs0ELUFV29MPib3jsS0/c6aOnZWZmbYHy3du0f+lSPpaWV5wagy8yqBZexZjnHl1iuM5KV2X/
OTNWWzbkwSRaL8Q2whUMFJbk6p1aeMx2SZCZzVNEA91typHYEg43D9if3BviVnUodCO5CxMqvplP
znoYWq4aNgzkrjMSCKJjdC0H5UJFq+MrT7f2PRkQBvnrewKNdYPzaPriyuxfgOfPj4qWqxa3e5kD
XiT24a/NLFBnF9PsE1VhWMnJh6yzBLR8KuCRYJdiZ2R0eZCCCM4Kiw25W1N3n62R3ytwPR4e1cjQ
LniuV50mxu3A9RWFpmfCoaVlRDVUJj+9pCa3jkugXNnW1N2pVWPD5lGG1e337HLDBBkOdgm5EUWl
0Ac5ye4BdfVX3eEmXDVSONckNr3z6Nb2bWKcQazGJwCxFIdKrrvIN7iQvSMBiz2rarQIuP4SWaw3
edebf5oqopBD6Iv70KgFtbWM3QnEUPmiyrXDEeHUa171Bi2XNFIZcGRJmHDmhjniRkRtqfGtNa/o
qZLcvVFvklbWe5Kpfqh70G0JBvuEYC3HZjeNMeOlUpafpMfFGe2w3xQukLtBVOIEcZtWBrb7D91L
lvhbX/jaOteH4NhHDgdZL0O3suaeGwyVMeNJYPfbmWVr0Q+TJYx7G+ercTAKEyqU2iHSaGS1mZGA
oGaOcZaTwyIXeG1D+kokT06F5mMFxvicepP9U49q+k45tj63U99DhMinZf2PlvL4ICNWOFvT9Nnm
6Je4A7n0MCLlaDLTuMRKlbEYD73vocOAZWGjyWVyHjVd/y4sxy83YxPha8W253NJC+hKqz39xC9F
rzB7MFU7DaYh5ciYnYt+tUMncMGHOIvBmWRRod5aPzfRbZJga5oNez62bLmJKK6L1nUELCEkVTKf
+xQGDkdUM6ePC/8dDMgS822uvF+BnqXM8nQUv1U+4a0l/dtE2soAuX1pyjQhxiEtmp1geiF6luAx
6bVze6t9CCZ6kNZ5bsd7yjDrYF26tvFSDB06ilnlp2kgdrSSkaYdGLKXVLBgu+RfjDx0NFyk5gua
rVWsRgRRnFKV4/y0Q1pdGhTUG5sXZ5eC7XIVOWztB6mXRh565jy9M282Nx1oyud4uV0BeZq3fUyk
cW2jD27GlK6nKS10OhQG8ydfYODkegLyMHmXrG0Sk9HWwUVA7W9QnuZSN44TnasXpaN4WxieQzzQ
NaGaztz4vmvwZIEb0rLxRlHvowXxiNu1wBhedUcVVcUBML+2kblBG5Rqh99G49AEzHHiQtiQ9WtW
fuh5OlbDoTHX0cA/zZkjk5XRC/1dxwN5EXGSnyleoKdd6olPCGIQAKwc+Z70zXzrhqF6qPPWR0aH
AAANuDwUoJ9+FQ0G77jxu4eyx1YYwVPo1k06AkMuxvkXpZDJPjYC79DN9bjnvM6YmDS5s/0vb1Al
UQqfVfP7f/63r58StSYVskt/yb+DGA2eUixl/7k3aP/Vqa/q6z/4mv/jCsL74yCF6ISAwL5BDMMM
9g9XkP2XDeGKRZ5vARNO5/v8qyvIh6AGyYQIj0WyB0/NP11B3l/uAoiDVofdbfkv/+t//Jr+e/y7
/ocbR/y7v//dneN4/94+ZxjwI43A4bvo/4EVjeU8MfOcSops0PwrwMiRnq+5Kre092bvsSv7DwIP
GCiosiJC00YmiyqjXz1vh303mMEhI7P6RPyCQ9YAWP61Jvn7bo6Vd0EfsF9ShxV/hLpxUCV3ijrV
LOoh4ulQ8efeLRd5lqQNk6vWkPZPPs3Ms0TbywupavPZ9rKUedcy+lLLEIz0bvFsoqGF/jIiq5Zh
GZsR8fBlgCaXURoPC4HwZbxWLoO2TvOjVy6N2TnLym26jON8+o05zrTBhiwnZ5xlbOd6HAednJ3C
yixio4UfYQlwWu4kbh3TwmBVu1Qwl7SnvAgtKAYb9GWOCbLz2K0ZxfWGH4RwVgDUkX5Tqas/2Msk
0UoS7Tgt00UWneHC8N/eDsvccZC6PNfLLDJbppKtaQsCSsLYeMu4skC+PdACCLK3AIpMbOsS9V1x
cVk5GND3wYfR2VzjtWrAvm4CEjbb/FosE1Fn8YDIrlGrYpmXoo9hfEgzsuwF4CozoUBJzl4BZ0Q6
x87WTYKUzZ+qkg1UBtm1KWf1HP6wnOJXOcTju0oi8RxEffQbM+dMntKnuwsDhUECQSFKpQe4zXgm
UivRP0qgnRwRuHk3K3/2ps9MtSOFpZGdPlb+ED0wlp1OgcY1vmtGn0DlPPtpWDPoCFVXYD3gM0KY
mYgMan/Tz5TiDn35x1ATfGu8WOQrkaf2nairB6u04aVMTvtUgBkI7bbU1yKlG2GCTst+Vh/pabHO
EF5Ahi+zcKiHxGOX+TjX8PS11rU4JOJ+N92sOWVMz/9QpeasMIWZE6DJlp6mLFbQb8zsJ2EaDy84
OqOec7ug5PFkss2H/UjP1oJfMAwMHctc3/MaJlnLsJ9DpUFBmFBHIOretcSpWmv5y5RUHFjHRTAA
/lJ9dYuIoLgK7OMUYaFbJAYG5RtzER1qTUBbsxYpYlxECUKOCsiGOx1b5pYfidW5/iZfhAxvkTTi
psgPVT6On+UieIwRdWoJA7eQvJp/Gq1WhGkA8M11bulktFzTEU+Cvhi+oGW3r85E0Ve3iCzNIrfM
PbLOSlnRMlRFTTrbOPMZ5VmLTCMw/nKCteOTldDfOXtdc3Um1GKyNc1bFDhkEpJS7/dmaxJo1cuG
kC14NrZIla0jYlR48ksjXuesDlfTcqa9nJKan1cvl55C0xhf3TL1jj0lu6RYtPocebJFmszMa0qL
zbmpemNDN1d3FIPXGQy9Mgf6A5aJc57EBNujAv8Q5wLjt09e4DdmjvZsGh7VgCPdqwY0BOpBCBo2
LTl6wZGMidr4knakhXfggPRiXTn498KAyC5mm8xtV5GVOafWouUk7KvBOXNDJEQKcWAL04Z1sPZQ
l8PGrnx/XWVQIKXlDSnNB5p/kb7R0mWBK/gDvCMmOnQZcAO50+HpU3gAubAWBF5hKuClPHboXA8Y
rBZZdjEtYPnpb5M2VD8CiOdEGUNsftqdA/yhgj3xMdU+wj8LIgFkr8o8dFT8Pt6HqmwJEkSz/Bfo
i84lb43xnQDdXB0JEFgu8IxaHRgqOBXmKt8yGAyl2jejEZMDndN4733ilP4mKPzuUW96/2yRrGTR
HiN0UwxgBRcIarm24OhVT/hLh9/H0EX7cJMJnxpwRnKUyhAT3DiX5POeWpymox5day/cf0GETZO0
pk1sGgydhDZm3U5VSOGr0XTqp9Qd4N2MBIwoqYaP9K13y/m77103IU/pmPKpSXTt5HVzuaUWXHYb
r09o/8haSN96TM8WsmvefwB0YB5UUuearcZ+tLFACIV1tNfAzOjCiXC5FcSuYqiqA12FuXFUWeEe
DEOS9RSUKvzpNLd6o+JI7JjcK2JPNkY1ztZtcU8pSn3raeI9F4H9p1Va9+Wkwd2eJnJvM8UV3gro
kLvtyYofe8LMn8ofiNvaeHg+7X8hAMawFQ66G9O4mjKM3sXG4N2j3J/9x3iZga+UXRpkqr1u3KIy
8QuglcpdXgTSXrmecsc1+l72QhHydOJ6H7/qdora3hc2gigxgHE1ut34mzQJxZtLBGztohlskmR0
zlo+kEyTtkH0h+Cfc9C0guceldh/b5zCfaa5DKNw6aELULvNB7BO7Frt5igaiF7FxktPWf05L3El
MoLn6rGp3IqqMg/KH+KmXx4hmS/UFloHUG+SQBzromjffDeDwrgIpc068ih3wJdsFdSW6tQR5hVv
nGYVNNLAhOAHRC0uflpss/AF22y+VNrAEyMjo3hj3NGfWEONL92Q6o3iVmq/K3ARq8ibM9beCjfa
yP+amWU99R8BX38Tg8UMP8mDcec5jvYByWGiVdnXX5Ao2fTwL++itApe43nSXvQmKG5c22NuAxib
ictBzQDQGHUrstTjbxZdeaVX0yCwliXydRhsJcM5tepPLa+bA9ZxDCvMcqwnJwXahGKRa99VKxVk
OlfvIIgE+FXx0vocFYJeFl/EhOcGk8yAyk5ui1lmltZdu8vMUseg1/VPNUHE317CIPvNoJHV5s45
evfMypJ4640ER7sho2ZK5nX+GCQGxZKS3gOxtmNnPEXQ8RmkZcltlEmKEdRnbtZxx6AepvjmvQJl
ynyugUaJ36keJPu7bcx3blugCHKrLgFJtQYPSN5U9U3zlqyw2Wr6a5Mx1F7Pve09DMnsUg4QeV4M
M6oLeto7TfJ9eU94KYxwHlx1isX5eHrQShjwJNF75E5g/QJwiCuue/IaIyu/IuW7N7zDQVg0Ke97
1lXikS6K+TxPBJ9o7LDFvUcduY9+hLqMzcbcup1BLeIYp+UhhdX/kFE42a5tdjg+GY7y9lrWG1uj
Nnos8UPOWGfW6czzjIRBY9ZlV8yPEIkhiZhfM4G9V60NKDkzXKFf3G7iFcEFhetZn3iFGrtJ98YU
+195Wli/MP7zY8WUAr1SDT3y+kIOCYkjx7+4fVLHVvTBK52p9S6ZsRMLTZoX7JLZuVAOuXTNKeYd
HVXOnp22wZXkGiUVldnCIqgzETxEweSfJlsShZxNT2Zhigfpcyxy7rhFJaw/RROUvyPaJY5OpMXf
szSVWsdiDh7MybokoHoOeKDZ5v/r0vj/dGkkBmJ6C9z4P783Xr5A/n9VP//m4vh/v+4f4H/nL/g2
XAJtnRiVS0zkn3fHwPprya2B2bZ0Lm+6BY3+n+B/9y+iHnZAjajJ0R2zwr/eHZ2/jEAHEu+itzlL
Muv/5/JoLu0Czd8yJb7u4M3HuB2YAZ9TUiX/NlPC8cvUSTWWB5VaalN5XzHWUYJ+XXlJbMVBv+i5
UGjlC3kON3TYY3etPhVfE94WqueEsZqEvyM3ifuoGR8rejapN/JfYrvk2eaMNK361FsKNUiv5vZw
Gzqn5DxgcXZr+uKJziFaAIOu2/uJ/ZENYm0K4E4Cag5uwk3C3XElh+jWc/QAqbDcWlmjIX5x/KaM
oxvgTnolDeNIR18etV67AT+eqE1cSH4wn1lSqEkZZYlWxpgcY/G+1/xxO4qBSrDM3wIuZLZb0N4S
tiXNzXTwYXPqtLAOxhtNlnvewZ+ROdfYlMxvqAgTJoATHJZdE68xK6772kRwoLtNSyLYvAiT844L
2lPKa3ut07LeDnhSdpOXvkxIHsyeH3qHFxNcivWQUT2yTq38Akp0RyuKwRmwPVtOL7hSwxNKJ8b4
ppov0asIyMGIlhkZ9vmjbSTFRWnyFRtmWLRMY+1Q4Rpu14Zf/ZH2gtJzM6CLBjYcd1Wp7LkN4kPS
lKAnMBmGQ9OsdJs9Xpuzvab6G7a/ASKXmF76dHYOFkWclHZSg5TXG9X0vDReG++xzSVP6Aj3xBq+
l1UXY6xdbKdpMYMCVbg6FqUuBWkSDnngRVSsZTsfv/Aa2KxzMINZPZMYuFv5Qp0zLLsPye5wvisi
NjQhZLOTWhZfJ/cclM6LpWcS9KdLl1VHIJ/g9Zm0xTXJ8DPn7ltcqEuxCL2yn2wW2A6JTxyQxAle
xG9jDAaU8b4C9s5bJS7EGP7k1ZPeFg37QmDtHa+BJMOVYCONDVrNWl9cmG1A82Y0zRQ3me1FDfoD
I/Vhpbxq5fv+tm4VYqr+EpWvFGEjDCalFqIa8b2zQ4svvSOK+wI4jSY/BQoDkdQU2yqpxLr0R2PX
RpyrHePLxjRzmo3gT5EFZ4vkuq2XRy9qHy0JBwysXp2b9w73xMfQ6XwNeaWNjdj7FLjVtoq4pyDU
ehyzyk67zvQFPRrjLLdpYOCrgwT/q7Hb/iS7PJVroRz3seDAcmR8j7fV7vwvp2sTLo20umlG4BOZ
hdZacLV7y0h6DmvUnRQ0JfS2JANpo+iafxbeBHCBKMHBIsP9oXLkUkYD9WOC+eDgoVN/5ipCo7LJ
u1AQn3ONq9xTgnR2aoLU3RruOG6lYcQH1JTpXCIvP2PJmp79puyPmd6UL2WnxBY3W0fUuQm6LxkN
lNsSIL/YY+DQy203D5C7x5vRV9bFMeYeF25nfBhZ0W88ToRbzGbuqcVFdugwP1/B+iW/LdzLMDRK
1f00VIXChxh41RHaqbpvgvEBEr88FZHP/R+ngP7o+5N+H62hvRiRaTyUeZ28KN6scwvn+oGPivdg
cdd6KO2abp+mS7lulQ1uwcIsLgG/IGdKqW60pSHz/W2X+ccI8O8jP0tfVuV/XbWpLCCbyEiRXcB3
GU3+S8HK32LDeS692hJzfPDpj7s0dlcPh0wM4tJaVRX2kL25JnBIwW/ahwZ5bmz/KBkYieONLfsX
dxDalsMCZaRehl9agt8LSc/oWxRaWsLsNP6QzIqIHVCjBAxEz07M9i9e5JJOaYP5sVm6Je3IL86K
MskVn6QXzjlkVOh72YtpKEncCShFynnuOs5ffT+WV7ePfTJwMIuem3E0NdJeCvVeeDNGtaTif0x5
VRKApfQatatmiIZMgph97PDIJbCEIhvsipHAmG8HVDBnNqqFF+B/4JU5CuDNW+gA996jmymVzLUs
l7YKRRuA9Bgd61zF0pIJvxXbe1Uakp/KujeTXMq0nqLO89cNbWJMhZBsC+zPM0VXm9wgCUSP5QwA
MVNrIylPYraHU9TVD17K45+mytkOIt4uvRKEMTgPl7iLVy2251/J4IxHmmSgbcWQhOk/cS61ItHU
4gvYekme3ZsZz2cDuuZCS7O3C6KSj9Ls8amadQaQYwPRlK5oAdZUC849jbAviR6bD0CU20vuBPq9
Nlz9ES6XaazpeZQn3uvpgUBgeh51GZwNFw7nyh8T8ePF1WCvcGwkv8uirtZTF03/m70z2Y4bybLt
r+QPIBZggKEZPneHd3Q66RRJUZpg0SkRjaHvga+vDUZkpqTIiqiavFFNcmWuFL0DYHbt3nP2gY7N
kzItz4y7PD1ieY6YjBhfsEF0qNOpL5FijZeyipmJg267nSLSpNBoIbPBO/haYbZCfu1ZzVYtT7C3
PMvMM8fHwFH5I26g8VYa7D5lbw5bNOX2Nl5WhGke7JsS59u6r/LlPqjcT+6yhsTLajIv68q8rDDW
stbIZdVpl/WHFlX4GC9rEkIk/aBcIz7loc2SNbZ19rl25w6Uc+YdSnR8NxDYiHxtbfc1SeH3Mzcr
j7qtnHsmoiyMHv/6hgLEfrMdN9rRW2yZ98b2Pf9au+uqkHB7vFQQ7G3a3GAEGLbqQe0C1Jk9KhTF
WKDZup4iRUJIZ8kyiwnw2TCqtLO1gbht2mdWlPXn3EnctS4rYitnx2vmjfBG6e0ZtAeEYs9NWH4W
nlMz3JOqZJZHvFi7L0ICGE4i1UPCYxlbosZvaaWiBs3RhNHn9XLcDmCWVm6E348W11iFfjZL5Jwj
iSv6urbsbAltSYqdW7Vkp+LHvHXDUdKDcqDkeWbj1wldvAZQrFqbc5Dpu8rGLuprHLgGKEuFB5Sv
DK5mbzOsd72UBlrtEPbpdxnplETfzkSsOSybL3OaxnS0aY0uQceAkbjFjMo41bDiHhS6wor4GGRf
NIiYTpCf0dAtaEW+b6SrbxOnfWr7k40lE+aofusgZLqF76OvRKsFa2pUHAg1Kea6wyjXCCYoNWQi
bjDeYPmznGGl98nXkibAFtTcm5FzPsRcDDcRdU6AlORctDyjdlNfY+eaVpp3nAScdHouxHu0bAMm
qngUE/qO8f6F5JaHpHCwUqXuvREMwT7KHFCUZIH7XWU5N61NogFBa9k6jk3wmdoDbDb2vNgwTxr7
v6/P5Vva0PDiGoVI4EpzVUfDPdv502yU8bu0huhA37hHu1zMN4miwzcORftMa2faJEBi39F/cQ/C
dMXg2NStDlPQi53w/8553/8n5zxU2CbwlR824M1r+/qP3//2/JoxWNwVP40G//UXfwwHrd+EZ0ud
tBGPrqdn/xsZYP5mS9OCafH7Ic4EUPDHAc8g9I1RIhNAh0fatE3QJn8MBw3rNxfWBk080zJ4OQKY
fpkG/tV0kPPqD4WCYy0fTF/QBLTpKRM+CokfCgXhwLuT6TD4kNKwXZLKuEW7ItaGQV9By5Lxb9LL
fgUF/P5+vKGUkFmYfv58nExDE7NBighpthrU61b43s8cqqaB49sP1+A/FEGckv/83VgTyFvxLFM6
Uufn/ZGdwhQACgAtT58pq+KhlEiKGKYYBFCI8lYFYX/b0YHBENliW6tq7xuZiP09dGpFP8piAak0
WsP6hPSL2VwD4kR5Yf3ZSlFMrVATyrNth8ax00VzBRIgA/x+VEC4UF0GjSiqR06FZvFdCzpzZbvK
eMzcmphI02GsdtNatX4fp6IJqWFmRB6JY31v7ahgdEVY+dpt4D53oxZ9hy4NGDR3mO4E6XzvVQJB
VVtNmHgYP9HXbvtLYs/aTUVUYL/HqIxCWUWgnFedEwSfXXdpmYmI4RSOj5S1IXQnB1pZiHsFe3sN
3CtNUC123sA20lg1AwHGGfV7lmj10WnsgxNyPxh9h4LCyU/5ZD/mhP/BUUhMeHFYx25iIfN7gCyn
EQ2RbwVY5xZ5vpZFYGl1cUmQlO7ypVQZUeBAL4hWVVlX9IA1lPMRKGK9Q7kRgJhepYaXRijWoeTG
SiLp0kZ11KbmJfY4ZmajpTjKxnDRmbasqLTPbZ4kW7iDiGjhwJjGiD5a86gHMYSpUFzIwcZGoD0g
7ACJAxHMNsZo5zoolwD6HkRl9GuFTGcd1BxOdSN8zxPaHLJL+C9wvB19KPbUj94a5XMOGKthmmzx
5sLOMHi6+oW0a/JDi5pHhyBIUHe3WU7UJnad6xBwqxtN6nIw0nbxoF8KVW/c5RfF6e5tAiv61BpE
k+ij+Ca74GQoBwdUkpLxk+1QxboYvkPkcI2JzxY3cpEZ37ARbk2lV+sMuDiH4Hcdg4tP7+NF8j/A
fZ1NM3lXXnzKWlz+pULQ3AfVqo+qTyHkMk0SRzT1N1GgdkiVToT0xn7pTdx36EWhLQZVFZ4S0xr0
TQKZ7q5q5TkmED3vk5LmuoV8e0jxhaJy7IC7oV2ztwpz66omvw/fAXUHFivPRzqMUd5FQhPTh19B
UDiLKQrPZjBeGTl/HkNh+1IM9JWx/5IVoz0GZniCrIBtE58iAQhLrodTgDpfrFF2CONNFTu7Fi9K
9/gCgQsigbdLh5iGA6f8HCpIapuYQKBLQWjG5Kvz1jYnClyPbb9BgTUsUzvsSRO2PeRhKw2P4SrI
eFAVtsDHVmv6Ff6gR4TRI1V5dupzroOll1csFYX/sVb9H5Xn75Q3NkGCmEXZ3f77Lurjd3qo4a/6
m3//5R9kHuM3k/6pCdia10NrwpH4X2QehsqO5Qo2zYXDw570z23W+w2alOPREpCCVXCRAf1zm2UH
NiVZkfj+6I1L2/7fbLO84p82I2ka7HuOQduWTf+XjS9WbtyYCTSZRscLayTxPmtHQKyh7Laelg3f
E3di9EVJsO+KbFo7eBu3PV0TrJsQYrwiyXUfCIBO78wY5KWxh3ZrzEF+aInqIxVLjZy+Q/vWdEPn
oGEr2bZuIL/VIii27ETYrTkatVeOy3pzC+wbvGA9xvaLLY3ouUVLfFsV4Co2AGnjAIac7t5gnHEP
8TAQSzSG0kv32LiZStI0W3edhYwVkMZbEM81Sn73xlVD/2IjvIY1XbKC8HPEM6Y5bB9oF+Jtpc0g
fzLU5jj6i+QpzxwLZldlD4A7U2To+CrQ4K0h+Gd3CDQtVLmWUXLw1+jqdIEb57tRd+QT5NH+i6e7
M4ZKJ24PpZcEj8tpkmhrOkoQGjidnMk5x09CW9hGthGZ8R2suv65XrYt1LGxDr0N/2s/TGdjMvp9
bDTDW6Fn2VeGkDj0GyzHd61i+90Medqvp9SQ4GkH89SSKfAYKUd/0YocOioLDfLOqicWLAhzvzbD
8Js7USOQWzUuHzw1t6Xis3cRJI7CrfdFJ4qTnsa0wrnM+ZUFVB4IW+TwBtJU8CGRca105BY7pSfG
nci8AHG+M02boEjCFHGT2a5DFJU7YbsF42KjJv4GWVLfDEfSQHVfdGgxVuEQPXRjrK2GJOzpxFfo
bDJNYliOaSW8kh6YHAcc5dC3L12CN8gt8ZzRc/OpEpxNVHvAC5pio1Bz47+u7b2jZfFzySK6YUpa
3Riwbh4wqGQ0LsfqjoYUpoAMcoXWDuZd5CndT10cinaX6Tdc0eAgtKZCfab0r9U8z0dcWsiWzTy5
nRJu1LoYnCv+qnGrm2NzUIWI9lnuPlbkfg5eXXDWJJEciwSmcq8un0qzCLZh51qvsbEA/HTioThR
F1uMMFQwdfNZ18svWYT3FjkIHdqqp03eA3DOuza3fIcT+icoIft6TO5L2iMoII42ZBYHm6DK02HV
jZDbq67s9vQXaFfrQihnVeIJeeQ5cG4bI7MfPMV8Y69jbTymEeFmjaO7jxZiIbUpTMN0d/yjGEbV
uKBAY/RPnwTEnT0tAXnW+fkwk7Twc4TrxVSeJuVmVtjWc07U1xlFhrk36gpQPwjpgBH3EL/rPb6w
emByvZrGAKVEmoXLQ+l6j05ukHvRxiwUIYPmAduOPd3TsYsuVsVUwUkCLP2gg8P7klaA2ExtGD+M
rss5e5gWKrpn918W2Ps5jq3hOOk5UpLQxGtBt3PmlVByp31nPHhkve1d+NLeKihl/4jJVDzhGxj2
9jBOVy+NM7QEoqj3CK+sK/d3/B7ZvckYmnQTopImEb0aQUrcTTW6cLeDCGJNYlW5P+nYZ5jiZGaF
2zCpdlCC0FhDe452JdXtHX0x87HP6OoFtRSfVIaEoNYqwYdE3XwfYUrPKL4qw9frltiBTu/Cu3lI
DOZLIfDMIW5PLbOOt4RbmKsamOK5KZr2lCqiJQKo2QQfgQijZ+ye8zxj9JDWU4483Az0Gzsojb1X
0TySIINOBhIWqikpF7eFZhiPhOQsYZx2qvk8v87ZUW12gUyhP1hixAZW0nGLjiXdvKcwzXRz3UEn
fhvmYkY+BXXB0cukWteyWtude0yqiZaQmxRVC12nr0kGKxSNyqFqfIWS7EhqVLQfvPysJ3WL6luT
2qY0x2QVea2xH10juxCMOqwlDy42K2Jdav5jxTAgJ56ekTCUz2ZtxN4dcrnwVsG1f1Mw426B5ait
IeAJVJxbbkI7E3unlfpVzXD/+16OdKGgekVIPBcdCtdQhDaz6kphlUu6NWtRfoP1KZnXhewG38my
K5Vw4aeGVu9NbKaftaja2m73mSAFJjsqjw6GsnEaCA4Aieq/EXv2PYE079tgTlD/G7STCszEKRlv
sWZVO9lJEgKM+E5oFvL0wNYuhpY7e4RW+QGt1VEPa2mvCnvU/TbVppeJNL8FZRPWFxHA7NuEoVb6
tSU2c56SZeGM20z2jHGi8iXVJ3FIy5bEgDq+Jlo/pEfBkd6kr9SpDam/g7fSITdt28DqH4zeSm7H
Xiu3Li26cy3EjePKr91Y7q08Q2faYJ5rxqYjzWs0zm4hToYFT5gTBWe0lU0CCWIoj1y7wumSG2Ei
L1s1Ja5AmnUBPrFI5792hZXtKjM51oqB/5ohW4XlMNIJ0DJcfC005YcSSmz6mk0papzU7r6Yacnx
iEwixhlT25MGhI10nZta9VC1gL5pprop3XmXOqEfu5sswlO9FVmNdHIC64Q1w/zOUaKPfbZ4zmRW
2UYUM1qYrkvAST14+YZ9IBYN0r5J4PpYz2liv+VF0905djvcgRJnEJJzDnIGNjEiXydydcRtUbh3
fC38+aFkCmliWDHXgdcOxZqe2vgcBNE3qNDDF1yQpB20tzJyu61qquSVBbF6iG1sIFg8MxOqHTbr
nB4d0dAc+yCEz1/IriegyEnHY2ISXrjCjwxMcIBSTaTtQAtRyWsjVPA15I1XodGOPjEq9irLNGdb
m2X9VDh9vg/t1E9JZzzaddbdkwAdPiuZlTtCKuS7qTvEnfRWuUUGIpkCpnkW71MsH/sh95agjLIu
Xb48JF0Aw/k9e8Cw61LVn8lgn4+Cguw5nh11HMEhHytoLOiPK/1QZrJlQ3Lkae5zLBCuiN1DVPNb
4fie30Ql9b0bts2GFM5g22SMPTaZgQ82kjuMyk+gyohOlPHGkUO1Lpmqi0ZuOM4GnPPyqiO2jF7+
UDP+YoApC25FNdo+didOTgxdsnbINpatbWwxXTSzMo9FMVgHVU5yj9OpeJWsZ+vGoqSQTcYREszs
Flt1wQ4jFtmO617oTBinMKiGbVY2wW0+IL2Lp0BsyzRnzBrACIhNcQ777kaI6d0wGmJZerYpUkuo
9r91aeNbs5ywnVJqnT2wFluQxdVNO4dErs5Q7ZuBXcWrjf6xRfD8NFm0m8d4BExkjGc9xP9CQ73Z
kJydbBgXkfQEAYrTMri9ySq9rclSFq0xcX7hj/pTnDnzlTHB6AeJnmxRZeYnnTCLz/zebrmy8G2q
dVnGzraMlOXLUNf25KNGDGcd51L27OVBV+o3EVGbdzT9GcTjv77QI3RPGTB5dFLgXxBEKHnPE+ox
Ii6j+sQ5JLsg9pTfZ30M1xaO1DtzFAaRVVBUEIbL714UeLc2M15aAlH8yayr6kbqtjUggsxjZl9Z
e8uymR6qmYDipnLewo4QP2Si6Sa0ku6M7s/9Yllt6+dJjtmeiCtk3pOZlLcl8gAq/9gE3ZYx51+h
cZ9YPdA9oYnL6a8U3d6rHRhQ0pkegiRhRoHR7FjEToAGBNqROarpeTCb/G7MopfCdoJ7PSjVFyR6
1Z5wk5hDvLkza2rwCQMloxDb8LOaZMUJf9m5Rtibrsog9EvqJj/XWZw7z47p+Sj5mXDsgp/ZxW8M
a4mUnRnHXx7Lr2RVqKPB5IogpcY6ucg4sR2FXUeSaxxGl1BAqc46u/NFOY9vwZQuLXj2vcAVvDOm
+m2DUvw0IlvDe1092SjiP7sk7+AWtvVNR0FU18ikQ4RZqDIORobApadXyI6KBhZtHB53JBkECmuY
3UGAccxCoFIOb3E8dI+KgdcxgW7Cbd33B1MaxtEhe8kHpK+ToquC/YBfyNNR15VVmhyc9NvQ6963
EGfxIVlCqyhh0cQPaf02adF0k/Z22KysOIUnOBTaLsgG3Xfxn2LqGPj5rMG606SLajNS9f3QEXjC
jL1EUlst6CSDcbBglBCLhJag0VBOVJ62b52pvSXhKFqPYTxh0Ywb6oUkfVWGN/NVytTPmLq+cRgT
h15iJUwCjcBir62eNG0G4NDPTrkigcL4ArtU+5oR0r7FyFvu5bgoGkn0LBGwjRmHHlTS97WbQVTr
oY+6qmAk7Hlq65YTVAVvKGz4NFUfr8uG64XtRb1MRMNwZw32ovHEJxd0t6aGaR9LFSxVbJtL9B12
j3e8JnSfvNNI+Pc6YFg29jl6F0Y7lKf6EYe37mdO9r0axv0Qeo9u5/IyRh/fx2yJK8XwbA9iBPar
VVeH3izgFPItv1R60b/OvVH7Ho1eYjaEdyqmInjTqJkQtHR5t0bABPUZrJlP3pNza85pebJbK/vi
uEFHbSTlAVZ7tetMhLcr5nEaubwi1skEkmO9Ihx2PFV5zhJfxbC1hRkxJh9gmFLqE0ob1In7RmY9
g/agkaj208D56tma7SCcddVzSYm0NPK8czvM6QtOkniHtyPeIxgbX+08ytg7CJm6h2UAjMjK50uo
af1RyXm8aE1DIw5ID1EoHi7vQDnzYaZT8eBlKC1CXNw03obypWR/Y4lvzIMzWZlPGnp967YCuXHV
lrbfkS4BA6YqLq1sbQgkRV9/R3HTP2oQPZ1V01vNrS0L2x+6CZupgifANNkkaaoR77HKvaOFH5sE
EEZ69y5ht2T3mfEzC0e76IW7aEOkYXc7OrM41oEQW22ashdkU1Su2F7ucx73VdSmxTmoe3lO6xq9
0dyQuldEREtgXRHNvXLa8o7iOilXZlhM+zoRLDUVm+hDWDAPAIEm00NpZy5cibn+lJTUsIx1VbYn
wNvaeJxiTmR64ytGgvlk60REFSZJaFOjwmcrAe4Y1AEcLmLikwNZzBirmmE+ZpRnx6qah5eebJdH
jyr00glcWbDEzOdMjPHR643kGjodexF5nGc5SyaDqtTDU20lxm3e9GA5EWevMJDIg172Y7UC+yGK
NcBn+dpbWlSuPGXqryhJFYA5Zx4/W6p36LUkXkPjobV0Zqhe0d1oM34ks3A57VbgZ7aTo8pb9vHy
SzQG5XPvVNKfS4uDgYvmAHpxcWciQXmyHeUcXXwJK8yYEpKXyM6ymiixErKQkYIncf9iOC2yQD3B
1miNYlc3BkMIMSj7y2wEGkUDiJUWfuONpiRVZ5zQstU6i5iKKkjuk8YmyW9yX8uBDkiUaNj7xxja
DmdwvoexFhVBNoAW7cBldVX4jGGYLr0HAw3P3mg9A0xVmj2ZqV4dC9V0vZ9DQbhqFueLETwwE3Fl
k97paFXW0rMqSSOOYUjyrSlvNXv8FAdJegsykQ8rgOAu1rj4//NwdWk0vxWcEdnNWsZ/fzSel0nl
T//D/5h4XoiGmx6+w4to/zk5XP7l//T//GP2+TetXQcJk2H9ZWP3/+XfXrPX/B8oZP9xjt+KKwD2
Q7MIZpsfFbP/eqU/BLPmb57UmR0yrTSXOIB/mS098Rt1qYmUFl+ls6DI/93oZdTqsBhDBrQsRxdL
zsIfjV77N6Y8jFrpzAIR4l8Y/5tGr/ELgx3tPo5dPpnBJ0M7y6v9NHRsmqqxi3isd9GA3j6R2TUH
9uizKlBPBTX+vDl9Bz4O5MFTV0gZ0HIKDT4cJ4MpLsxV5+YNIDfcEcEQP/cFE5kfuuf/YTBq/DIX
XT6iu9hLmfjyizBK/vkjAgFiKKzCeudmCLjIsRI+nUBzNUUeRrXqFdvD2W5I7g0FFQ0pxn8zmf1v
PoBlEufAJUTb/PMHEMoo3cHi0BmEfABzRlZZGqmJfzHg4I+7uiPUELlQe+xQsq4Sg8/x17/BL934
j5/Appw2LIpj2v6/dOMbKybIJEurXd3hDWAK/0jj7xxX+e9xCz+ZcX9U4lnLC/1biAdvit8aDR5v
Q4AMSu5fvqo9B4QTT0W1y4u+2LdhC/q5LV+KKvO27NHonm0CPCu7MWlFE0FKyDL6s1FcZG7Qq0Ux
4puaGbw25ML6NSnp6GKZVS7PBeK4sT50OdacGq6Qr5VMqjDyO760ke7WcGp9pwwZ6HfivtKilPuP
H3Kq7C8k/hz0umEgGVfBMcwZZGoCRR2M9+h2QnoyWIunb34soH9trXEYz2Oj3g1zVn7Tp1f03i7i
7eA8u973PsoezNn5/NdXaBnO//zD8Ujorq4bzDQsy12u4A/CBGfO9TSMq3InzcD1YZF9SYJgAy2Y
ek6IeM2ZzAN92Xvbv37fD0H7z29sSROhhgv95WMZ+fmNMW86dEpcNMkQ8X1yEqnG3bndoxkQG+QL
GCuduV8z6ZU3iEXBczUMRB0XOKlHuBhJieG2c+m1SIdn6gNE4AWgIYpqmHaoZ0kzQLtJ2qeWC/9v
Prv4049GCoNLl5272kNu9sttraOwY94SpTuc5fmm0qS8AUmwmF0IrR06sCBOm+5arEBnpsrUtcZh
UOGxA3LF7NNG478sQNa4Ja3cdmwY1k3HuZqqcONMfBubGmw9mvPbX3/uP19ri+IT8wOpFYziPHaN
H691K2JNh/Wd7gatNnEdsShgF1e//9C1zYkBr7i3mIXF3z2f/+EHo12HW4sxl45S9ud37kQWDJ1X
pzvOIOW6X87VaP6azV9/v189FLYOBEAgkXZ1vhwLzs/vkqdlRp8tTXdw1fOdU1eKmjW6/vWbuNaf
13ULrwGWDxRFDBl/HTFi0CIpOunTXSHS98AJ6nRlN8zFw9xsADzxkHvawN7SL4d/Y1bHTKbvRmjN
F+pOX+YU1SQremvD6sGAtGSxRwBB9ylYu60CA0vhDUKGluSjZmvTVredsxinmglh5zL/R5nRg0vb
aubQ+ji5wG4UcqePrG/SYNS5nDD9IuafNZE0Tgh3cszXqY6fnr+3Kjqd04wMiNGEu6ogeO0/NEml
iL1t3mGKRPhrbYVonsfWbVaiHJJV0CbXbI6vMjEvWTkHR6I8ADmjfKhFh2Kji+jOevleGz2d7Frd
26ZF/F6HSAY6cjsx6KHm4GTHDWdwf+chDKu+TK/koZI9osKnai7nbZ96jxE3B1MtQEWOecljDstD
BE/EFO0LgClvPSyrN+lEzedyRFphaUByxjEXa4UIGopbYr0aNAbA3Tn0xlEqNOHoLj0+wZgwreib
yq95TYRz2GXioS8Giod4ZiOebQ3KXPJOPCtxXWHrwnzm84Zt+1AL9R2UDchDoiDCYejXPbY4LK8l
gwE2kA3AxJaJK55xOgsbK6i9tReZ7gbPT7DuLEIdWcsgH8v4alpcDlnZWHwbduB0aglAsLKTTMtP
ieE9VtDteAzrdqMCZLAUP8SWdL1FB5dLkzf1A9NeHZtjd0eBsQuc/Mo5rUa7WCI0cmjheWOIzmhi
sSTP01676YJpTt9zD468XfU3FROGOVPvCGy83dhMDQ0rvmgzZJLJ0y25frQ/897dCN05q4BmqFGx
B5DKjMymq/RNUHKfF8uWORXUV8rgraZevSNz4o7lyk5O+C4Nxj3oZuRzr0hzzTH7rYSVNZsxCN/B
WXITRKzWejy4Gy0q6Akh3sE1CoR6zq50etK7Dp3B2oal8akR6XZOoqtt6sU+mvSayZDDKDrlO1Ke
nuwEwdTHhaEyODcg3VGLs3l83LvTwG2jgzYmgI+s1TKKr26wEH1C82K6qbdrp/TqolddKe5wo+XR
+Lhx65nPHTAihWwEmTmzQYO7j8hcp1VE/sXvj0DGHWYY5gUaSgNKlOLTskryskcuVocSYQVdFMFw
xqnSjbiD4IfQFNV5XMquQE0r+ug0MJr0MZrSgXG5aVHGXj8+OB+XKqYDxJ1o7Gmex/cWdL8+Ix/z
tl2rs16XI4+aE5W3hedVIDi4dg4NIH+unINhj3ymDHtx3HrJOhn7UzEA206IetmOND1XGQuY1iwL
lsOkATLZhVtX/X6BM11eRFq9FCXPlT0m7wz7GUBWyfVjuYD2+96ObGNkRHirPAl5gwZVUruIt0ob
i1cN337VDfyIHAaoh2bqKapkCB/S2LtSJKe0cNVGVaxKLFTEuM/li2Ri/7E7kaBNvznkF4AFExyZ
bL5PehDci6TYZhRJ69ieLb9ucnLoR7FhPf2WpywmpuDOzSm6sDDFT9iYWPI0XrdnrVV2wQ+C/7h2
0mtLfbUsZ/B+WfJS+/yxKHWS5YWz3wvaQjbGzj4L+mP7KpUXzju48w0eFdtNrpMWo7f7sFj1XNyP
0wQkyX5peGr+su3YhXP++IbDpN6XR6KK5WXZChxbXNqSD/ZxDUrhneNMY16SYy1Sw8kNE4m4bblt
AO2TEyMzvzDqFx2VxknWiM3KMCUjg1ulhq//+0rnWiwmzGsei4k+gcUowGc1Ge4ad2phCPL8JjyZ
JKrP/JVraXvmr8ERPx7qdGJ513IuTszx9I0EHrkaad8eP1bieFwKMTskyiFGbsYejyRwdh+dtAS9
wF/YfBJ33DaLGM1tuABd3JXbuOiwgKgsPhcefClXQp7ymgUipaP7+9hXTMWHok/Aowo8wyDRniDx
iVQnYG9q4odc7jCEMRTIJWU6Kw32PS7VUHDT1R4LT1pyW2WLTM6FErUzPQqK5epiMX6JsSiuHKab
eJ+NfFeFvGBFp3L7sf7iQMQaD15ilyvDXGleUeyrBNjrssfVHm+Ay2WRJfIAObM62UR+rARmtTXx
nXC1lnKYbKN0meioWy1Ipyc9qoq9k/F0mxHFlT6q68e9krfZNXGj93zGhKEnWLRxe5GwwE+97DaB
x7qoWh4B5imKPputNvQYAdUsiUQWnrGVBKS46lDrb50eP53FgPQ8LNQuaSz1uSTGoKqiPaGcbHhT
W51ZJSuwtiBvrAE5YCMzm8zACGq8MXtgvwfoloUXgDmFclA0wzSgCGC+VZdzeI3ol+PrNKx42xtM
LFr0VDtiBig1YDdDcX4JwNTh7KqyN81T8ydSgMobZi3jJizbT1BMwx3nnJiupGG8IH+CGZtNORUx
oN+oM4KNac76PkyrrZw5JvVFuJQGZQ+vTUbOvdHRqSZeVaytAbKamqri4C4HOBVRJ1dzfTbBb24d
a0Qx7IXXTkvHTeLgvu9VYK7FMON9GfT5BuAztsGcxX455hVOqTYRDqIN23uzlXKIMK1k1TmGZr0Z
UaGC+kpRs4LoXzcAKWBLhBY1StVzQEPmm0/8YnjhviczBVvbM2s0qjzdM3ZpfeFYpL5XL6mXOSsP
BtmqN+2BsB4IvGRyNbvSIMonRt/J2ye8WMuLLWi1VTQv6UmG0W3rTh6RRX/FxTV8V22NIKdyA6gI
hLFxgHornUU8Pr11I8Uz3isWLQAOa8JNCBxmtLzmbqhXicpjRLc6okpIbmSWitheidjEko8+2GyY
XvShtaF4vteIiCAFmTJR77YhPS/fDbmmYXSr4dbEb8Zksh+eDH041nbqQrZksO552vfS5uZz4OP5
YjQgOXbaq2xZdZPKMA/tbF0IoRaMJHWUItCkcmBzjIm7ZlPHhravmK1vmjHjqV1OPjM0ETyiLEtx
F78bOAa3EXooJtKsNEUeTU9ma1XLFZ5pTbMDoWUI3odEK9bCcNNnZqvWjTXrL71gqdCM5oVcNUoq
VdVvIYxdlre882fbAetRUARHiLO2g6Ji0jnDwX7QYBN9rOOWpk6LwJdIIoQqhmx9UqbJNC1r/mo5
0UuP4s4xeUzxSBLuqhsXc3SB/+axWtcZ9y3ah1XFgXlnDcMV+RP97Ly/RC53TODBdYAvxaLJVrB8
zkXNbNB92DW2wbGQ3XrlUWZ3RnRVsnjRVUeNLPVLQ6gK3AW82xjHxuOHYyDGd0OAT3iPdOpUTsZX
DpDVVmdUdNPoon7qNPUF0so5bJ1dJSbvONQsamJI1G0CTdgnKAO9g9dSXS/L6dwCfFAdO17vElY+
SPcRNfG1nLITBcZ4D3mqpgo0gTVR12BSPSGstDk3khnSLhBLiIWfPDEQE4exoRUp3zWubXyiSXSP
ga38gudPJw53bv1FdJ1a3GEl2pTFA15QYPGbZikK6Mhy3GdkajWxZfHwmIG9WLU1t5tYmldwz/Gu
Y2AnCclkKkOdo6poPGtkW3Qr21sW6YzTSt+X1N4NwNlkoMYUc1/iQ2TigPByT7L3LtC75mB4iM61
6J2p/ktdsw81CLBCGtiortjR25FD2FLuVMu9GnKbnAMLyUFITcDhmvQSc9J8pDColZc9M5+KNFst
p5Z5pEGEvxCQWli/FBlbTw8e5y4seaSE1LnYeQsaqJuC40RncuXp6Xin7FY9VB1zOBCLvhai6x8d
UJUpJ3r/Y5erWyBdcY963rOAJIaux7i/5G1SwT08En3zFWRs9K2OSVqga4HE3OvkmtEDhHaNu8mb
guA1HRpepc7e9RmyZhbASkzZ9T7ufs6bfss44chh9Z0mBN8qXdDXDKM8wcScbbIJ2LmSUvu+NKqk
hX4LmGR/K5lFria17IGL3r4rRL9uqKFYFMLyUnsouqzWK6HHgq4SOrLRmGWMZqRiPijstUJ+gbUT
zVFZ3gBunn0L4Q1DN5d61eJyxJq4S+ueiEsLU4gWDcbGi9iGudvZ4nD8YtS2Lh97rzfynEZW8PjX
B3/5n9oL9BgFZAkH1KD9i8+FkbLTh8mkdqAsOYibNGxl275UJU3BRM/mLfoL7BM4xEDCpfM2ElnH
UlM+S5g8Vfmou3iTB+gz6DLja+fomg+z8FH14b0uiGE0M/J2RfpfzJ3Jct1ItmV/pX4Az9A309s3
7ElRFCcwShTRA+4OR/v1tcBKexYio0R7k7IaZFqGKUMXFxdwP37O3muTt5sOxDqKob/xK6PdELxL
AayTb++NzPczElan10xX6Zs/anTA2r+1SJlhNKQX/iapK74Yq4vRYDro9UtRGnAG0vhhOC8VNudr
j9rLQJ/4fgjrkE7edeFrbsTqXLcygmSzVIHpYv3gzIsjOYzJIrTG/3mLnImAw6AA7xVdgUWg/s+O
VA44ukp4U4jn4kwZBkN8arHiMEOl6EKL8Ji9L7z08XHf8LpZDJG/aFH/S1NskRkF4FYB1dLP/fMS
nDCUXgbNap8HLb50e04PLTysXepjQCwMCKFoKU38KJnzRbtqiar90Ht1Ob5HIdo3Fgx6SX9+NG+2
1WVFBOKL6fHKY1Hf5ISd3WWDjxhoFuK5M/N4G5tIb5olHaav+vtI2HsA3NbT35/upQP3oR3LLxBY
gRMGAY/3hz5wZ3dwHZuh2LvLIrA0DFzNKx20WHzUkgMEU+GLO/+5Z49vE1UOMj7azxTef359p9b4
d2lK7Vtmt9tSQl2XCf/LKpuHsSWmDvXOQLi0Kg9Z0leHv3/hf3mbmRNwAdgE3kdZf356xU11NA6W
vQwpxgoaOmuc2u0XT/i/3Fa6zLbneyF9z09jKnZT22NKBjrDylzc5JrjVz4+47G6aqPyx6Rhvf39
e31MxGYUQvPTi3hwgV8x91meun909GWtEsqSSu+TLG/BUdEwz/DAHVkSaOUM4UPK9rkSJt2zxTVV
jeW070dL4D2QhNf32etcPv79mj64H98viTkipkQedprAHx4u8m9VhuiGd6zInxvhTb//T/Fb5NR4
5Siv/v5xy5Txw8PsQXYPXLr+ITEKwYdGcGcTShvXRbuHxr6IQyNUU169bcBmrk2q5pXV+y/YC78J
EzSwGXxTGeKJPhsuCf171eGAhsEDBf33y1qmsp8uC54QXlSePEwqHweC4SimJEhaxE09fZqS4tmX
LDWdWbNl2vaxa+RFSpPsu6OF2LUNP5GRVrR08YNZaqQxRR23KoVtIz0l0iDwnavB0vDl8vyX3x48
DXBidilBdHB0WufWpsYh84pAjKTLt4ZOAPnQqQkQ9K11zWxpmToWxJ7g6ACc71aaxFFnOVubJqmT
cV0h2TYqbg2trGVs976xgfNSx7/fG/vzvVkmyegMHaw3pH5/uDcRXDjNwVDsSW1F1+rJZB2ggsVs
VtEXC6ReT5hLaB1U7gr4jPn+NWmtrpHJgz4J4RslhBNiZlfFSZidsfWw+W37pW6eC6rStkpmmHyo
clRIJxTv+FfrmbVc459raIARFpSU4/kMpc3lO/7jzaOXwTqvKDYpSslZiUJjQ08N/VSgnjrba1Yg
dS9CsCVbKw+I/CmznRrQBv39Vn5++AP8VDxeNpN7M3A/3Mkqnx3RB4nco2M4oXaha8OTkNW9/8UH
2Z+XUEaHkHgDJryBHXxcaZiCxBKqo9jHNV3BnLrHmop5JwNdv5Uz1k3QrTy8S3cZyG6zqgvFxXTR
BK0UQcgg0p82R/hsYN4UVJz3Co6A7/7KZjkz1hze6W+DLGA275S04YyYs8vf79a//WgM8BiAeoHp
4VT+MJqqObnaIPzEPiVwc2OX8HZVPYp11VJ1jtUot87QvS7npXdfZCfTt6kKv1ixPi+QAbII5omE
lbqftwmwom0gLEvsTbf57UQTwmkbkldX4nMdpq8+zf48wQoCB1M7c1+ChYE3/PmgOo2lQ9zqgvkl
TrlCwINdxpIz9JZ1ZCUeDVwK6iVgAq+Mm1xXKECbsSku/QX17prETYXWdFm6cj70HLxXBbEmaL04
2RsxwWK5M1z//Wf6vI9yxd4yKA58VvSPQgLET0EFzUbsA4NI8qYlFwJlbwEehfMTrWzMwWb5xdDy
Xwp+Po0nwgQ6zrL98U0qKR3QA9qEx+Y0NmXjuBzER/sib9wRAoWmn5rUFSfa7tjSnjpHDo3KpWdI
v93YVnZjbjJyjvdolNuNBgdKI9SxTrRWrB08060gKJXqkmO34+kn+LF005eeSG1xcLIZP+90sKxm
8GYO5TJ+ccGc3RacqNYVsT8Hdw7cfVK06TqLnW8lflo8KQz1sL0QqsDQYZcSHLp24yHae8uEEg//
7TjQJ3mfbTSla66Yuf1aTsJ+pvm40WRCET87BPuguyZxY555DP/+U/7rsuE7LgKehaqHZuPPp0+E
M0EJLstGMmlMZhVjTIvjy872XA3XVDTsgRxysa7/pG1ON9vjh64HxKdDZ5dAUNVwCiZ6RO9rfWWT
M5pNmaBn2gLd1tr+8T7adIUVofmp1Kli3H1FDNVX8+bPBSzYA6oL1Ey2aZveh/VeJS4jWBW0+zpg
MyZKFB1/sLwSboqJR0WQoMO5+uGGcbBBUV98sWcu9MEP+01ou4HnoHlB/0L69p83MgpHACtjTTRI
yRStsdV4YxX0+8NyMSrICGeb8LCKOGlx7CzekcJlhxwN+tgET3FuLGq56cyg2iQzjyl7FxMl9L8b
YnGeTas7FVPzBC87W7/PH2htWAZ9Pqg62zROccCLZRrg0WTPaUrChlp6fOPSzp1FdqsglRMCB7zZ
jC5Uv0SIkGK0mxbNS5VEb/xnMYkY5m8QFeW+DhHYFAHjxi8et8+VBSGSIeG7eIzZlf3lLv5jV+6Z
1dX5gMdTMqR4HxBU7jIStpgIERZqbGeNIjMp5iMJbKTwLJTEOHtkeIAAfRnDzCa8BKEibC8wBcpl
fZP+g5vDeoi1+FEz0d8kE7OIwKym/d+v/vO6F9o+FQXvPZkCn85IncbtA+Cg2Ruhu7di5ovLUlHg
+6HBSzeqJFrw75/4qXiGb8864HAoQ+bAxv7hqUotDGaq4CRIaxv2vtAo15fJ/fsspn3/eTuGQj3r
C0oORCPdMgbsNU5DBwrwVkkS2D3ELCukGl8tHh83yveL86hred8W1dDy5//4MQm6yXMDhjEOLXQE
WnENE2VEt0xZy+Wu/P1m/MvHLa84SiUHQKP9adspBMLZBBfg4C1PLXiCyaCgclueHc6OX1WQ4cdn
NWCNY0VB0YmQzeLk+OfXS1XPtFFl6T5NU+8ChpjLWqiCzehGO0ZNEZh72NjbbEFeOJShh8wDhmTh
w7tyGzf4PkD7vMl7MsGd7rr1w3ErfQ1VfujlduAd3dBdac/k8tX7aJh8so9qkF1ODhyjr5huzrre
YeWgGd8rBL+GcZvRDj/mXW3twOPKjUH+6CYPQ3HgDOMSEt9kwwbuMTx6J+2PYzzs6EjKrUqku8c2
6pzQcoDh7YrrdjLdNcc2Zx+gkF+5sEIufGlgFMqL5JocT3sHdr/flHjxNl3KH6S28dMSNFOtQXa3
E4XarirjfBPAVb6MoQPSNsSN0FFzY2FgTr2pi8o5IVD10IEVUb7xKwmhUbjZqctVP6C0ICduMGJn
7wQyPESgoS4MfDD0d++Fdq+TNLM3Bt3hc+gbxGmS1vUMgtzZ66DwvnjRnI+FemCHFGE2IlpWJZPz
+p8/dpQgfTdKdnkUFOHh/dzjlKhG6tZksk0ttRCpr4WU9T4WgwsRDPyZLZYfsCncTajgh6Psoa4P
MPRssjL9VZLvvguRHkLQGRCt8wBtJwPWX8gCCRZF1TuGCO566UrsQmc2HiZsZhfR8tdjf7nWqf3g
BahNhtFHSeJ1zrZTVX2w8zb8ouH0cfNC9scLxRtMHcNCY3541Fk5Lc+RRUiG/LxXsF9oEX3x9n5c
PN8/IkBhCHsPpPRHMBGnMI9GQBIiGMjFpulpv/aq55ixhHK2GrbZZOBM+/uS8bEo4ENZO0FG0WFf
lo0PK1RigF/3UxXsJA6nLcMvIoZmLAB9AhomdBjpGQ4xyg3oMZxnRftFW8v6WNsHJKBTINsU8PRT
6bj8+VThLSv7vGoCoh+FwVw+b/m1nXkDU4IPjD1ofJEO96x2D7Qdin3p+v23v9+CdwXcPw/C79dA
ixxaPzDjaBGI/3OV5rVRga0Mf5f7hbHpJ9mC3iNsFhxBC5i3zyLCqM32BTREfMWNdK+aEdVpre3w
3sBCsUn7QK3bwc3JH5jDJ7O1uZUSRyVe8l1VpOpuwE529FSwwAXT4EJK178IxCAf7QRVwoqYvGw/
RPrGCRKxSnuj/KL48my+wx/fkQLW9X3fccBGO+zNf37HKdO+K9lCdx1v1cXgKFgKIgH8iF/t9P4l
oi4tb0zC6y/alD9g8Bivo9mcN3irYcBTgm0cehFrBwPOISKeHHNVbvBem+2R6J43grHag9H7SMhC
KMJZ4twWNuRlobL+NBPPfCilr1AAzOHeH4OeqXa7hTqRo+bwJalwekbh0ywz9trAE2rPGxV7q4TQ
112hZHs18m/uBAxSIk2SO/IjDfwdQ3kzzYI46txhEepO3oD1eXbNEip92l/aWaAXIMfr3x+ZBej9
6XbShEdTGdAKBrn25+0UUQTghHMTEdOK3klnKLLqcOUkw31VAS12OtfazRq+YuaTZW7T8VrnnggP
RQixwcjoXkEbsWDy8ZrldZ+eZZGYL3LCeGfO0Xzmb/Ev+r7pmAi79YFGUgc9KfVBf/S/ZtCzZ055
5trUSPY83bo7acsaUZ+t1kQ6PxIK2u360XioaEhvill9Vdm4n1YrUDCcNmkbeSRb0S798w7kBGz5
tFO8ndWzeYdIhJ/tcWAIxoVDPOtCe9s1od7rYTR2jgHqeJplCjlBh4fJJRQ2B9MKYKypvmXJIu/I
eO2KufUKkAm5gX9R8GD6ibFRiOM2puIZmXSTAyQI8zUcGpDaqtuPOETRErj3Q+88uQbpc1MU3Mdp
9spZp1sJ5lPnShvBIUG0cZngE73R1JPbtCQHOOpLjuN1KjYVYRh7n97A3mXkt2MwyYMOtnI7RqXz
RQ/n354dJhcuTW/Wvk9F4TSS/DAuz05fem+4DcKb5V1R4LLWgwV97u+PavBp53L5iRwUanRyoQZ+
FDNXHb0qs9OssMipcGa20RPCsvQs5tpam3M17hwzzq9SX6dnO1QseIryyxq46WMvqeBJhADV2X/v
o/hiACUUz167s1D5jP4Ju26zkRPvNXmITwzmBli4/rwxIp5LLInxhjwwY0fZ/kYY9HxrN4j5iMEh
SK9pYKo7vAOCQ+FF3pr+Fp5IskuRxH8b+lLdMfCPN8SU9bcigwvt2ug0CteixeXPmNRgcV0i5oqO
TGRvNf6YQ1RMrBxz1F1Wfh1cKNwVoGxZlltRFLt2uRwmpuVSiPffPBDjm7ZnmzFSyLfYuIIcRrfm
LYQkfmWbzRKlUZvP5B+RVd5bjLPTtDEIg69oO/eJsZPcyFUaWIAp6AVRgfJCzF9s0P/ytPCQ0ItZ
9OjLLvnne9aCrCmqBFVsCIOONYT7p4TH5tSQoB14vBB/f14+fx5TRRTplFgc1Mm0+vPz/AJIO+Z5
b1dWAIV7wduAbC46ojkKD+nsyS/eButzYcmxDQgmJ15k6gHsyj8/MUTeJu0kcXfomJxtNqEMxRHv
Y7dnEFXPZnoel6ybpPV3oukU6V8sF34hnW1D/Og6IM9n7Q5BvB45OQMmZ6Mye35qs3EVogRL74Xk
q4AOVndVy3Lt1cvm7i2EgTkrb7y6eZmWZSSpYTVmS7Kmb5Uv6BfJzvZRheZE120SepMPTchmN/vh
ZdmnxY4pw5vEXL1ZWA9FUL7YKdduAPzZESA+n+lr2VurWyK2GvXQzjzrlsHK/761QptVawXu7wlF
mYMpGMG9hcgXjQhvU0RQ7T7lETw3aWmeB+3qfeMvu2lFVG4iqEuKjH2mq7oZ/zfv6mSzfsCgmH7W
M+tb0fOcz5JHvFCqPaCKZ+8pWHbbQsjHLCsMuNPsmaXigkQAR4+OC15oI2UKMMnxP39a8rwTqW7s
VLDwiBqUIRs8qRIneI7JeNl189Ruj26G9VJR86AOG6gH9DhzE2E1pdoMLy3JAL8r+cdIJ+Ghxf59
Waf8X8yECqIG6rEB/eWv0XzrvUpadZVZqIgI4GnYF/iahmflV/Cg543orXbbTQ1IbhmDaKwy7h0R
Afty9r/5hJ5CIVlC2l37yNvZX+CpIZF24K1JvCncg+mnZMkoo99f98jn9qE05RNwxm5AzZNDXHH/
08jRHNr5Od7frv9nSL//Dy2dFq8ui8T/ndR3+fKaTi//60a9vP5u0396OP/zr/4H1Wf/F1ATF97s
0pykzU9N9d9xmZymTEA1YWiHzOD/28Bp+/9F+ggWGs4QJn68ZXP7j4HTtv7LpEBDrO3TisfZ+D8C
4jJn/1DwUOKYzPko+TgDLlvqh2UKMWA0zhQou7HsUpeCBMqI1ar02jBy85EMIwvZTBKWa7TO5QUc
icE6hbXQx3DI8vvatbNrBYdFrnB8ua/w5qKHGWUl46gmsaEj1V2XPoLbjaFOGk342MdsdzbD081o
OCayx/JO4sH8xprvrXXa9deiNh9pKo8GwlEijT1RPSRzXb92ZH5ew3LKD7YrwpNP8X1UCXiaqgAf
uCJZdGzWYEvpRsmUOGJtT8CavKmF/KPr+Rya1gAAvAun26iLe5LUMhC4J1vJuxo6+XzXI452jn46
V/cC4F7PS6r6+8pqqug0uwO8KzRirr8KsVP3RzspsaVj/xCvhhF2LBsS0ePKqcxEX3SwGKJTH1No
b+m12uoWt4x4dYn2zvaM1Yr+0bCS6LWZ5/HnbA2NdbBVJCuEXw703nzg2JZFeLU2hs9x45qOTT2c
ZsPr33Qc6OZqTCv5zMSKxdu3q5Wj4vDWdidvP+T5MeW8ZJwE7765J/fT/4mu1IXE4TOMxPWuJBEv
qQ+CKR3JZvZ7EHIQWRnLxxaxp1AazAe3bbIfXekmr5001K/RbIOrKsimYNvCTd/GKTCoNUSg4YwK
iv0siQcGUJ6q9twV11prjygz0IJ9BNhBzAevL4Y1uKHkwimNqnieeTjuyC81GJubtXnCQVQAPy3J
PZ6TaMGigH5CWJEwd+4QMpaJTzahszAA3MK2wZ4OwckQeXJBM+lXV/G0QPgpkg0JM8RzZUl+H7Y6
WYFzKuhv8727MPbXOb2kdJ24Y/NictqFmNI5b1DJwu+ugmmxtsy2cJ5TEfi0sgAhBt3407HwiERJ
j0Vr9HDQL4daM591utEw88++ru6Ek2dMjFR64XmTd0t0bgRDpcwukyFr/W05zele6iD8pSo8FDhy
jPKpV6Rz40T1Rr3yswQEDhodOBPoENJiXeblCB8/Rdd9aqF07LFlSkbyZdJekH+ZEa5d34U5SuKs
seCCuXCsV8KJHkrXhd/iBnD5Rc/zHg2hB/G/b2nyhPiFHMTS1fxCcmuXfu/MJs3W2ZgGJSI0Pyeo
zTKG4WgGOgXC3s1OCH/XzOojGo8sAQPWp0/tkMFfIONSNzsAED0AD2rOaJMWA+BCM4ThsXML35Zr
lEPWdcuBEIagr/wfGGcVLWKYnQamqapzv3MGlcYVbd1U7Uj6TLsdYmby692+tSesIoPj7Ygzn2jD
4f+BiQSfD/qcYyf1eOXKIOkuY8JPOD5JxH/3JD+69V0agvRYTUFsDd81TxcGpwBi6C6mLdSsQQmZ
kDinCEYGUDp8ymmmH+C+eEdI5Im8J2MBEVRmYNf5PfSTuOjLpuXF9gRTOAw0JWCOFCGn2+TF73LQ
kdo6MWb3lShQym4SCEjw5eBtEvsbGoq4TQT3/QZC9puKchjGvgO0Js5FgS/5PS5cLMnhVqTcW7oy
NQQ+csV9Az/dgdIyom3qeuqnE5UKVGJayCVaDqlaxh+xSIAhrJcUc+lWWNLMwnJ3ZUHAuWcK5Btp
KGCceRkRuDOpyfYm9iri0NFiEI3OAhm0a9B1iDf4itXGeg9SL1KcX6iJixope62GHxglwssek933
Jsghrg3eMF11aM9PtXIYSighxi3rEGXZ2EbDwbc0uvtIRjexEaKtCpe09xy8xK03dhNu5tq+q/o6
pcOpPVDQxRIUj4oBY64oR+toySk7a47Ya89Q8sGqbed7pf1hZ6FCWM1L7HwHJJpsd7bICmcNGtox
6cu1g0A43yaZQQRxQpTF3py66EI02mBQ0DogzRsaDqlbi2tDN92L6YzjczZY7iMh5cXR7/p8hzk3
vmO3zMK9BJ6NKzwff0qdua8gd4eHQVXDrvfq+4hlaVwNjOrabdo39zlWYmT8iBhOUgIv2YcWuYBW
JZ1N1fbenkRW/A1MV3tn7eVRlu7Csid1ty39H9TK/KwdGLlzwXTljfZVt6qzxkX4E5mHXOvqOQgq
kn0bz7SHg2nTEy574HLk6zSHquqbLeeo4cprJYAZ2UDY3k0WX1ibifVbUOlfdHHuYGKoE0tckE07
UzOTsP5NlgOtm3is2LvqXrhH4Xb9GX03EYZNELreaoI2++wZhnvbg69h7FZE17Vi7k9WYIi8v1YX
c5S0xJV5Ds/GOIqTGIvkXFlVzrVMLFSeM3JIgb+EKBe/7TXXop+rITIfC6v14Y4OzXxnBzI9Zt6E
qiD2AyBV+W9OGuU3n5jL7RBXmb7i16t/IJnmDO9pY58T97xvbJe2eyNewb0A7OSEcUXlAh4XufPT
ZJVqjRU3S491Q8JWbXWKkJKm530LRmdjmZl/axIimq4qJDG3FjlM4r5uSwPwYaOebQv31zZxEUWv
Ytw2TL9JFyI+xm/1T3yc7nMbiv52LCPfOXppXTw1Q5Ik15OrS17G3K1/NkRM/oqdElxkOzbKOLWM
9hBVm3mU7/qkD8gan1ocS14ZnESoDWiNXsN/T6lHaDR/G4uZaQQBJO8mA8lCDGW6KmKNGS4HgeMN
zIpW/LjW42i0td5qTagsQi2v4liRSLkSHtpx0mX0m8exDqZxzz8zKerevEH3R8J5xcXgq+DkGZm4
LZqGQU6LBT7deHSxv5U1s49UVu05S2Nzb/qxfwKMxl/E8Kj8nlslOHvMhWw2EzcHoGfRc4V9yh9G
DbUgqKGqzXdicuYXGdW5u5WjM70w9Y1/aWaZ7rZt+zrhjXWXEC96X8WNZeCi4IdHGWfzr9drWRHa
wvAP2hrzivmOwjTdjBm0M8BgYcJkoStnHlYjTvYI7prnqOgQrXlOPexGg0PqKi4IudOeZFjcaD9Z
Z5OqX4oJbIALgePF6boWhr7CeIU1Lz4DRbI8VBxecQy4pG3Cmjmtc3Lovuswkb9ms5ETw9YAlEbq
9QaWo8YnHXsaL1Qr6ocmQidB16kh4igkln09iKw91nLm9GW7SXPDqj9tFM3z+UCx05A/Z8bJNyJf
l3VnYJls7QjReBVZ1Uqh/2PKDxe7WjvjJJ/DLGerIfd9vlaVhOwvurF70brxttjiSQmqZFFcO5A/
3FUwVFaxTicX+pBVBuOlVlbnrlsgnN+SWUcPkRRFyCE+mq+yKTUPdTPW/WbEcvsEWKVP7/G7Rzck
1DnllgUmfNXUlnpFBvAEhpGd+aZOJu+Ukv1CLltFK9RpHEPDYUpJbU64Zwczi/o9Qn0GuJ6lgtts
zo1gFdaDfe+z62yEn3SP6ayh/GHwvRmmhLot9WR7S2CF1+9MeGEtJYlhkpWjex/HZZ/4970fZdd5
PzODAwc2XS/DrF9VMjp3UrBQM4EloA/bggd1v/eMV1a8fMf+7O8Iw81/BxMBSpRC3rdoJFlmB+HT
vzO7wX9u5hwFAv5xIP3SxgA4TDo6QZULfhQ4AG8qUxk/m7DK74F5quxst7o61/0UvKFyywQ2zhZ8
MX3f6pX0AP04D+N0KOeyPweMZrONG6Rk15iA+GpSxhSw66xmFTpIWfmHSebGNz+Zyh4Ip2j3Jlwx
GKUIQ4IpM8219ISztaZOdevaLsuTiXwnRYPZT9/nMNbbBpkNUPUpkGCtq4xBAz7wC90UuFWNJFPb
oU6yM3G/JnC/7mk0CYSMkyYj0nfquBBbPseNuRymfHHC0gIXXQlWHjdBgj4EGPQmOltgLQfcwSxe
BIKlj1g8w5WrMMHwFBI03UZvDTT01nfUcUygHErwIjtQXeOe8C3kXFAxfxM/1V67jEeorCIY3pCp
7ZWh3X1T6XQ/UCK4G3vs8VDhDr0Zay89ylzQpwUocgBiXpwl3LBfQ6HFLaK0OISvR2lEFknz4LL3
7fxwaA9DGSXPlDMY9aL0LqtZmtuOC51mMqkHWeSroG/is/Cgx5GxNyPC7tqLjsE5BQhDnyEbfnF6
0EcLrzQJm0FVELA+6NdC1qS75ENJJHOehs90/Ii6g/KuTwMPCO2XSZ2VtDXFYpGforYAqBfK11ng
XlmVbrxsp5zGRFrHR39S6jQZ9rznCJSAw0851WaTY15GGbrpFA3SWhIMjTG+t3fEatEerkyCJsFH
4MWXhQbbmYrjZAjJrNlT5jUktWRdGrlPklP8wGN/65NsD/H20ZkH98YNChyFhPGuraIAH2kN6Aen
FmtTkeC8lbj9L1NC0It1PnUllrAx/W4SLbbm9OkzuKklGDg9vmSiGG/82UZdZBJkfznh9MM9Ajq1
YdTpgMVoXZY3AA0/MPZcF6JV10Xl0iNo9QHfi6ICBNrIOc3pnqk643WNpuCpnZr+p5jbyyot5bkt
82ojLYC2LDFOgmg1Nn8mlBtEM47Njiyy8JJCbz7jF2yvcqDd91XKZztYSzYJR+WdLDG88oga3rGa
K/sKYufwoANq86ktNPbx0gB6GIfeSVs26LSqI1N6ctqfYZ0lRIMF49mL4uE+TrySc442dwPZhPD+
fZdRkOV/D2sJ9rEWSdJvmHHP5pZq5KbkaZSYx3AurxpI3VtpSK9HGtHVGlNpoNnCLbInfU5tnIYN
RzxrmtQVUQBd/xaUsQ4eUOCFIwOhuuZkom104+wmr8o2BoeuYDUe0EHVz2OiaE90jl3Gq8DIRXJT
5cJ8jLO+ofwuqpsmd+xnOzX8a2LtrNcWA6fF7KGs8pXgdzh2nG52PnMBcwVCL3ssJGiulRGCJblH
iVgzsUtkuBWJrwUCNzk/9Sk0/4AO0HHsWoDk+ejU6N9K2z8sDZKXxDOsbQ+lsMDHOvpIiHG0kEFb
a+PeQoyy0gNCB/YXcZ+WgX6xy4wFoLWqg+1lzypv0rMDP6Delh2CGHOgz8K5roRQHTfegwwmfWjr
2bEvk3GyWngtKleARu052BPR6DCjG40coiig9PAxl5lt7gW7Jm61uFxKxuRiGHDKDyrnRuiIvmnc
mjPN8T4y34Q5dlfh7MbfzbEKglU6OQz3iJvMsbZnCgprVDe7MJdo4pGElCcjyJ3qYYj1fF9r7A0X
1QjGgGb3iDN7Tqdqmw3GADFx4iV3gh9RBRoLdZBr7ZFqOkDv58wcUH96ZPU2rQL2yo61G4bMI4mi
HfBfE8cgwji8MPy5JSo4d1Zph2GZVy5TVyz5vnuWXZVfW7Hj/irzLvxOZ8Yk/ahtqKSFh9m+FFe4
aOUvVyUJL1OUOBejXLLCo7TEfiaM+CBDEoFoP6hCrawZJwtSlkp5VHw0DFaOsCFT+WLwAA5mYrgk
E71djoVdQj+ilC3DTuI34Hq3NQxJIRIAb07bBOa5TDsSjzN35HVvCRvyVrFZaefQchJjQBlMIZnF
Ac4CVXg6WLtKdE9OLJdSuW3IQM3asnzAZVdDjKNjeY31lsDNrFIs7mnFg7liny78k/Qq94VZGrOu
Lk3GdQH/gQqHLYqMWAMSaFqNpyES/k9yCcR3v7LCJ1S2NQYGlRo38CGdCdKzG7bwZtoJOY+mhCX/
WZHr2pdQEERRruOpazne1eQbrEWuRbiC/pA8u3LC6wqf9QrzRkjufV2Fxk4HHcT2jCRakpxiA2FR
WZx9t8TXnlHzPOWt0aq95XfyjLTRuakYUh/KSoOIzLVT3tVGKQ9D7Ej6+IyNAatEiS75SfwaJ7CV
oKaRFS9J5RSu2PZVo+Q+tiujT1aDjitxJNcxhn9dWfkeNiaKrhhWx4/e54DFNwnbx24KOrX2Mbfz
rQN/JtG50LNAsTzRQMPaH790ZWo9hGRD9ltXhz51AtPNs9/2BIglXp+/2OT30bfIsD3upsQyYRH3
EBROUdDN3/O649DF4+lj3UzGwLPQsY/JUwaGal/Vtn+iIRJkuzp06j3d2vK1lpV9WeO5JAmm6BxG
622g/OusS/Qj2bP5dzmYeO9x8ZJ8Msxhg4uVkQ6xKC5iW4zKc33S8KhrpqMhGIGuB4BbZYrT/Giz
/Eyk0/yMp0HTB7FtaV+wTmSoLEyyWFYtzHPrSNaHqvcYfXvnPFR9hwgkH4NfyuvUt9K3iXMtmOlV
q8KmpbfKdEASPWPnZMVZwMAczfwvXzWN5SQvJLgE59FW9EqzKA+v8jETKFZZP1mw84SwZYb6yISK
2k0wjdZ6DtZlbdGw8dMF+tNnvbjKq3IcaNIW4w8ftcRmDmT3gzdJ2RfKNLs9Due2uxCmTdjyYKAS
2hhOm7zG6F3S3Wh3OcVeXBOAxrbEujLWI8jQ3Ond0xw1aLKYqkt/TcC0B8vIj4a96xdia9gt3ple
mNPFVBtdtpwijQRF7kjC5lw2Zb6104xROBRwsQ+pjBRHpqjdSPIaum3PvOsSzQSUaWgH81aauTmg
o6xGFlQzgoHBqur0ENrHndEMZncxDV4t15DEyMQtJ0EfLVPEyJCL6rMOzGkUXpGLTnVfsrNxBPOn
GhFj3nA4d0oyv5owAeuO8odm0dRwwYkxAmRvO8ahTIGtt74wwjsVkvqZeTljbtdo9Ag1PdfgPtJS
lHiDhKq3LctmsvK1NG4Tjhrho53N0zbx+4wDTK4lm4vVI/JqMba9gbufnksKMm+bZ3Z2RxfXXYRQ
nsRPHGR3RRlOhyBkgLBLizF4FIBazvPUJ49L7ne7qkORk0xdPglAiADEgqA45mwiW7iGGvEP6e+b
bozrFwY6xis8lukhL6PO2KTNiDpoST2Cl81WqFZjWFZXnCHH8CCHpZcN+usXxZz6aeZh9b/ZO48d
OZJs236REy7MXEzuILRILZk5caQgXWs3c/H1b3mwulHdwH1ATy7eA+6kUIVikszICHM7Z6+99zOp
61RyUxXabRnW4pOBM9dfg6LwHdF27Kwc1yXQI87FL8sgzp6thbMbWSicWekAKtLKftdRGKE2Bj4I
i0SFYT44vHEf+maoH8J55BOQ0hcMQRrZj6BOnNm0P/RPGV6fkbh4ImqoLPaj3Tx4Ol7jsmYTZdWd
S4qjgKE4+Lx9yaOqtMPeMomH9IZlQzbhh7D0fFXDg7mHbpQO8kzc+0BJmW0d+yl+jAHR1mwSpw+T
zmLHgCmoTSI//GbOhy8EmYZJoLF/cicboVSzNHYfM0YTIK3Mr5fUhOipJdniibtoRE1JEHvG2kSK
Mri2Nc0r1GH1G5Mhd1GnZQ+w9ika+WWDYmTQhaTPl+7Isr9RSbOe7ZGYv4KDnhtl6xb7/1np9e9h
uv+1/1UtLZ/dJVP3q/orY/dPqu4///P/jchdYcHk/9/12fij/ejivv34uzj719f9Jc6aPwLTDkz4
EzyD/yLO2tSVgoyYFkYwSotN/qy/etRs+wdMJckDPpBp4KGg/lOdpckUxBXjHwmItutYvviP4nXN
f+cbBZ4DAYkO3oh918Jh8q8Qic1QM/a2McKI1bY+uGgk4Eud23MAit/RcmNd9+TOO5sxWJbJfkR3
9Mri8XUODM8gTYaaZbqdOLt/FpMIghutzOVXlJ395TSIw5tkdlhwCZMlkxeO1orGzJYVpJHm9b1s
k+TVEDKJWHOIobpv7DLHWQUml60rUQ4MoyTB2BuRD20L+1aTJ9GzjclWAI1hsgoKskBWgU0IOLUL
BKzTjFMSmNJH1m8LB9c2HRG7102mgmODfPJgZ7Fhk9k/a9SIeBAk/CRWk90ObT1cmU1eYNHPF+8w
usQJcUf6m1ZWOrwJCy4OHJ9kMj34mf2Tk3qyyNjkCr9qPKLO10PI1ghKjYCeeSRY/EoQCYrfnOjT
gosOwxN0MuUe1Kam8ZPwjcLdtW0PAj7Z9DuvB/qC0tsORR+FAdXFbahhMkxn4gDrfJ0fDD8aslM7
1syNFBbw9Fkkd9wbmMwpvUp9cW/3eIPWtSlQ/qREQUx9ri11ZN+ylKqurNaP70crqt86y/iSbU9v
dTdmldpw/ZZbHsZdzwyJsSwQefLK7+buIh21d1gy/epIfOFimi5ziFLsxOIhm7jEXS/ibLh2cyUC
sEsyHo7lkj25GyqXm0kIGD9fC0xuxinyrNpdm8NMNlkrg/SVWpBBkb4Thfo6bJe8TJkknb3xB1ve
leNoDevED8ky8U3WSysd5BRXVZrCKNkHolh3E0AAIT9ZXJ9pWkoYDFyHWHK69ODZR7/vN5ZT2dU2
mm3+HW1kmladEyfhbsoynR/NqeqmbVzgsmcDUrvEcUX1+NTFsUFD3+iIz9oNm2cckaQURm37XXWh
NZ5412ETNAtMNFvd9jzXiUIMVnFrqmOUL8JwM3tziw/dJ83EYLlzAs12PusAsOkQW4qtf8yCTG+a
wOYnNrVRdXKGniyupG6zqx4J8L5NvDuEG/e5w9BRrvuwMY4RyUEnfxg8VkxWUbMSSK0HQ8Xd+0yL
wTmQ2UFXNo9YNGDfflzy+uNVRTue/ZS0EbKzZWY8T8iBmB5pZ5i/C5KJr7U022Gdqyq2bglx9poV
PlCSfuxyrvVhNqPiOuB23x9G9kzNxkx18cYqpLkNUs9sNm1QT/UmJGW2gjlyxFMzxQRVmnZBdblv
+A7xb1kprxjNY5xi0cTNJp2MyDorhzNh1UWFuG5rlsYbNncTWmhaJO99UNnjlkYE3u1WBHBh1Ywx
mwr4YiV8M3wx5jzcz1ju1sUIq5zXhqJXLE52Een4r0jJZGzyyPT2VtMWb0jbfG7qoOtvowoSUIii
OpOLrJ+6yE255k3sT5I8GE+JEM5dGyz9EYQwpAeFC2pbJhbJP6mp7eLAOCaeycTvzt00RO8yg2DD
YNbn4X02JiTXeNhkwj0O32HHli/+HGuDXT4bPFtjNLNozOPa+ZTgF4EB9zAji7yktjxGj16JkKqz
71rG7ckhooTyptGfXxSNLF8N1PnCvzpjtI954gDgZh66fj4wLelouCGezjiGwoYn1lGVD4/1kMDr
AamMYhPnJeIJhsXGOrl2WJ+0W+cLCuxYjHa48umddbiLr2euueZamk33qtPJuy01MlDgJca7FWHV
fvaZJM3NMPJBoRUhICvUqOTSg8Qz7aswJmeVc+jvZTvw9oxfZwKJP3tFkQZlB+kW5q3dQc1zYe3w
33CEF1QxMzyYBNIkzcEVSxFHBwXMsZ9F/amZpgC5Y1SOIE23nrdaNOFDMRnmUzQxFK3YBHqs06SV
DNtcpOm9qUIKmZVJ7iZeWykMssPs9IMc2kofosRU2bVwwnntRxw569Ryii0bKNOll6tVd2GSRU+W
zzG30dFo9ZwXCbSiJREoVoEsWSMTUDMQ1ENHBOeVRcNnxyufLL0O7j1JF8YS+VoW5NCqsq4xWmr+
IraM64ekoUlyzdlQxeu4TtyFYeAGcUx8W6AoFolLTw8267XlJeM5o3gQy5CYjSPerOg4jlVNeBL3
g+5g03gf7noQwUOZp8m3OwbNa8kseG/oPilWY5PMX9w583aFhET/38iuptrwR/RUw6h0xvYosuzQ
Sa73qySh9QxyYLbFyveXF6EkbMtkfkrvumyeuCC0jvPB/XYJxCzLGkuR311XZj0A+GQjzITIOFoD
BVK2Yu1V3Iwk9z84DPIvw1QFuEyjwNkRgjo/pIXp48X0FSRyFszTE5tMv92QW8bjCGdAUx9GV/m/
vEFMB1ax1k04xAyHlUF636qii6lZlQNu1o2vCeay4EvCWzGlKCBCwfjfTb6r9coYPFLunDZ4cxdo
JrWp9L5wNB5EjVrQGutC2YQLcEMqRbShxBwIh7TlFSvfz3QBdJIF1bEv1A7wEQRPhO34tV+wnq7W
IVo/qM/iIIvXVYP51xyHbMUZExF6CyM00RK1Jiw8pRlp4Z/1yMxmNKV3shrPtPd6IY4IR4o3eZ62
qIERQFKzsEnqgikhWJIh0kD3j144nwzcJS2BqbBN4oI5xQvx5C7sk1vF82EsTEXoLOI/eZqDg1Fi
IabIbGAhACGIrSCOhjO5WsBVJuVv2/KCXJHz5t3ohcPSC5ElBjd+i7vpybjgWvYF3aLAvNolC89V
XNAuPPxMrS1nUcvNa7b1UZS9+4l2DJpglbltnDSomLUwY/ZCjwl7LujKSawn2qTrd2nFXXXjpI3+
DSgJfBaRWVXcgtMDpcUXQE3ac7ZGR6uLLWgdCFslsvEzsuHaBlEm+qUKh5LUssqqvhsM1O39cAHi
bFoiqby5gHJJQPv5KooCFrtiYekctsYN15sFsQsvuJ3BdW6iB3jB8MrS0Y/NBc6D9S0ehwuyV13w
PQeQT4PEVyfJPhppFnPl/eQ5JXZ6kv6puktwai44YDy2ALkXRvCCC3oiBh1cNhdIWb7b3yVzGx8L
P/JPZWokhzAYnFtTiBjvIkV9234cFUXaFEQBBEY8y7mDfLcLxShLL94qYhlxEbGQ4+D1XwyjBH4c
JhSDo0+UW/kxXQBJDtrgaSKP8lvpxqlXkWhL4pa75kWNOajaBbV0sim/6uzKox+9iaxX2xTWi8td
7abrZbQP8iVIEns9c6W8zJjmMm6OU11TNp/V4osHZL7hkcVkaviG89qH3YfNvonWK50zv0Z2Vv+G
XGperct8yxKYWVeGiguHkUzlSxOp6Gm4zMWUP8QoPKZ8HP4MzvUyRKMkNevgMln3oijZozBuW8zd
I3fyD2uc3bViJk+X4dwg6IFVz2VmR0hmfjcvs3x2meuLvFTpTXKZ94PL7G9c9gD2ZSfARqDARnTZ
FZiXvUGyrBA6mgfGs1oWC91lx5As64bksnmwBY/yGPLyoZ266IH3/nyY9Wyz64cGVZtyVuou8QmF
CjqnPpuUMu3sZdmRsPXAd8b+owZx4t7op/LYpd0UvxZNHaOQ2XUIM1K33Ahnx7Sua6dRd2IY2YbQ
sATal7DXj8eTWQTV1jHJtNKdfs/UkDQ7RatSyGbFo3WJwit504xB/4Ajdt5HiGg/CVX3j+yi22zt
uGVWHRIjMNwNklmSbE03BhEV2ILf4t5VxomNfQmHTnDd84C5h4RHGH9nXWBj/jJzH6d0yIP2JhLL
cFZ5XVbx9A6o+qFMN99VLCL5Ecr5zWHD8m7zt3A3OPVNfJK83vVGOCjQAmfdO3aGHn3fysRtEjvm
ExdcTth01lzWVRufQpznv4qwmXYQ6/mxtcI5OWj6Pa8ZGvzwhHJrf6ZV7eC9Y5zZcMlgvxljbFlM
iZBYbGTDemWXQhBYY4dbXESkINEnNRNJkTlZuuXDbDXseTP9ycfXveqyvMdZaJk83bUoo0OIakrN
YpzvBrPxSEOEd7u1TS5D27AxE+vUUSro7piITapQEyNlqmK8cTHwJfM+gC19lz0PMHJXFPMra1hB
L5fKAQxCWiim5zbsLHEwegdJIunK+Fs3rTzqWFlvxUiYE3H/7SGrOeZn22mJW5hczpqsB9AqyR0r
JMnSBGQypq8nWgQIibfd7l0YTXgbeWBirtXGAIY+bFeEqT7bUcjk3s/ETnanprJDYluD0KVyMSL1
mW0pi3E1RCkXSvC7JX26HG/92g+gXPsk+E5wTT6y/n2OF5qYAi03INEavI8CAW9HFiGcWmb6pwnx
F+6lKY81O+k7T7NtrlE2W7R+mefbKVHdQxsOFgsv5S20QtJ9pT177l1gB317IG5oAQjj/rvuZ307
It1ZfG8mwp+sInQZG4rzQ/Tki+b8HH4LYjAeNMQHN/vEvRIqdu9RLAWEYzhcgyCdIy+Q/SqnX32C
/tGHTLhfHdrBXeZGpCHY5XAeYqYk2qVJmyYxdNCu8woV/s3bjYijguW2cpNvwtSKI+l2xSZPfF7v
lBvyaJGLWhg1rRAkJOW6qu9o7uYB2rfRO3eKAtElmdxHkX2YONCw74SL4FQ6m2RCi7dEJY8ZpWGP
BA+b+9bXJLMG8Qbzl7O3ktKjxtOwDiEN3Uenzg5zSffiylVZuqnHutylRes8tpY1gTj55ifkZ3nG
pjd8qLYmkzjMimIX9JM5khBeudGWQ3L4mul0JMYqs5p1F0r/1GcNl66GrWNOtKnRfMjM9SdSdht5
NSmH5vWRO31GY/s+TevhAFLNuK/r7G7wnenGlVClKznk09Uwam6F/tDPv6a0A4fIuEGCexT+0yRd
92paTDhuR4V4POY+IFNG3x03+V+5QfdT2yNe8zD52QSdYg9M9/F153KI9m6Kj6t2pAz3RRVEh96a
9k3uZ/uyj8kTcGqWH5lb989cd2l/zidqScbLzDHW0Qancfbbd+IAhzF44ECv8psFB/5ACZAizBjM
ad3AvLM0NxVGKMlxyeZmL6v8ONgRWVK55d4qrHV8Q6NvrAn/KrnsGAVyvarCdeT1EriX+VR5ovk5
tCYw+wRlTEqVfMgD0R8aGM/7HMZlNZpx4cMpZD+b3DF/olrWtD637c3gDNaWrT8Nr3JZn3XDpi4h
4LnRyLu4WcgjL0lIQ7NXjTOpgzN6Nz7XvDX4sjhPBBPupB3MGxt2aVsCOzEj6wSGLDK2mofxjpSz
ZO25UXHFQUXoy9z7r8g3NYpG2zQUAINdgJ08TbkHY5WYenxyKR3YDRTX8/4IlLyFuPZdQCx3uh5y
Y9hy4k4rEn7zHX3oDTbmqLbPo5WSos027TiFcfdmgG09SRfXILPK3D3POuC2F9EL24ypuYeBMfmp
kiJeu/z82zKigAlGIzrBDORbc4iHjZZS1nsxZ97nWOYfrsE3MlYW+4J+Ln4BS4V7zofqgXJAVKYk
NG7oufa3RCW99ikPVmCJEnQjrqs9kfJ6DRMPYJd7N7UMC2tFMp1BSTg6CofzIJOzmbXl0TNb/xcG
4jsj5Nrdwf5xIQunO1dMLqhwP63p5DZWy+IkHY1qH49pf3THmd3UVM3ui2sX8k0Sl2F2MU+SSCVn
r+nrPWn1+daYuNjehKOcPvHYOc9ZNpq/h1ZR+jgH8g5MdE8j4dzf1MaUDdexrmPu1AYx4nP+1ZAV
jzfc6cYDV+/pNynkxV3WSfvQaLypLUL4dG9m4UqoqdwRAm2FVELSD7wd4XhsrsP09q0zmlIGCkUG
dW86BTy0LC0een/8mf9jjq7/X2UFSpmWxMj/3vb18JF+dH38Uf5dVPjrq/6ICp7/g2hiD+8WyQ/k
6uLr+mP4coMfwicK1JVLaMGy2f+npuCYPyzMWTi+XKQF4uf4X/9wfDk/GC3YGZBjgf2beLz/RFPw
3X+LTBAWgT8emx4a2jxn6Wz7V0mBlQBh7Ebf7czCLfK9ES6qKI53FNIuqNwjghyba2LeOncfXPTU
xiUVbVMsMmtHWErEYz3yz7bOnN3gjA75MUFGYPZFo/VY1M9r7pNot6kqbHUVoOiqi7abNd7Q71lU
oPySDg6iDx00rNUiDTNuICAkReke46Cr261SBX3jVJhkb3MyjgN74pFLHF6Pql0wflZldHVEV6Ov
3U+ahRSt52jVow78uxlr/XXDuLPllpNxEmfVtm5U9qBtsBdtmwYj2KJ6m3nofhZZX/60VRS1a9RM
1PFCcovcRQLRXJte+pqT44q/jXUVPPAAM7f3dDE+dovYznUA3d1cJPhp4tlNe/34RmEoCv3A/QCe
tiO5vvij4V/0fNxLSAr5Red3L5q/hkcIV7pF+lzqq+rbokXyWE2WCt7qCzeAh4VHd3LhCYasWfaT
gkcP3JB845hA2eyH2KKWIigXvtyhYYeUYkgFg0eCc/Y1gPm+K4EQjhXKCZEnpXpVqk/zFWv3jm8A
aymE3tgWuyYlR9LpVXY1k/l9ly+sRGxZ4zMPEsQMSAtgimFsylPNPqgCBhpoDs+H+qXoSuCdC4NR
SOVFpLE3LITMWcmX+AJswBnzXJ+DZIELRfVgufRib/kbjC966PO7sm7ieywBabsL4XgOOHO6vbMQ
IukfWgQozPO5fC4Yib8QJYqVfHty8fUba+cCnSgao+2DIWBR5AVLCS6IiuUxya2AIglYmtDrVwXO
TCZGDS8W+i5lVZZg2YHPv6PQvL+QMMEFirnwMSofxjds0/4VYBSQX3JhafSFq4mDCatth1spWJD4
0tkPf+CbIXXqbX+BcszK0Ji0AnXVFcK+V93gP2dpJ1nQxvypRrk0TgW6mO+wRgD7wNmRRstUekgW
FsjiqX8eNUDWPkdHL1aW5Zdv7ACzs+ctMJFVtbRT9IRXWxfYqFVOf0rCyWWRNIKntSguW2g19y2I
UiiowkJWW1fKgJyvNV1Ga6Au2L/Gbo++M/ZkBpA7ssOqrZYmEAMaqhr66IFFLevIhmKWnyaj7GvK
hPnp0sR19gaN9mMuiFW6wFai8l8J0mclVzmDAMuyxIcn2anfRtDvLsPdQm4FC8TVUOM9kTuqxKnV
YqE7cmyiO6cF/pJV3H3GaUQJT36hw9oLKWZns3IORLBBkEVAqCUcmQYPCl2g83NzIc6gJ7gwx8RP
k7fnBjW31D+E2oVWY7QcIFVHQd5ovfBsJOgw0mOR42Mem/2EbopiwtKPN+xHJYyEPeLCxtkLJjct
wFy6oHMln/CZ1Lku/mJeqm7Yu8n9aJrzSxwwfqzsBcRrFyTPv9B57EMg9aIF2jOWsMm0JD+XATag
yj2NnnlHcdemf3obXtg/HibTW6am/AYXLmxgi7bhrXA62ntpESvN7VJ/pa0Y92QaN+tpgQwxocMb
qtRSHSkhC4dI0sL8yGEji6cs8MMPPzX8GxZ14Iuu17SnLqqzn7DG4I1+T6gzKG5hvDYL/wg1Yv5W
QwwU6ac1gGTTN3AafL6vTNOuvklwCmhrvqCVWJ4y/0VckEt1wS+V7iZvT+YVHzPUXLpSsOKCa7YL
uektDKd/wTmthewsFsZTXHDP7kJ+goBGPSyos1ChvV2rj3whRdXCjNoLPcq10HgUF6SULZRHOdwF
NcVBSk4L/UUfMhgd95AsVGqQGQCqyMKa1XoPtbrwq33uqXprsYDdWrVTlYc27EXyaIpilPxaIgip
uAWHVbGf7yjOco7ZaIPLMr3W1soeTOtbhbV3i/vEeadZvLizJ6vaOUTtvuRAu8ldEfcFB4odSReP
z1C+pwuvyx5wdNZqoXjhBBEbkrbyt0h2wYhZMx+8p2ihfwHGiHqTBWZf+QcP7vBmr8M0UmsBd9Nj
3gylXkWVV2AIWxBjqScyYOQc3qkLguwlrM03fk+kJKs5KOVu4ZUHJwvZvZnmzi6CfC0WrjlbCGfb
sO1DpHT8hNkKPc7y9ZZQN3kKKUh6o6huCFdRsfiTEOiwUC6fQ2NF/E95JXXr3MKOPShMJhvHbV6r
CNcTzgKkMwJyVlUiw3PCAgEiqhPfY5yaxwiQi8mMdWWv62kjpgQCvMdt1Xi/8C199pEwGKnzatOH
mL3XqkuY52Q0itc+S5gWqhqqEatIh3vQrsTgHAVdBs56EuybjoPAqrySRoWXzjFcqZknJqdh9ssp
xxpJflpKO/zvilIlNCCrt15iAOGZaPY+kYcBXmu8mXn7fIeui61q0Fx1RAyWCSmGYi/6FB4pMNMD
yLyxtTXN9SRO6bOiX2tDGoDXbegRTY8VhrBtnKbeQyaBrKUOWcsyUn0VfmL/9pOwf8t9h2a+eeo+
DVx862x2RbIZzBQvoJChS0ZX5a7KYCiZ6tH40bdb1OerKa0M41lgt2oYg3RSrf1MNeXGbhI93zTA
61SX8IaJNkUNcbuNwt6ByW6j8VgnhnPTAFNR+DfSCk/FmXJ+2l6cpcdgdrpffhPaq8LNEU2EX+fH
okD4W3MiaJZHo+nfzjOgLMhBG1wPcx1cmbjup3VvqfizqDuHVXxrMJ3puP+s7R4DLarx9G5Cvacb
THIOwZWGz3pPkRvu7UvXwgHdmzipjhRFzvtikuFIYiqmAtgIG0Y/cxbBh4yerMAnUNsVUhXW0+6F
SxQmvSyw7K+umcj6rvr4lLNvizel7TMj81AabyKKxXiSBC1gKmHQoYV6aKW3ymOGgniTPU4kI543
FuVP7pWOWB3J1vJZsnHYAWK3y9MP4hIDALlpnO458jzOvcRek+xIXaVkWzcEc/XisHjx1pIIqaOP
e+9nSnxiemBWa+5pS4sQxyK7nbYq4be8SiqcPbdsTKPrMe3w9TisdT4IOG/u7bpwH8Ku9Wr2uC4x
85GeUQsKZfM+QWvke3ZyZe50l25aIkE2GkMz5SxcTO9lJIezCpc9dhiTr73iGJcv2cCtmCMjhlJO
KA1rtn4s/OKVAMnql41FHUyxp79wFYG8tCSh1DNWDdXnH1wUwodJj1N05eMHMOn57aeZj00QFVuK
5kidxbuEs4YDesLGmcb9SxYKiyIsntG3qprCc6k0/Ae+zF+FktbDkOm421h1kN/H82g8s80LXmxN
g5ytg+CXcrT5THjicPalNN5oH2QEphBovh+qVL1x/nJdEE1vi3XhdykQsUDmHFAwjyamtNcqmRA5
FM+YVxcWp0eyxu7AIWCm2Z6SRwxAMAQYtiPS/nNuymYmjtjzucV0SRm2Bxaxxcn1NGvnSsfOEfrF
zXeNSY3oxo15uoGSx820D504Sk5z72ZnqcTUHJVYIEz66Rpjo4I8+K1LXXx1LVUni+JIH3LHLPUi
0inG+xEPY2vtzRin7pp3byxOCRQrdglsHCklbcOgHaCnKjA+qrbzDhP0+CIXz7kk76FEKB3XMFP1
vIFcq/yfLGEs/0GC3FMcxzsN3CMbLQnXEaoPCebeTVAVu4FoW+SY3NtG+F2N/VgK9+jweeKNORt+
ccWCtx7XSPvauZkBi+XieMRQ78sn0IxmPmXhBFURcCe4y6m2K9no4Qa2rwjKwOQfF4PKtyhpamub
qCDO2im0ZlLJS9lO8Fpx0zTXMTHZ6S0uZQAT26oLcdOnThmepNXp+NYfPOXeukkYDoe0S3oAOFne
kwXaGFe+5E7C5svENRU0k3R23TjHyZFgnQSTRlS3xUG24TTtcDhO3Xsxs4QmDicjdXVSMnxnl1zC
Xo+R5XFJ6p2QyIhksFnc6w7gnzRnnPOWPSVhzD7eNt8dV3c9DHM7KIRgWrJDNMWALifyvYjBI69Z
TIWFB0V2CKKmne3pQecuYYfu+BhTRFhQPE3SAombAKyrEoUqvSY1dvDWM1Ej2Hczu9sh02pj00cD
faeFE4SgJgAWuzr1eXYFJX3HJzrXpoYKit42pxVPBjxp5Gjm3duYcd2um3EqrnMwRQ+GOpZou+jJ
fn0qTaIPDiECwYQZtvDiFx5SbnfEpFhyzTGH4UoPDklaMAedLp7hqkX6afEZru4j1U+grfUiXzch
mLzZufoubYLgLeVyh9cCTNEj9Ih43U3VJtN8sCLf0+fYEDP14qH0xGo2vH7nIUGCc/itcU6K7C2g
9KhYNRaOJRq8eSaKsH43nDFAHDDnuxTtLkWRULhNso43T0BZAbKbxsgwunW8SUJME3Zf8JgqYyP8
zTLPsI+WlzIZsWKA7ujzePqaIiCJY0ccHRdWUyOoNLjElAXurtzIWRiQqThqpzHEahD5g4o6zqYS
2945GvnEcmsJE+IXfLbihNVG+rPzfLWkhpBwxlOoRZ+cGIWpyulaNKVOT9FLR/obPw9/TtnsJpF1
O7lObl8HZkn7Al9tojKV2jQ2TVqR1Ez410h8SmuO+zFCSGg4+lkAsuZ/RnhiYsrSuv0oDLc8wksb
69z1QjI3824BQWfLJSlFotDPhXRuZR45Dw0xAvukTotjiuFhJs6El8MdXNrd+rF/4pUPDiKITL6+
8qxqO8zdsTbL8QN7aPQyEbH5OjVRn+7xmNgnkEkP2CWYLPIwrfwtwklCxTDohbn2KsssUGEkPaMl
Ftb8JlCq4Vxy/IKmbL4xxOQsINV3JkQCrBEotPTDodnUDPvEEYRus+lJAQHQBDfSG6q2Q07sJnD/
N68K3IpN33+/t1wl4NB/31n++YK/OGj/h2Oiw1AgYtrWn83kn52l7/xg7cjOcgnFdKS15EP9g4P2
fkj0O+hoMrJd2w1YdP5jZyl+8BUueaymKR2ir4L/bGe5pG7+LeZV2CawtbUEckvS4/9g0n8LHG9I
fevKoHD2NQlFT/Au8wakoDyNHtdrnY5qr5viLcZNshpt339LvKIgI00qrAz8Q+xLqlquY/iU1zSO
kxsaIN1rctG9EL6vp88S62IMZcUA/2rPyMss73LCq7KYtVvWo4pm0Jt4gPT8Gjhu9XuuvP4V9ZqQ
W+HY/S2OrvHO9CMYMTzkSDtVhgDt26ex1fYD257mLNi/nTBmcI8Lyv4YIX+MG8sGycDKZ4tzjcHs
jJeDCrYEz8hTloSzeSQOzzibKX8Qelyqy6UHzQUYLMLnsUqbfSENeXYJtHhnn4EbjLmeAQVfZPIC
l2g+h3JaaqqdiN8beR4UJk8JhY/y2f4OojDPcRYV1antxoiZxM1uAPGIDEg7lVwRteWJdYuddkWU
cUElM17ue4OK24DrZzLdBwkhlLrwymtcbktKRaZiMnq0LNRt1E/qt5UnxgPZFzCkeRIOH6QpoNtw
QmPZ6oypuWFRISdWqz41GTCBBsdqrDPaNqfp6A6y2pE4wtOGZCeuuQML51p51RXRzfKYWlY0bwps
k9gG0+BgKwRAKnZ/x8z0Dd8Wcas0J4r2gPW1USs6kJW/HntzCRZQUL08fqBYOzwqR1Qdcrp6c6FJ
LO9RVqa3047Tfk9UgyW8GvSjKSN1vurMGt4s8gdOS/bUWTIC3iO62s8AT+11JjNao6lG94wdhyDz
4Kg0pYuZSCNiMVCGTipyyQHIxoDUtLLeQo6V0VpWojhNmmxPQUnCSfa9eT/L2js7dI5vLVfJ9yLW
+VNRyv6REO94OFR2ahKiYKh6RfEC2mIqx+DGdIP4lmZYPJosYvpr2frOlQR/P5qWAUQVhpU6Qp+Q
GFYOvKR+62bFgeCHlGo5BdyaBcQ5hUP3SDNb+B4wX5KiLMSb1xbuGYN9fmBosZdWLCu4aRUv1Ep6
EPSrWiNGr0vSUDp+k5T1gFt13ryzmEjx3XSYDDrdRVBZ5BIip+v2wSBRFV9lilZIECUbgPe6LkKy
Xyp83r02Xthxj/Cw1Yk1lLHzFLGJchK3fUafLAlbuyIAHghb8Uou7naZh3ZVhTkQJ1J8JUAYv/Oi
+bJIELoh+/CxaevfQdKF65C6S5hKSuhrtlEEu90WTbTxZA2+mrp65dguVIyrilvYEd71kHSjuxts
Oys3pKBg3RMjd6eqm1nzTV5P86iSJxyZ68F0Bg4EbOdczHtapjCPbPkY6ucyEOW1QZzXqoV3J+67
V+q+d0Oum5SdthTFmFB/i0XNf1e4iJiT/d5gbYnB7SsrORM3nCbg1pU5k0Phz2Mc7x3Fi7PyJCo8
jknC4nd8kWQocyJW2CONScbVICkxXg9U2n8nTql2yiKEmHB0yduiH/dWIcXe1MLciqixjtbic9CD
ibIbCSbxaA7DZ4+Xdq167WNUkNnOj3ACb7J4YKRe6LdtmfZqN6XpfM2z23z003Z+97lTOSs7afW5
sO3qCEae3YW2H+5YZyS/6wSP9MrIJAkpc29Ou2U239LZPlD0wfphBean3mqRm4eGtXrEJi5LDhOX
r51im/9/2Duz3ciNrFu/SqPvaZAMkkECpw9wMplzppQaS9INIZWqOM9DkHz687H8o+2yDTf6/r80
yhKVTDJix95rfQsOTCvpITpUXSL14r1Xh80LlD3cxM3U+HVAoFIO9gm5cTE86JnRvGhZnx5lXk+1
byZS7tq+7ngfwvaKmJpoEVFZ/UfImHojTG8/h/YJJsJ07piMvDRm2J7CcNz3c6o99BU60qRw0/sp
rsNbB7/4rclwbIfuVlyJZ6vi7sApZ7rSQiKCW4rhyfPEsG0rVSwpLbI+ELis3egtE6ITeJDpVuFv
PCcRKzwRm55xtFT2Gnhe9yq1NH2u4768cJvTuzydrbfOLggorykRIR3SKScwoZ/O0UChvgK83vpJ
34mNcjtv3dquecFBUACxCJCkWV6PO3C2UF0NNuFnyGwa0mQw6mR8dTPtrm025/NDMHcgtwPsxF9c
OqibqRq72zyyyHWg4QFjIJurdeskyWedRv3BGNAgrXLNjh8QqPKULddG9SCuRFuY2zBPpz0HO+er
gWJn56BdAh+QQ3hDggAmLTMgq7KRFtpZtnB3kF0xSFJs91VTb6k7nS0YP3XPZNAOISSQxOK6bkqL
agp3gRWRpBME2RcypuenznLNM4q8BU8la/NYWQGBikUkjEOoi0+axmAEDJV+4NSu0w08mOppNAYK
a4vSo/C9upHnsXKTi+m2zABa1lY7yt9FW8Q8xikeRCYUt4jiBNSlOeAoAcgqfVOsp5D9Il1omyks
yjtpuUZ3UMi8H0viJzg80FA96m3jPLd1OjyNifHZ9GU57+Kg1VYyzMQtLLHwm+y7cFs4ETONaRFz
Tq1lWaSHeOOGNGDzOWnAVkiWmveA9jCLrjkkOFFTvQD1k9jVk5yS7FsmMnQtoszQA5O6XDEHeI0S
XGvQmOqlTVupzcgiOgLF27gEmx5n+CcvXhB+APPa82q5p9r1EhK0wEENWrgvauNBn/meaTiq41QH
N/S6arAeNZLzXs2wlDGAPKQNL8m+h1lyItHdeRgKFA0avBWYjR4K2Cih6LDntP3gTHJTTkDKDAxW
B7PS7F2dsJmu6obckYzWiV/YprqjNdhS7+lsrZyFtxV7ylNJ0PPWmBuanYXRXDPs7E8kSmiI3T1Y
CVnhrKs2szaytLVHd5Sbkc7yqtFN904B5blpVEi9R2P2izFN5mFocjJzhqL6ZFJB0EzaFhvMvvAu
ZOG9OCKfbskGLz/BEuKbameFx8BxpofGwhHRM7HbVma7Ry0YnaOyn7Y0tWrgDe2MqqZ0vktCiddV
YN8yaIpPucZ2D2TH+JiKaSjpEbnMDxm4cwKdBi0+ZXnAkZFj5/g9CHR1nqckxPfHoe8GJjkLiRrL
j3xozI3SWvcUBgSoqlzFV2eijsIE4m0lRrMtDKPq0geeRvA20A0jgA5St+MnPoL2Glf1DW6Abm/o
ZHJNhkY50CGCkZOTnmt8wsge1ZmiE9akV1i32WBm+6BiWS91zdpWgmwiGZ9JD/sAYPZZGd6tDMN2
y1CCcx1WEXlfVlUFs6bSjW1UayfWROh7JqQcMsVZV1ewsgqyQJHfU0agID5Jp1NbMXXavasDvnml
UelKMKot0y2HdAJI2Zn1nSKr7HfA5oxnNql6N6rO+CZttSiZ8praD5ao9zlwPiWsoGE3aq1BPYBT
luT59vNFb7VLaiT2PcXkdEw8zEUCB8GZg7ZHNbdIAAA7xUw8Q2KYVqqxxWOWGuE+bzvEZhmcbtUl
J2FXzg0rAjikGnGWE+L/xysg0O/yE2fIC1OLTjidb5rOnVImCrV8zaisH8rGbM68r3ZP7dVN26ae
hrtUq2nbMiJ0L4xpENqCm5zNTUCFS5sgNRp/RLb/wBGfGI4Kz+BrkUb5WWD/0NdGbto3oqRCSVNk
uiuK1dxcRSg5rimSMloReRs4q9ZWEOfTuln4iADMNDhyFUyfNDJOQByJUop0a7EBUmJYPfkosGVu
Bt12Mr9r84s5OPLORRKLwlyKWK4Bs+Wf7hQbH2HVuxfHS+VrHxn9gVhczF6OE+M4y8OItPigCPoR
RhX+E5/xfeFrZQWJPJiV+9jS8OxWsEamzbgMHwHculurtne4lzLfYcIDtyryjPWUBM2OVet9iDuU
X2Zf+pFrRTuylPI14QM7rOZXs7a/M9NAC4xn6zASDbBOc+0AG2mPyPdmLhnTD06FHDQJuwcd0AGe
nibeBXZGBLEeiHVmES++HDGkzPfcCLyf5ZbZ+bDiLzk6dvFdn7glcUhSuDPqaDIpuDkiIwvIPM33
yuiL16iMmPHwsYMaB3UtfNIoO1YcB9W2SbpbTucFE3X3QqO/9nNd24sYwDqHkQ+Ckc6pnfhFbLtr
tBLsDXr41pXmKURPurLbxvS7Xjr+rDCtpWXUHWSaz5scDMHKdoKZliSWLVEMENisnr9zAI6Cd5Tp
VdYQ3mT6eja+50Ptt3207zxAf3h5b+deplcl8nLjRPp84d2zdpUIPJ+tx1gphXAHRYIpjklBPy6o
0HHSprPXIU00eA59z4wodpoVcnSxnfM2pSjVpmFH2zm4Qz9rBKjW0kmsNVxINRmDXXN2ph4oJuIK
MDpNJmnnaZLGnjXsLU0GuOrM/qVNCuSnSNw4sCSEkJ9GRsqVP5vDgDQTbMLGCSvvOWNk+96JMDgx
sFU2g9xqRUFjv4Sq6sNNp9kemNiZA85RF0Z871ThmG8gJc/7atTHFRuH/iUE/fgAN6xigAJLSd9p
adYewftjGBpc8Cy6HKovDJzB1PEo6p372HWpfWKBSVd5TBLKmNXvBO+JVU2PDacI6H5Gk5vK0Idv
5tRHJtWp7jL/Fy7z16DoeOUqMqiJ8Fmjf4d3WDbB8MabBZjXrmJIu3m0y53RwQnIVm3HHOHwM4bH
ZDbHfQeRHztUZHib2GyqkxGy5rMK6eo5tNPstcy8eBc7XV9sctnKJ5fCxUIxAUNkYUamvwby/K9s
8HGqvv3rn++feVz4cYu992v3+2YaTbO/hcX/v7Z9z//8A7923zznF0Dw5JjqAk8JSRGEYfxP9837
hYMsv9sBBG+RlMG//NZ98wjuQssHGADSgKAx91v3DS0hQbaOQdIF7Tfjv+m+OcbPikF36bh5XIku
H7QDrkWf7/dBUmUklR7hG8dcweKJSkyLjA1MY5Hs9LLvi7VbztmVETaDLA46brEeCBUFKouIN19H
nSTbqKH32PgzYFpWBX1mjIRErNyPGi6LXTnhN3e9ZtiY9AC/TUZHXrOG9+1o2VmPPaxHRWR5Q3xw
wIQmdtFeLSiFd16LjD80J2edm1pxHk0vPrRhMF5603pwLY733MFpB98Vaz+u60vSwpXFlptYKtnY
DqcZVFey6nt/btS8xghaIIirgvXcuOVWkqPMvLA3N7BOqAZq7wJC2iCxoQ1RNUdvGBPj08Qgzk9I
iFrPeuttS1t8VqBBUAq0X4scsWBaxUARWpsx5BhMh4Rz6d3seeqYxnr06dVA0RZgy7Ewunc5aiwL
SJi3SY+VT8FQvrix8y0YpHHT1ePn3Pf2Vh/xYFuJduPUclUm8wdL+EELhY/S5MtYixPTuLNFGh09
uGMOXCyOgIqvZK19RZWltsEoPrOs2rUgrBHgT3tylfC/KfEYenC/yxhAD07AwM/DEgW5gQQyskfY
9PKFydU5YSCOb9dXrWqw0BKFCDbbpUjRhpOhGHpS2h7znCTRKbZ2o4YIqs+6a9pUi7RrbHOaDbm5
V5X1MSmNAwoH+btZOOYtIzmsuY3Vv+WtmSNRd4bwK5MzfJzJyG9AarIrDIWeCsn1Lutr9zbPQ/pk
ozN9b7wOybgVCya1TAFPaZWrcxOlt7CcAPM07H/pVDFFZXJDA4Hix44z7Cpp/8Mad2/UuGB73LdG
CMCOORVqFhNywn7K3GtaSs9XznzvRuVdKtkYQiWvcx6rgz1k8Smuu4U2lAbmFXhz7TMU/Mpodty6
WvaWgzy4wC3C/rag9QazTe+l7EG1Qmo8IaMY2C3crUg4kxWjmBe0xnTqUnlrAN+478K2Nc5SBsmC
ZCuM2i8mLcbhZaV5v+3yrI/XWqbwC0hvOZElaOiUn1UW713iLNo+p4/zbGPNQa7vOKbiISfdwQR+
5GK+BFkH52CgPZQSRY8kaI0fUefIiBw03DDhmkIfV03sIJgoCdGFGqZQ2yaGBVRfQ2u2KkJgrGfN
Av267w2v6taRmQKES1ISsb5oadLQRNUKt4NslcObpKApEf0MbjHc2CiDpr0Llmg6BXWUqa072pmB
ELZp3IecYq48pLS4SkyK8exx3cTjDWijzMPrqyUA36BZ4SYPGHNvJi8s83VIyYqwXzicJUu7XvZh
Uwe4HeSa236WuOHydWm43oBsckL2A7bRRpOCXKBQvDFelwTXJmzciVwpgx3Ymcao3AemwnlsDho0
YoeZA27ZkmGbL9OMmyVTbYV4cdPzZ6Ds1HlDOpdXIUZ1kYLtfWipNr+poC4tH6MdDjOE/EZ6BcGR
J9u5tyA75h0t0psI9810sjB/7UL8yN3GDFLoVxzIZ+FD2q9QOfSRNA5O3XS4ChpoXFuPcTj2jBwY
x8oajPm9AAiwRoUW3XuEDW04qnPBvkp99HRwYosqkj1GD0BVq3qgPV/OR0czTQbicQRwzereVVH2
FkERY33pS7BZq4gZ5iEfnfndJaSO3jcICad9TOBTRt34Aupi9Nuinl5dW9XbOY2yO5EYLHtxCKak
KOhdk8izHYbWfQ3NGsqM6Kz5DVT+p3L6wAfOUTwHWuNXHseDFuoZHsbu5PB7GywjoHooQEc15OA3
EJ/vPC3gjg4Yt0F/KK1cZa5W304Nricos7Tsqfw6E4p52iyoDFCBcAai56GzRlw1Ud09JLnMxH2Q
1VgYM4myGIilc2pxIALobjp9vLezGD4zGeuhT7Z5Gj1kKIU+mbPDhlZx3ka+Sw/gsYFzPbyF5Qzp
bjZGGt/RQPLDqoZPZsR0v1I1fqB3C9yVw7NsAOoBo4pJaemQtyQcje1w7To0QJbGQGBA43pxRX83
pb11CCInuUPI32/bbC6etFmXZ83LxlfYV9VdpekeaoXJ88hiynA8B02eXbFdlh8FI789LB11CJjS
aCvmqfm7E8TGndZ6zUqanXc7dhwEVmjIXZzbbv8li9MEYkiBUnfViD5I18jF3O9uNtdnJBPqexCR
lrSGuCCzx1arJUA2KLdrUzhRRLuFIIXvsQuibc0QQEc9Ojj36M6dL7nSkh0cbFNu6Rc42dkoCLTQ
CtDaWuE1j2WIahcVtSq+mdItvw9SUy+qNvvKB+zg+Y6dN+WKoD2OAfEI24TUW3EJs1ZD54DT+ZH5
TJ2fi2p00z3AY1rvYawNCR7tyH3Bjk2WRdJ64y6pgtJEMp5an6XWDHcErLiPellk5yLuYg7CJKw8
ZY1hv809OwiZJyySMp/CF2fQ9DsTPg+Rz1M2XmheoazEDLIPlAeRObSNUxSa3WGwTMZh6JwL3+4V
s31cTg2t8wZW93rGRATj1MNTNUaGdoPON1+Qwy1DKofBXHPJNYr81RyScsgqWWfArnWvAAozTxkR
f115bLuxJ6lXiNa+axK8d3kb8tBhtBQDqNkhEL4ZeBLkMPbl+eCi3goOGiFgzV63dPY/xMROcTfY
pgY02wki8w6yNmImhordsOUISmpGKyTYmCrio/sKsTYnHC1lSBS7Rqp2KOns8BwXmjOtgSEPd4YZ
xOERAIitnxXjAKgAnla59OHKe68cKw52iTb19wHUweo5yO31mNsFpi780iaT5E2R8sp7UeStleGA
npCGu1Nd7T2SToA5lMolXBNTwEQGUQ4K/1nsPdsdfdggCP4T6ARizjiwy9bdEYu8BNkM9D+1pJ3P
wPncblW0AsGJaPkWqowOKA/EQLiN64DEGieo1b3Qb2DGxD6OjHudF37dtHGw6RzYem1WDS8IfOoT
zaHwKWlrztcthKmVDr380bLDKNxQ3RR8w+V4mJHhVuemBBm9w+/DhBIEiMvXWnWAnJHGWd3VNDP9
1m2luGRaJJ4s1Y31jpkpuKbSAbAIbsCh1V8RlHMAUiSeJmOI+ZqnSYYbb+r7h1EkioT0yU2PkTmH
n2xzLJZBo+xxNahIhHsa+8HG4PzB9DX3TlDgsyvei2stjXFH/g2WRQ/WYVPM9rlsKpKPe/tUz7ZY
zIiPIS0cY4US7qQ0e35nw0geQmkCwGEMsgPZZdRoibX0YHRNAFfMkvVnGBaUYKUdgFrS1T6j6xdv
K0JmmI3FgHY3eitI9hRSX1qwbAQ7NVK2X+yo83ZtqUxvSZGYb1OrJbyhm8qvVTt9hb+IqrczYkZy
6KpsRkFiacWB/cH9/DtpxPVXZcE/ih7gcVx07b/++XO45J9PPH/ArgnEPnoJDfJglRljIubNzbGA
o/3431/GtYTnWGQwS8a0Px+shjkvyiDQ1EGODYPDJAxhz0w1+v6/v86SYf2bfGL5OMv3a+BH0zkR
8p8/X8fwNLNzyZE+zH3RvyfLDo8DkxNBOLlkN4xaGn8jiyTKV1aXm+5/uLq53K0/Xl4KwA4ezTsP
w8LPl49ViHGiEd3BauJqGy2FgOkCV7OW4mBQbXbn1qLepqWF02EqRx9h0sugEyRGdWH9KDOgqmdL
4QFUV9vN4xW+e3lwUNlXR528rQoKQUffQ1Nxdts2DUtVKedghd4Zt5jt/YfQ8D9/IE7COhnT3FgX
O99yv38nR6E/RWBS2VeHOW7bBDMGQsPVQAi7vukdDGjLMu6KX1srGCXDb+VfPJN/vqgArWFh7KEy
deQCJPz9RRtmldaQegQ1xuF8FlJQS3evehMeY7I6YCD+Wxv0FxdbjvQ/f2VcDNkOH5DfBG/h54uB
AgL0h+3toKBDbbC4fY5EK+b62P2HT/XnN03wWNq2a0uaHMJe/v13t9LMW6MqawKmYsyC3a1lVAEb
Z2HQGv/7T2T8xf2zPYtTJGUiSXzyD19aiJImgYefHTrLcE6kX3k+HelocbF4AsCeSSd2580x57wq
Uu1tqlC9Xl3DJsaCkq//Uf1V9JX9rukDWD4/6sPmR63493/qn+4JVlAeLY/GDrfFFn/8SzUr7HCD
xIc0inR5qNy+u45LJMfNf30dECt4sOFVchnvD/ce23Zbh0DXDkXAYcBvpFnE/qIJOv64zv82Bf9D
UxBqqGCt+/d757937//4hnmlmxbK6r/+uY/z96/Re/aPvwqR/PWH/8dS7P2iI6nGO+yZoPOs3zqE
0v6Fp9q1IJUKC2zS7zqEQvwCmoKESczIaEMQ5P27Q4jdGPPBos9z0Hz/+Kf/+39+WomAvP7037/f
LSnlf1ougFhKJP6Gblv0CIVhWhBRf3qLSQyo0Bu4u4KzuB/D364xE3MiwwYPZ74TuAj0yHtWtU1K
uqbw2FooO6VKgoOJ5/BTb+ZinzJd9WnT3QL/yndW3iVvWZPKLa78ivE5vIuvNRotBqN1i4R+Cm80
JoP3SJm1bdkXP45aXfOJPHrajVEr75kog5yjv259DUjktlBbO9GWA/x28voL5KXstORv+r1yugPB
PAcGVjgVjULfxpV3q4Pv3Vde2L84Ye19ppoDFTmKpmDXaEG/FYXBkWIJ6vsMsTC/ISfvj3ObmL7t
jN1ubstoz2ZMF4zUul071r0fmtnFm2L3Fkmc2kzkYe1LSDt+PfXOStWWvgezMl+Vk0YbD+wzBBWa
GLsgQ+C/woxWPQ1zWX4jzc25dLomjrXbP86t7qFabN2rkEQvImKmUWo6ZSBWmE/aasWgpZFENpI6
sJpIf9u50zSi9jXTl5ax+lHAmD0Wqfm1CXIwn2kcn8Fpt1ustu1DVlXRQUwtMnImDZgtUxl/RPQp
v5gBLvA6bq1z6LbBRzUOAMfG1ta+DzBvLvnkDi8lVfmFL5zPadOdC6DehLZu3SgbaCj2KDRjDPKz
DSOR76PF+NJxIozoGZPiIyFqlKWZ+MpoO188oW6/pVwM1jzwFjdKKx6s3EwQrDCjitxefwFOzW7s
gMn37AHkM1PTi4gicoJNZNtKgMfACoEHIoSyMQw2eVAh2e4nWwueiQhXPrDA/JECGft0i5CtmyPx
Cksr3fcmyYGDJfPbGBCcJOEYtZYzMBVqTJX7Mmg3KpUmseAQc3I7+oZ4JAiomyv7xjCG5ECrcsWX
rp/x6OZn4s68T7uywqcRM0S/Yur2PI1mdnSBEz2qgkAB0pW8+uwOWg9vRTfv2lroBaMzDZ5faTWU
akSrf7ZWe+uRaLKGWVltyVo3b2Yx5dtEOSPiSiJdoS/y1Ma6lz3BBzFrf6T0Q4zNPfMS8L9aU/Rv
sx2VJ811q/s+R3Y4M8jaTkpvVmJE4WO1AD6ZfVWTlM9pNZarNMdz2GgIIJsp8ZWdRrsxiIsnw528
m4hPR6YJ2qKNDjAoWtzC4U1X6uFVzIbld5FYhA6M4nCIqwZ4j4AjbAf6BCcsIfmaU+FXF4GIx+hM
q/ckgVnbhsb4BiDWde7Lry2EVzcNkrWmK9/UO3KcS3XJB1HtXWbba093HhEc+KFRmAdiw+h3mpGj
+b9bq/+iRhLLqvZbkfRj1QO3xjptMIZhEWY48/tVL5CJVGXLcgC51YQdbpc0d6uqKCIex6I6j1lp
rlXO+KAtXrIxE9GmrLHtW7PBfDAkGvcEKomOClmcfhEV2ckbRJivOaanZ/oVxUtZM7BtpSIN2hGR
RTwsxoDFnT6n996P9xmbGu+2iDhRHQreC+eA/lgclT0xscAzZBWb3tLSt7//6HLhUfz02Zd5lbXU
U1g2KBT1P6z4ExlNBG6FoATtEGlFToMkFQ+aO77RX0hWBuk2a1uG9Vk2OIXXTI9o7A4jOBR0mIUk
jwRbHS5VcC6EngR0ZUxb+Q2xPd9SAXCOeI7pILHUWGN2qMWMjcDsmzcyXbdlRLAFM6CjmZkQedL4
a12D7+PZyq9j7zYH6trap0FDJ9doo6NZ5zlpZymIlbRJxaHApgrkONW7DffRXAcKLNMAzn+HWTi/
Qu/z3ji0F2/ToA9b5WTFh0kH/8YOESxnwLG3kTJyzGNKvtBAIrgpF8F1yuPhnv+U22bu4xegpdFx
HBTZ417nbubcIZq3r+Zd6Si0Ia6acL4i8cRn0gXbEHvww8QBk4QzksMg1EQY8pM02qaWZ+w4zYMs
Y5PdZIIJBXsQUr6mDZrnziSCJRRe9ZyIxPPrrLC+O7pHDG6XpqdeJXCnKzs5VVhBMLm0pv2sdbZ5
Sy6RBhZMYfUNPEJgoFCV3zCgjM8OstxnW5bFNQrq5uqm9nDUcSbthWFFZxhqzd4crEPeuNCaIyyu
Jdb52m1HEG29Md6ZSqm7UeXpzaAK9PdAmOJdZA0F30g/+slUNw8E4zHJMGd69KVhflioDB7LwCq9
dZA9RV1CqFE322pmajbnbzkQ0wue8e48Q+PGI9eOp4L21Tl3EYS7ThafmfIxdmqkK7aNkUyLQ9mN
1nozVFhjVHDbaqq6c6SSiIWMcNqDSsx8G8HhpsHHtQGdnl6xuJcXOEAd3NuC1nMoyD5jWnsXLatI
VgeUK/JA5xdFfHE7mbSCFy+oynJmQdNlbB0CKV1JT4ltAmB0em2XNSsk1mkbLOsYoNToLp817bu7
rHDDstZlDc0M1UC1RtFCeyqzd/OPhbH/sUiyUlh+v6yczbKGuk3EOoMXfmYhAFGwNpf1Flls8TQu
a3BjWuOxUAthqTLr6aUgG3drqokV3Sjr+0HW5WnBG7/ZCkwgICXpp1pjop9fNoZk2SPksluQr4Sy
Ol32EAw7sbaXAGDidfdjC9IBKcBt0KZO+bDI5OOkl/ZtW5Fm5o/LvhY3kSBxqTRSe9cCjj1qQ4Vi
fNkn+yaZffR/7KCkZLkfqkpstgqeacE+FVenCsA7a2iX1/sSfNMugJEU+82PLZ3xKl/spNFzpzs9
bIlWJS9rbvmK5I+qYVoKCI1KYl5KCvdHcYF6OFkXvbT9aKk7dMrHwIuAjWHLx5qeue4m0PrxlJMC
5CPeGQ+BjWKfjKoc9SnWsgEp2CHpe9I3emyyvjF41roYSwhkXpamFxuj7kF0JcNlhppfotLBvYjs
9r6YDDxtDQ6yrUl037d6rszrSNgmENd+uMag0Z80pIMPAdyS1seAJQ+ovTVfCwhJRhJkxbeOQXwz
RrxI3Dia6PeNVqcXajqkjIqe0tLCh8MOeSc6VkGV33T9wCygUrL5QGn0ojvQjT1EONE6Fbq9zQPX
2LnjEJEnxgdHdmgeGg1WBuNVZ2D469IBrlpafwIy8dWeiUOXzmg9EOTqXOle2utYsnVh0i4fq7IP
Y7SATXYQWpx0fh7T2llFg5uw8VZgdT2szBenYmTvDArPIfPuj9Gb+69wFiruMZpuxKS8aPiqaRqv
HLh+9SpEy/YFlr+9Y17FW0zfJz5Kp0pPqnG1o1cPap8n43hMJCa4paPIgb12QhwMmv5qjOB/6B89
oqpHEkai+I7mZXyMZqPFlmy5zh14mPQtEQ7JOYt7CaBh3n2E9hC+VX3XbnRJUgfMmGDH//Kh0wje
LOq6TQeb6GRWHg8/DsaMrVyP75Z4GsTqZHUxaKQKxGTuWNeYjxEw9FvbhH27ZYU3MJm/6aZG+HVX
xgyqKAC0JZIE2VPcQWugY/FStql1hNTTX2yBEhBHar9RTGP4YTkfpAnnDFsSbAeXgn3TcAagc+sc
Pd36jgL5YxpLRmJjDgLCC8riIBvb5W1HKLgqkjq8Rzs77Vh5KKyDVH8megitbJk/g+w2X6za6PdD
n1VflE2oEhlozTd8T/gY6J7vh25+w4OApT1zmBcntnOwrfJiOuo2ATJF0Q8Ptx9HZwNWFadpkOGL
2ejDCCughymlIy60qoPrdOy7QWofcVyL/dxVycZo7Ok11nhO9dmCQae0nvaLE3xFKGvtQsdNFL7C
payfi5FCeUSMN0Ygc/sIgLtVa1sH9TD22zw+oT4Op1NfaOW9ow3mY8T5ZVzH5dh9G9KKclGkrXsm
zZbVZghF8lBUymkRiZHuneRpvpWJVe2aUoAmTYg65020ndiXXuPwW4f4PYsHaxXIqjma6Gl5f1o+
+5AFBwZryQlhQrd2+aCET2F+3EB8r29Tp432BbaKjSIEAv/aPHJwEsjDtHQ6jJ5n7mKb6xPeI19y
KsEYSeTkXXKvmPAQCVAiRi/fojo2duaAkDtwtZQUrGzirW0m3eEYygR9BbbokGD+9YL+Mkv9+9KF
2AxGYLx3gyZvPQKmGlk9tqmEZ2oSSndvhs2U71Qcz5+JmHkNIvc57wqK6p69fTYLAytno3auXrer
KRLjTu8dkpbHTH/uwrHGawGbDhvC0LAkDZ0fWibTSBnkeBxoqWl+xsT/kfbE/OgwLcAlqrv9mgY1
tKkIut8SWHSFq29e0BcjEQ9C5yKs0LyDkds5vtU1brHzpKc94AoUV2EUCmroR9DOfqGqEQpEOEfO
LfMna48vmLJIKy45qAZLrx2/abNAItZNdk7c47gfTc4YY6tBaPickL8l2yWbGJnRlBET5knDBxd+
7lQyQzNPT52JNEHvX9yUKNj7KSIKzeqMVV2YyffEDm/SNC+Y51X6nbSD+pXni83LmbpbhSmQlLui
etGHAbF8TOyBvdbYZ3ceb/QrMbbqCb6PeA1gCHxxEnxDnd5aB5j9yZGdIDo7WaCt0ckbiBoyaD4a
wX9JEh66JsGoQYQYU/A+uouTyrkHiDC9Qa6fCbEI80NDWOF6TqA+EUxhZ3tY8eiOqk6OLz1LHjRj
eGLL+CTah5adHzK48hsAmSDbNG98MGHZ7IClzDtgktaWLnuyB3XKQTaikp2yYNoMsTGCv7V11J6l
6+D5FnpwtbOiOlh1P25DYkY2oJ6jpwby/m5AfYyHq6/R0TbePiQrGskSBK5VHDDQ5m9AEBmiXh1Q
H7/Uw7QYPMYwXBdxfh8yESSFrdTmLYHoI9khUb0zjPQp06bqyHio36FfpiAjmnkLY44zv+VYj9jW
2s3cVyVKVQx4oA6yatFNSnPdQb9ELdamvIHwW1mwEX4RstzzZvGnlOvOy/mJocu79RQU4nmCc7tm
1Ci/VmEh9hHReqAe8tZvO+aeKC/yfWEiuO4K6GKGmyYAkZG9My+t1TpMbX/q0+BkGkFwKYwCekv0
YdOYSVLIN4wmjCg4NXmAaTLFZUO+x0uXExi4KO42mT1PRzp8hU/5cM+5fG16meLe5vAugSvklwht
9zpXgwS0D+YyHu2IY1IsOZuTU3uK6C5zCwLjoJrSQDo2EHRrtsV3CLvoXRUdZkCw8Ca0wKhWImCu
TEZ9+kmkfPpaxBa84Do1g3tLGzwcnk525azSnayYSRICaDpLttOK5wTW2roL4+o1xyixNqusPDH7
Tzj/Vcm+wga710Wc7ayhqc+FKNo9hIV1RWKKPiYSAp3lzdtZJsaON0w8dRzXrp2GKL8YZLOJc3of
kUdytf7/2TuT3cixNEu/SqEXvWo6yMvpEo3eGGmzSTINLpf7hpBc7pznmU9f31VEZkV4Z0UhF9VA
Ar3JQCJCk5nx3n845ztYbfo0O1fCPs3dYZG8njjRv7I399Mmlg+iHL19OrnpM+taizyhPL+4ScfO
lUfwGE7pNTKdafiv1lv/qBW2LWxFhqt7Qvd+GddPaSnC0DLlXluWbothwvlOQi+it8YupbfxWvpf
M58jdqklroo2Q4kdxHGt3YPVWd5IXwR3mFt2DGQ5XVE+qXklMx00kAOeVcMH/mZhZf2YcOqYQSvS
NRkQLpUjTwneUZJ76RA1/79lav8vFBnG4sf7S7bn6bUohn/7n69F/b//7fzaxSCD/qjZ/f3rfx/J
O59cJdilvjHAczL1/pto18Uy7zELl+zo+Ac5YX8X7Zr2J8P0bENC3qSn+pjW/y7aNYWihgoiw9jT
6iC4/inRLkirPw1oNLa9rsWO8teFGkjAyCDJHnRS2BL7SuAihmvdWvE8J+NtbWVOtfVCNBgbQ4MG
tBk6K9vqWtOcl3kMjyhImt0SE2rvlHMc6MvsBuQ3AqI2CdnRFIPLr0kGwpltG2NAoYhXPsSz3lT9
ciwwO27yLl6+zKracWlSt12jxwcSCpo7YxDZl6gNWQaQr7IvVL0EHiY7e5HnHWEAUoSouqoo4/bE
OMVSYKHkFWEw3mN0QwlAIVWWdapCk6pWy1TVNi4jVqKPUm5SVV31UeBBNZGXdYiIc4lVBRh9FINM
JcVTryrEfmmS5QwABAUvZKlLLWZtF8oq3C+Ul1a6IgeWDiWnVmKLIW0JmHAIRmdfqeo0t7MRUSQV
a5OOdTCTQfxVyxAbMT8wD4aqceEQLk8DTDX93EXgx33vt6p4KIhaM5zCvikRum5ikeNNR/FxtlO3
frOydWTsUWvgofCMEcZIDa6q8Sotsy/MOeovUeINqHio2uF0za6vw3w/4fhY9quyNft1n7TfB6Rb
J3PALLSnDM50dDUYWiZt1KuNSBPtSdMKd75ZLdDI+3UAT8RAFqHbvHKZJblGoDguiFetTjLYNdbo
+VrR99tEh7MerinfJSFrPPIHs+23HdPZg8L6Aad2jGDNnSWI1X/JNhbjU5QM4oExdPGzmXgXAtGa
9TPrWK4x6SH6+sxwUI5+MYqGSZSDBd/P9aIg3SmT0V3huOaRUKT4agtKSwPcG5TGGpkIL1tbwYYf
4uUaIvvmGEwpu/mW4tryK74OqDQZMmo9PJKlgXbuav1MPYXbBNoYCBm6/PYYW9qyK2Ij/LnUDr9T
V3h2Tu0ce4zV+ajEWxAl4sF1uvCV85jIdDvU+J/ZEMz1yA4NAIB6FOKNUV7CpO8CnaHYfYW4h/GE
VxvJblhxsAixJg8JCJefNhES/kyACCugZIG0DpQVSVnb9lxV00pX4cl8GA6p1PR3ZkfL60r/+tnk
x9pBRVDnT525AI90ZCM1RkbSqUgrqWs8P12N7GHM+5F5ODG6QU7FghY1F1WlwEkWqxFSG3ZCc6V1
JbC1TgIu5qjcks/jqFn9gIwvp2x8xOCVTeBdtYJe3e4AVqVGI7mv50H/MYF2PWrI5UjwLlai8xpg
NeVG00P7ZKBO6hgieR7xp/N3oTMvBIpof7fKNT+gqurBm9rMxxXucTUa68qLwlTFkPX8DDsyeuU2
TY6Y9rNjvYTEJzCUAtrmIFd0M0+wk+oK/tY1Foigp5H3iSSL/kwZy81qL20ykuvrwXWcmMUeWA8y
ohb1EIix9n60gslUMPda/0wtHb8lazq9RWE67hyCfRTkaromZaed+sUuroiNbXJXWzJpN5axWN+0
djHp4l2TpJMCC90F0SnRA0UVfeObFIc01vVrhzjanywPlCHRudTGzmUd6TPkQC5sMsr8Qq68/U1a
kZtysTNHcbuU3Ri5q8m2djl7krjORt/IDGyII0XgsZBmdSrMpM4DScWQBL0rwgs8wfmwOIncxi1z
0i3G5fACeSpnRaURl8i03e1q8Ly9/sq+yfvsmAO6vK7zHvBs3C8lCsNonlGvWLLcESK4IISzh/rJ
sUfvXNT57EeWlXyvBESygYKUrn7Q0bMxlR9TM9naXSIZvVfZQSSaHeR2PGGHbKaAR73dVupML5fM
BeiAr9CB2vg1jzoEjUlstXublRya/Dy51Tj3bgokKXdehwA4tsMx0AGdPcD3sq5NROptiSQCNuaQ
NXtniq2rM1jZk9Fp8Q8Djy4LpSQbt4MU3nkt5vSgQ80/kPU77Ymk1U7MbeyDNYmyohVkFxvUU5He
RDbIqK1hTutbpHndIYVh91BQux6nub+H4of9kNNSRX+lnvjKve2dEXLSr9vketyTydaxKYwQczee
Xpxk3y3lHZvtmfFKFf9M0yx6oO8Kn0Q9YylgXeW9RRN6X5K+rVsiu9vXqSicL7Qf2Dv1VfpeshQH
/GWrCyXG0PCBY8nZJOPk3hez6V7ydnUASq5QulrNwgASuwyPUyM8IR6rwEhE09ETCRl7McgNEBJR
tLGNHuIWgZ4Ptov5IsGoQ0xDHbc/GH8l8a1wx/VVA8DDxhMzKQnQWWWTPzTPF6zjkR8tobYhvsi6
QEwZv4ouSndseQZ/5Rbbj15B8mOUyJh4vhC9MBaekuWtWd+u0kGUtXqN+GGOVXnLwmPeZh1xYz4R
TpBkB9l9DwFGkzFfit04Ndpplevwg7j0ZVcZ3fjYRlxDG9eyEVEytDxFDKRfRcLOk15KRHcRjnum
7Xmb7BobXWXUOuZxGCzSzbvaHaASG8Z5LNgTehq47pqAsf1iVZx0JK8lx8SIWLU14XxNZezs+5Ue
vHNkw6vZN5+Jr2p98n6EH5VLeMjmqnuY7Jb1qQzdpy71xms8TkyyCLsLJCOXs8SizUK/BHaiWRQD
YHTw5DvuxeNefftvKdBvku9t1VU/+3+BUF9DR/lEbfyHbeT/JZq5eS2TevhzYf73L/vdUGd9cimi
dTjrxGegjqFl+81Q54lPSuzk2Y6t7HTSpWz+m6HO/kSSBgobWHYfrCsK+r8Z6sxP+Ot0m+9o2o5n
on/5RR7zl3KZj8XwHxbHUndsfgyCTy4PXAukBP9pcWwTU4VqP/MOGGOKwxLrBJckJKL1jOHqngA1
H74tMdlpSdOc47CFjPkZ87n2iOPsSxt5zY3WyPUhCov57IppfOhG6x7wN1FkJN1tcEglpKtW+s5G
F84Org2fLSSXN32mHcGseb41SEAgWfegkSfDyGJmLKFl68YemVqLMedxSKXc5IxFSaBlrgVjc7B2
mosbIqhtlgXeskBTCgHNwO6ub9rUol2wm0X3yWJVB1GI2r/O3APifss+eCjvH/OhiF+Suv6Rrbj7
kHmaTYttO/2WiPRtorc+JJZ1m5Y4qTCPMPBHgRiw2YbBZy0/da0sAmsom9uZ/dWmYwLykEZ5c+Nl
9mEBsbmZCgPBdmKDnGsnw4fFq/ONkpdxxiaU9jX34Uc133UTIVK2edSNNn1OXc8oNvoQ7VpRGNgZ
BOjTqS/qB31K3ye7sxgEh6FvxgucUEOfOhX3/a0wZjjQXViOCHyqyJeeFT2OE8Iac9Iex8HN78ec
nSAbHzRRYEj0e5vytwaNMMW5v5bGiG+/Vd8TjHRIqAHLacgVWPUOCVaQ+1B1JH2DDoqIj3YMBi13
xCFn+6Yx58vzcz3ncNrDVSgk8dwxZ1rTEPV+LDXvPGLZ+dKT7Nceu4YhNGmnyXhqehtmZOytTEhH
rrBmY7v6GKKDZ38HucjSvzuNOT8TPsYOVHpI0zdIusmeHIui97aLtnhX0JvwM4vGIjEBf6rN0noC
gUyCYZq89J3T3qx9bymqNtgKPwI7cRdHZWEE/aQZGzxLhIjVLftirxzvGO12Bj6XHoGNR3ApCHnL
hUc6WQYVvdca0/SQkkwdH1zyspoTnzAz8nMZAf8i+k3catpU/iR3szgjNYgwepNDUe9Hp8F+k5Jk
e+q7rEFRzqYBI9zk3XdjdKQjYn5sK5a1nW17vS9Y9Jn6hrY92lrmLRq8l7xzr7PKlUJBL/wuaQ9x
T8Ko3eo3eb1Gm8qsHkZzfAtr63EgjGshS/GWvC22y9kN3NPmkkZhYGYIleMbp0BsVLoeYn4C5ZF3
8paJyQ76YikA02TmFfq69oOPc1DJcuON+lX0YLHKWd7relPvKkZ2BUfUzitEHfCn/jTXewxjQSf5
GsOoXwoIA/edrh9rJ4Yb3bZUHDEANxaUTlBl2ruV5NmjB8Ke6WF3lTRpHRMrVtgt5iZyyQ5MHPPN
YILnMMd4n2UUp1OOhaBxEVQ7DoZMbyFd1Siqzl9WXGXEmmmvFqBtIrZhx9IqrSaF8li74GKkXjIV
MAOXXAXCQDyzCkIItjc6BsRv3hI9wk7GaCHFsJ/CvOaRSXfAeWWAJLn3BzJiv6/W2m1bY9kacu4u
QqQzY0oJ75ady2i7jxx9NxHj+I3ZLAI/rcQNadPJ5PnOWoSzb7x2X6Cf3WPlfyfYHDWEs/yIsvDO
RKXkj6uFCr2TT9o6Gj/Ao2ZvxHr+/MPt9A9kQsJRA8D/OO4lwiDHsBx81brpooD/VXmMI2nUGJt7
B8IW9E1cpGIDt5f9SoQ2446NMU+Jtg42Q+om6270ak5eKOZCNGAjuhT421PMOQla2IGqFnrXlGYG
J+SctQufy0SaUMUy3CvJmC3PVVsaiAtCnmejnXCSAAdlHwm2qXWCpRoQG8x1O54yg1ZvDyJEa4+Y
nTgsyjo8o0oYxx2LEk4T7eNkaT5OGaxl+Xku5pioW8IxxIHncmQwTajdZoAZspMwwx96DD7uJm9Q
LbcNadjt5Cj/bs3MAaYRe73hkockU3lA+wYV0mam40Xx7M62Xp4FgpezSbjxNmXG7WeCRDXsvfjk
Ss/ZjIP5gA6l36QcZxenDKEFEUcfeCMbBqNKuqCY2dmWpWDu4fY/DFmVn/GlVtvGjGGvZ11TIMPM
jAGx0Vh5g++sybLvQqytgaOnJGKh8eIUsmojzUhH7IzpDI+hQOI5kQhhz2I7ew6Z4Y1WoOqJyue4
8darE7IE6fSC3Mo2PS+RYV0xc65sK8BcfeVQQKva4M2yK5pTt1pBCxO7nd6NEFPeESIO26RM71u0
YidHhz5QRUVq3GAEyG7JwHVZLbS9nvoEla4JkheBdh1Ixl0pC23vjrH1XYYjhHwNh3WoiRDjQxR9
Z77H0zonzfBtgQ7oj3IU4OwGmIGwNIlzNt6sPDQOOn6lbYdHlqVgAUYpJus6scU+V+5tAxs3tx1j
E+XslhEeb2dum+0U48tBqpu0+MDx56BptF/iaJ2hXGAVV55xS7nHq8hbthoJwxtRG0/Q+jBgM0ls
P1zn2M8Bi71HujHReGvfGzPFkFJiVq/j/mRiXo+N9JIL49xhagezFUhM7tU4vSVAbqMK2CE5CTCK
8MPP6/CusLm3WWP+qKzIu8kG3PPM61vcxDjqK6z1tuy6UyzJAumQ177jl5xI2JbdfVGJ5dgpf36q
nPqF8uzjUf1OsWj7JXb+0coVvrZ1fGI3QLwr1z/u+68YZqJ9sejGLQbiG7B38MwULaAstSUAy8Du
VrEEmqErEQe2DBQVaaAcc9/jzc4UgwAic0CVsKvqrr8hUaINFtCXe1exC4pZ0P5AM8gNA0FvIcqL
ZsA6kJ2iHsyucZ8pEoKNvgJla8I0RsUfTzoU0FCxEwC2imkjNKJMuzCHrTAY9c9sjMg1YQi8A2tT
BQXpYxuzEPzbxI4CgCDpvplmmr58EMvX2XbxkDvzIr64y4DNBk6W/pLYSf9MQ88QsEzSlHUSkasb
mFUxkU9R72xsMXf1XmsHDHEoHoszHqfyZ6tuayZ6XNz1xyWOrZoL3XTzKDnIj4t+/Lj0GUpSANRg
rRhGfBQG1keR4Kh6IVaVw//bRupfNevMcCzl+fjP/QnnH+1rjnPoN8/C8f3//I/fv+T3FYjLogMz
Esp/cHuOayCA/a3Ncq1PAHsljY5hE2b2kYH2e5tliE8uMWbEozGRdPkMspH5vc2Sn0Dy6khpDcH3
cgWGhX+mzXKUr+w/7l3WH7R6EIt1oeOYoGn7pc3yBuipWWZkW1abWydUuOmhQi7oo04ZLmWaQzjU
B3F2mF8d9AKDGmuKLPehVdfsVrX+izVZOocSu/gXp24n29f1sjpycNKheDKTBPEgI9shHpJ3etw7
8jg6zkR4o91U363VHs4dNV97Gljbtf4A4H7cRVbYUfwhXaDwJFyeBTd0bpSRgPuDuMijd0TjdsFK
VzocembaTpse7XADG26eS3yYmftZh7eZbQmTmC82rdZ57Zp2QD2uO18IUxRfQhdPcxdr0x1abES3
4wpi0Cn16DQa0sF2mcWATBkyeydhQCjryolMgJyARqTvVmmNJzoHljcT/QNzuyUWj3o5cdRm4DZz
/Ao0EJssMkifnSC7lGBScNzfxW43gA6J8Rn6+C0QC3UIJKc7B/s59Ztj9TQ7IYtlYrYybI5oHGZM
t27U6n6SFjULgrm6iEFL0GElS3upllS38UjQBPoONjJSZ6Z0eZxWFLlIrARQh76nQEEu0KN/nRjy
oMufQMhnqBhqxs4DyTFLl/EDLNREL3rSpXeZYp7zzlhPukxHuKLMfcOKzoZ6knqGROR23nadXn0W
pskEZ01VaeFEwL/qdtYjn4n5/KzT3d5nje5812fJKHRgNYuxBR6Kg71fooOaUiffDnYnvjRDMnyR
kW0hKM6pOH2pEwXvw0Nozmkx4GSIC4ymqWyopeue1ZwC8seLQnDOqMn5CYHd62NBLp5pPqSFVR3s
qEnuu8Ii5HMEXPvd0GMUgQTSL67PlHy6RUwds1sz8yBiEfTDKmPY+eFqo5AneWbmJQhX72iNWroE
jU3gcoD22eC/M5xvjcsGiUJFJ2ua5o5yzCmsmtwgZLt026Rqkk05oOEIBsdaaU5peL82eHDajW46
3akDUUuWUw1ZctPImihevaZncYx1JuNhtcvQT/Sa8W9RZ6j/hWyGXcgoh8kiyQ/3xThTkdRLNu2I
reAZnGJawQ28RBV7KiCHNUQyvxMdGOlHKiHdpx4c2sDJ06rESmPFEre62RePnpcQyuwOSDM2Y14Q
b7TpLLr+evVuyX5iHTS0ExBfRrv1WRd0iqDVDvmCN+mgd3r6XNKdE2C1rFs3sdZL5HX5eYlHsWtm
ETZ+kk3udLOA9DbuCX+rntuJjd0ILcmwR0AJHjVAerK8onyMYi78vAOJBlakW9FQ80lpoBne6INM
WpC/JbBHvJcxYI1QS+o3nOrrRYxoTv2s5nNyosCjxGf33KiYkGXUaX2W2cl2TOXZH0EgSRGAFmmW
vBGUEj+QM+K8ZfnUoK9johkfJ+RO612S5QY5qDwyw86za8TAk4xmjQrY6015dBBprndmRILWjQYp
5rlf6PmJr6Va3Q2QNMFf2rEYGO7QC5BiEXbMHJQ1CD0jq+RX3P5nWNAp+0JWLQtEV50nya/tAWGS
bfPXbv6XXXuLPtQDqvxirq+dGPu9UdfZ7v9f7h8Wwv/KfEjPKQUmjL+64D/3/Wv7mpFm+v7nW/7v
X/vbTS8NMkiFpJXlUsaWqlIAfr/pCQFAASFwmINj+MM41TQ+WQ7yYw+DO5oH4k7/fs8L+Yl/IR3s
4CY3s/qqf+Kep8745Z43THzt+Bh1diFM2fRf+GRxyMTHZtW8ZxRAoqmbO7C8IABpey907VccOuLe
QKW+IX5SR5SFkhT7x+KIHaPFfjfZ7nQhaTHxs5HbI0yRC8b154HM03IcV991kXHFTpMf3b4mdz4Z
+qOeJqYaKUZaQj59aXK2SHs9agueBF+6iQ5UxjB3Zd/AhjbZEuUNadJpOfBbOKiaFZdp3urZxHi0
bn/ATyI0y82GcOMViYcQ3ZC3eg+DP0J2xJYYEbzmDs2uEJiIrL5Itl2fSpD+BiapeAWTANd7H6em
954WDuNMNYndQS9Fr7AM+qO7JsldVjvNnnfGDQpzzlzM/tN60owEHqTXoVJfXfDUJv1bgiqByhAF
BQdvhISykIwhCZ7iPPbxcogN8wJ5PwHQDJymrq7kP9ZvepE3t1amX6zV+dZ7+s0KSAz2fX4AW3IZ
R1wI9nIfo3n3bWu4IlC8QcbH3ssiEMYEwLlywx4nCelrV+GzoJnRivqmlvBdgzjDGNfbqNE3Fchr
PTCs5F5U6bkl2ntTy8IKQuj4Db4DbIIgSzyW1qR8jaxXRfWqmdpys7QtTPt0Buy5yvq6dsZQ+avQ
nCeyzJtTmy7dYXY0/Qa4et74OjDJYJE94gmm+Rk2n9k9jF3jHvJoGD+PrAqMTc38kCyTlTbJ1AyC
YKV2rAT9bGf2oT9kNjgFPmkdSrXJ/TIxwT0j0Zmwl8Qm+zNekW1oFcl74kztVudTybq6YpFeIeqA
rmeX32C0OHduJXVU43r61tbVV3Cy7lfPIzDNLcrsocis8QoT03kGQZBv6iTWQdk07iXNCX1rDCdG
DQvWv5qjy6jPJbxZUzt4+pTtYQqIe1dTITRzUlQMpzM+0baCdxnhcCvLOLvJZ6IrNnkmZsS7hXFZ
oC6TOm2k7jM76JjRqDfRmSOneZyTaD4WU2dchaF0oGz5x1fTlhPpgWhSTdyx+zFb+29TEU6XkGSd
A/oY8wmbCIkBcqqmOwKv2m+5g/cIXhVlrT/Omt3cevCCIVZOBdthfNDdhhm0ts0QjsCQnWTNTZTN
+3LV+DGl7UxXCvHi2UIhMrEp4K1okMrE2w77Jzbg0cQIE0GBMYk4OrmpCLdaQpodx4VBUFYikts0
tr2NXK38OvVrfxnZHV1nY5TzRqDCeWQ3DKU96zu1GTGq7ygDoztCQyH8CyNll9k2HYJMJhAb03Bh
H4dkUMC1wZzDDy3TO7Ga5U2ojEeI94ZtH84lxYGRByjE5oP74VXqlW1JKgMTSQL1JVamJnSyc7iB
yob16cP15CkDlEhDsXOrxbkYMfYo/cMopSxTEOaJIS/y4ptd58pRFVaj6Yvlc/3ht0JhHj4ZRL69
GcqOhdBFLeSxaNlMLYNE2bYSZeByE4Nna1G2rjDKp3uprF6LbU/K6IMBrPaUl4iAdcPtD5oyibmk
pYGxDfUD65nx1BNdfjUcr7gmIA+eG82ZnnVlOptMBuJQAStxYBOsPTJnEHejMqoZYYNy2qin9Iws
m1SU3sWqq8xtTWmaP8GKSwZZU/1sV1iotXpunxNljMs+PHK5ssuZzEt2qbLQqdmiosZNDH0x2DWU
gCNUcmx3uLXCXfzhxTOVLQ+IsnmJigQNtDLtSWXfMxjuYGpJjWPaDt5LqWx+TSeGBwbM4ZX/Gx5r
ZQdMlDGwUBbBXrCnEk433DJvK9+IiRh37B2Lb2JIvG+eROM6KMshOx7I3sqGmJEuDLpJeROlRmJH
qwyLxod30QY8dkInMZzq0cLIrEyOWMOKKylflU+x9120s/QdPJFs9TnjudWKsPpWf/gml8F9oFXw
I2WplLEbPTXKZll2LMWdFl1/35J2w5BPNMbWWdZCpb/GNI2tNU07bTGdiIWFWV9q5FP+quyd7cDC
C5EQT6QuyoOdqrkZNb5lvpC/cCJLXLsxqvFQROwy3IRQQ61tDxzVW2OBj1Sk+Lu8umi3fWuwQ5pR
yODE6xNIyUgS8lNm9oQL8p4UtIhDCSsQCeIuI6/6GA+p+ltgcG3bucC51Lbf4JhwMg+V2/hyMlGz
rLo9PbbdugSDhVlONJO9Iz9ofDC11qaHYnx4mI16IZlOOniQZvZD6QOU9p45+dBd0ePXb/VgZocQ
4dBbI5fiNNe8PCWf+ScEfCaf2Nq6ibsaJF8V1oHRwewzJrHvTWR0zjiv+3IS+Ysxh+8ZlxZI99d4
drvDBIiRV0U79BVyCyvyARyGR5bSlT9bmvnQ4YY7WWmlP1rLSI8OCn+mry5ZwQppDyaFt44FvJyN
HVgl7IBC137OYeucDFG1zzwfeG5lPRzMtacFImf4vQDxdpCiZhUm6vW1je1sA0fyGgIV3+TEQWyj
sQgfeQMKXlP2xDQlrXyVYum3VtfECFVmePzkpgZRNzOg1dfqmpulfmH5ULxM2GS3Y8xuw9e1cayJ
SsEzRFQlZGwYJ97PQqP2DzXN2zGOscCzm4S0JJGcEvY6pWPtnTIBQmKV2gOLpijZxjMA6HJGZ4ZQ
pnQIqSeo+IH6Iilv8kjT4kArcvheHAN+fNQ7Y5WBoHOe7rx5bk+T1+b3UOuSHwUnzrKJLWdC9YMD
vzOd5LNZFGwYKHfJSTWMp84d890sSjzrMnPNQ0GaDChOMAEA5nRGqzocRSkSJkQEqdIh1w/dNEGf
I0MHmig/sDsSzlcFw0yqEZ16hrOtY4/MsBh62DS/T+TX/5xq8d4ldvvNzcdXpyZncmOTg31HBqRD
rsjQH1YCM/yyMqeLayrpfa2PZxSmoGtDOnoXuTL8bq6nTh/Mk9nIJ7FOxbkTKJiYmMggxPaAd9UF
6FV3UWDndrmLEaCcU1Red70RavuwYjXdww3aT7bhsIEsnRsHv+y7NBtzxzMa7Ut0Q7wNQ/GEtNy5
SUwZXXWG6/tuHfsdWHnDd+LcAQIWtRez5Or0U7GmgW31OM/ECJh60VwyCkBmH1uyTt6MdJy3UqvD
K3rrgbSfCnEaR9Sm6lL7lqEYNNI8NLdRo0XARRm4kFdTepuYBZG9JV8Wf1w2agBqk8ndxqEe79Le
DdGeZpN2LLyK7HEJO9hoZ+sAntJ4DHsv3uLNsW8GGuYDoUHZPlsm47lvI5gkguY8c8bpmORhdXUn
6LubgQwuolV1LXmxk7Y/NFPG/t80SZsUSXQHbpiIDXe10Ay6Oc8f3iQA7Y7YWhPotcQoJGnW/cDR
Upc/oZnKG6ez889jVhZ7h2RFAOkszdbMso/kVFo7ogn1YznWBpOz0OOqQYqnUm7MICF779Lp/b2t
dzvqVP2SuWu6lXn7RSMBqWG2cTsu2tcSvNuGzF77MyEqLAZl2wZJRdNSO27n10KfTzVEtS1YNqS0
swUJZegIjHaGAjALHwymc0WfTw/YkJwnFOJ4VcgN4i+Y3U0bduFvFKD/nBKjiNh/msf+2qcpiswf
WE/wJZBaAqg7zKi+N5ppQ/UfPfeEsTTZCcJng7SctM+NJ+YnCY76BYJIfSfiNTrLRTRfw4SNiTVS
4G80W0R7Um/qp9nEPaLbWhNkbpYERetpVxz+IuahTSDy4wkudN+zlAkrFMkLbB1No6gpR+Tcfbmv
R9faWmV2ljLRvhOYEAWmNld3yOW6Azuf56HpDHYrtb0NG894EcPgnnsD2zK5lyz0+N19rFb2rYUb
eJfbZmsHBeKcYxu77jcq9WhvE9ACuHJ6rUb7OvTDo0WFslnQhrJGFEsABWG5HwclHs7WC0tcYoMz
wGwb5CleRFcax84un8lV2ehRa7+LvsE4qyhRs78UFIXbUTOqL8xEQfuzwso4YmNnvISuuxzjhmp3
g6jIua+qbrwDIUoC1MxxcLPgH/rBTjB5x5Y4IlHRkF30sUAami3eRmPkvIYOYMZqGZ2z1Q/awRZZ
GHTpWjV4z4dkxYSizz/Gbn7p4rXZgQ5MdsBJyLeem3w3RvROTm0rj+2a3ISTLcegKdoeB5uN/m+o
xg732ZrcrVnJDR2zu0VD61wTvUX8Yc5j8sCD7uGTnKcj4d7jcVUZWohiu5+sCSkFi2man+JC2V+I
aO8nXza4vX1paMyRVZ09fpTc+Uf5jYNHY3uqinJQy92WF1LsdHp5kkynOL5DwV19Nz+Keqnqe+Oj
0tdTb+Z8oP6fNNmj5KMnyFR3gBE/uR3IRcEER4rOXZdOBgklXvcEiqQ6AwWh13CozDiMVAtifnQj
g2pMCtWiwAKgWwlV4zLBqVZ7foHvb/GarTk02hYzeLfxPloe+dH+GG5b1oe+cWef5DbjNLc2khyr
TnnDMz64HkNC+DqG+1qXyDg9BGQbTFH91ZrbdL8QgLtyiNFvrc36WLcWSlKtftCQix5qjRfMJNvv
oRjQLlcY/nzyS2ZtU1EKn9y5bM5jrFLf25AN35AOtR9LyrCN5H3wY/a4XwQKTH+Qpnn15OQ+N7wH
y0ZXLWOmmsfso48EBp2xXOmZFNBkkneX+nB06Tydjy7UUw1pbRAu06gmdVDtKsPr6NLQwdaqlU1U
U0vsi3vhl1SNLi1vq5pflO7j1VENsVStsa1F8mtpNV/njlANRzXQ0MWdu1U11aVqr0F502mvqumO
VfvtqUZ8+ejJc9WeF6pRZzsrzr1q3mfVxhP2QEcPzDD0SfDRvq+q4U85pIuQbJgeWGuBgkZNBjI1
JBjUuMBWgwPRD17wh1ndP1CWWCgS/3ygWtjNoNU5jN8QmPwKoOmA7dMkNNp+6aUFwSk59iIkImLR
vK0Q1OlgVe2rbvXIrnDSCN9OBgS7wjW+djKOS79FLPC+jMN0KnJrgQBkoAtimvdCYVA9m7K+DEjh
t4PurZjMzOkBq3zCWkCrM97T1ERnDyT/oPc0nQr3b7iBE2ku038SsFBi8VsRdEIOCSkV5StifNzy
IE2x0GMZsN+zjzMt/Tjf1o+zDscH516sjkBPHYZ//YIZv+aI/nYDUUwLNeZyfzVHeS0JhMStyT28
msf1xXxpXrWX5mG67e6TTVfeEVn71z/RUgygP+4g+YmGjkkMj5jHUen+soOcGLAUTp+Ee6QG4Ruc
gITwaCtdbrM5WYVPJV2f2wV4PNT5LH4z7LXfohXMfq6GrbK/CJ7ekQm58F66VNTbNTS5w0VVu/p+
xYfypetr5wnFK1edU1aoHtmrSTaL2dIe5qZqLiY7zRNRQvORSobziXHKxnHlwzCv/87eefVGbq1Z
+xfRIDfzzVxUsXKVcr4h1C2ZOXMz/fp52G7bktpH+gwMPmCAAQwf+KjVzDu871rPQufA8pNiAwTy
1IDkOiKMPNCymZ7AZvi7Bl3WjmBHZ9MCp7kFdl8fJclQl2HWBQeMS9p06FgQX4cubE6jJ1fbS/uh
94AL1HdGoM/jVybS+x839f8bT3A+0PeixAcSYHT/rx+6aBics9L43X+sftTZL+VrPV69NkQU/Fml
nv/k/+sPfzbPv6rWQ+77tFJ/fE6a8Pmlf30t31Xq//i9n/144zeUyzSqbEsnEMScm/s/q/QCfqCG
HdEgEF2nJM9P/uzHa/TjIUC68FmhQb6t09OPt0BR8hOX7wWJ3L9K8f2Ay0I2zS5cs211Hq8c2vzz
x/lm+Yf+yQ9rPWfx3Gd7NwO22WOECbL6qcUQjMxU9RJrxuDWcuOTGI9/WL2Dh6YeWbc86H38KMv6
zEJmsxnCTjIPthcxrqMlVxF5BU1jryLcZlmb6UPr4NFQ3eSBDFm6cSPDkIXdS1olNDVlKfr4/PMP
fV67/v2d/7g4JjbEBrqDsoeex/uLi6mYtNMI2x9RsEd1fJ34v+d1eUHPYvnvjmTwJE3LgbfIP4wq
8yr7zW0MlFqzEeMaXqNhwiMXOCY2cWwLj/T0LyYY/ePoBS8MewmeeXrr/I/40FnBWMTqA1cGoe/d
d9sH9k7B+b4d8brXrgZVfi4DWR2JipWFKLWTzVK1jG5hB1W48bWeTa0sN0ZE7hmS8TzPTizcJ880
64dA6Q+FZT+L0DPoQMJMLL5R0BmXpY4rleXGcURfvID0Q16JrmJ9Io9Mh6azbDvqSIYa9R6dn2er
mx6rKnrSKxuLWEJI4Oe3+5c5g4sHkqqyNLBwDWjiA+mMzPqwQ5rrost16LDAuM4G8OFhy1IPBEnx
UGYW7pmOGhUYj8gnzr3LXuB5v35+Ij8O9PcrBmbNsGeMM1jsH7047cOJjOEwBFmATTylMbTQfoiy
FfvBCZo5Gi79TsApsjSsVSg1a0nqJN2Wzo/tDRY+tnquuCQw9nrmvgxmtcF69jzFwVM2EpKXmldf
nOwv2huWIwxCQIhU5lmGkPdvaY57QEnaIaSnMdHvAS1gq/2N0anXlH5PWFRvGlnsYtfaToO1iSr1
TgkBl0sDwiZGgpqKAikWJMGBq5hgVIcWXESWrH9Iv/7jpvSXp2tbSJAcmpEGnxKA1Q8MPzQUthVF
tkL+SXpN6ic084yqIjqU836W7/gNDM64VxeG1dIZIEywY+08UrqUiCk+v2kf98cfzsWZ7+mbL1u1
Si2lbE0EMkrIAalw4moIAVDgO2LTfHm4H2PS2xdqPp6l8jbRoXVs1pDvj2frfuJMQCE9vUWsQuUC
sEBbe4Qe8FYY11qQijWVz8LrCoXtdGZHF1Y47pBEPdkjAI2YaL1VQEETK1b+4EuMKgQgZXFzM6E0
P4BcTJfEsgzgz6JLF72Lh+CAff90xChnbGOLPV5JCsSypqOIh0JbEcp5QG+GPy6nTIuw/JhSFFr7
+LsWJT3KbUsu5Aq5Kk6VjOwiUQf6iorrxecP4v1gjnBsvjECEz5zlWaDgH1/Y0ZdTamU8CCmyVhN
RrCOy7MhdgBunz4/kPj1M6FrjakA8xwH0mcx3NtHbk7Ab1GuhCs9tg/s/F9zU6Nm4SD/nGYqtduE
9/HQXxvVtGvleKWP4tF3stl16D/VvkOvq3kh+WGRq8m2TgVpdPVpKNLN5+f5S+kGhPC78/ywjFXJ
kghESV6uP1nHEclugzlgqcbZg88EvbDR4nowfWgcKyHN7iE/1UM5QkOqHgIo9zDuJtKqjIZEdPKp
trjwulPd1JkXU77cwsnwN0FlGfsJz++d7CmGl1V71hVIg4xSEi/eEoagiJLeHakWS0vtcJjTVoYo
a5Cl0VMdJz4zW0EPlhg+i/uhjZ/9sJy17v2IBlreCdyI3sTK4fcMfzTWpaBe+7IKDmx1pjV+o7vP
79mvLxGrHRO6P3pG/m1++JqT1mW5oeeuF5g+9NOEQbBbRrq98Uux/vxQH9jm8wv7Y81h6yZqSw3N
4/vXaIhVRMZ64XodbcW9lNM9CFf9UNZjcAeskhSfihSjfDw1we+BDX2l0Js5dIMJtm8LctlGzeKh
mPWF5o5fnNx87PejjI1rjq8W2gVf08dlXxp3hIxDa/XiLN2Pwdo2lcNU3X5xBz6uVLgDjopmFPYv
QhRasO/vQC3m7baVkg6H/80ZZle0GSWebwJijsJZAiiv+qAsn9PKvGU/dWk2OkzqAj2SkRNfOWUl
XukoX9nNcIH7PTymdJSpg2Kg+fxU/+lMLcdgUuS1EKhd359pix04HUzk8Y5VMKpEACxi9Bpzwy3A
G7+wQpualH9wIA5+fuT3PhTeEnjKuFOIGDSZlXHDvj8yJMN2KoKCWLfSvvN7myEGeytFTD0XV91I
qA8Gws8Pqf3TMXG+IO10mWFRaL4/pos83kA/A2y48jeo78BTRyWVadTBnohY2mfye5h0t1VoPMeR
9SwmKre+8o0ExmAZKkVx5gz57zEICI22QRTffH5+xi8DsCNYTLsscG146HxF789vUCj5qaJVsFFJ
Dxc2KbD+2sewhK0xJAEpmWCE8xL1g4D7Fe4l2pamqId1a/mPNUxHlDzGFbrR3+MwXGeDug6IfyPa
PrqA4o2XgZ67iaDGLYvvFvPtysZn2GE23xHwsplKo9/HCYl1GQjIWQ6/TszmdczUGzkajxptHBzl
iAmStRFADO/0OvniCf2inoINb7FtsVnk8u24H9e3eQRszdFC22s6+0Zk5iV+7K2ddwoo4yGF4tjW
q8YMT+UQpERI8/9QQKPiljYrgumuaB5f0UxnMlDoqEWJsRwIN3ZaGz8gXgEbMqOXuQAqNL0+Bk1L
bO/I4F312C17ymRwg492YPQe3nFyxYqc8AznutPdR01EJw3fR5LSDI+ZDeIx93oVjSvqxJdw5q7Q
sj6rZeR1nKimZudpOhyHOD4mKdSSoTKfu7b16D4GCzoLm7a1ToVCZZE9CFYeFFBabk1rIwdcMtBl
KhRVoxBMTbPNBhKxE/J4ce8QLqhg3df2wiy/45U7L9IHmyS6qH39/GX8Zf3n6CyX+TTZ2s1koQ8j
g8TTlNsV+ci6WFbT1qSnXWwrcJvFz5Xm/3QF5X8R2wnnwDyz/Gcvw/lLRAHlbe3k56/8VDjayBXn
pbBjqX9WSP6onaB9NKAZGOZcx3PQK/JY/rSMC8SPf8Rn4Mf6Qxb508ug2b857BWpuLgalGyKMf9G
48iHyDj0dha1KNzMIa9zfQEjwI+M1jd7g6izKscoILdDV0P7W2QQ9xb1gFgttGv6CzYrb1lq/sqF
Pp+tsFb6R83K0zWTTXVIYlKX/EHNfK/TIxcGbgl1XojWltjUIHVsRG6ycNQi6HwuwUeroG0dDVV9
T/CRO1YPU2SmfG5Fuov0NNxiC6+3MutgTM4Z0hX0l/MIIlVLsFjbuZ6pGxgesoSoRVLeDerowsAr
uBNOahwidsnIrEujWfkkep56WgLVQk0Y8tmmDsqr30gA906vud8it3aWqkpQdoHKZF9ARAsXWTIV
R+IyrHuEYwJRCUzofJFQEy0WdVR3IIZgiHt42XF3t+ljP6nRKaqjG78GrWIGWbczY6t+tqwpPBgC
nbRft9a1RWdndqeKDYbNGQQbhYtozMMd7VaFXb0KT6NO10GRTyuXW0fgWxwular2F8SrUhwnMAvl
vXNyiiE9iKBFp9KA0wtKk/5REV35jhnvcq1MV/iqxqdhKqxjiH8D/RPm9nQZkfkFipRC0z6ZQ1iX
japPFKZlSchmkcJzVWbOHg0GsjZRbmhatSiHnuVDBuTpViPS/cKiaXPldmnq7pw8omOhxjOGVB/G
mgFZNM+FHfbVru8KebACCCQLlcLceeFkpBLSuOzm1EVIVIee3aiOGKxEja7Y5IiDDAncC9zTUHes
FinuOh8hfTT0V5Y+4Ga4Ib5TkSAjM/gjLPaZ4UGrn6GYF2cRLoMnpSO0zm/6fJPHSvFDyZleVWCH
b8u2MVdm6wxHukIdYgXylSgxdfCIjcGBwCP6urt2tCKMERrp4l6CALgjQb6GJNjX2iVxyNa5JSi9
eGbtF1tp2uk2c42egp8k77JV4W9gcsAhDU15pSthUK3iaByDY88ldWuZagWdk7SmsUMMyBWJOM4W
Sa66tZJgWMPNzdKln8wjcmkXp1SkLVP9NZhaCpV9B18lvCt6MPVFMnZnsuUea40dP6KAkBdmUXeI
XmmoOnV+3uJU1MdR83BDTjhIUv0UVwq3DJzVsgZrfXLpI2ebFPQQXzXho/QHa0qkY67AIitrUU8r
iUllWqJ6Mz0D08srgoLHFujxMa4QFqLjG3akmJOMFk92tZX4RDDTDBAep8ZpFqiK/fO4aRQqbJ2f
HxBs1UChei1Cm6FG9mUepc2dltRhC243tU+Nq9UPgzBAMGh1ycqYiEbrYJa+HJDsikbu8iqwopXa
6c74ZKCV0a8bBw5QY+bFSwryEBWZVllWeXR490mf1PDEaPdKQFlrF8YIL4nl6FBzFjoa4u+wl333
mBfYIzxz1CMeRZGg0pK2k+0jhb9+qWrdeIs1RvNM2Wb3mhiMbB8WUbXBdZDEywm3Qrwm4E5oOHt1
NVnZpkzvUZX0G+nWCAIY7Gnvu/1RQ292pvRqTu6jaToEy1r4HZx0UF9sUh42DXypE+AofBah4q87
AmItuEaTfl5ow/gtb3ztMa1ZhNh1a9J2cYg6Kctg7QCduOkjoeEBVtH6DkuSRIuXoGuLy8mw/NdY
acgGtVnP1P3Qkbin8hdrJHQGoP4nY9gMgW42N5GCYB+3EH21ZRvCQboaaSx2bFaawVqzZpiMXYAY
3GvzmmViFKMIIa92YNeVSQo0pzyzS7HL8PRkKxMdjVxoSTDdxMjjMsi/JPQsDAqQIctgo7Y2AlNp
h9HUTU4DOnqmFyDdpRYSjz3RHsaZ4xeb0S2Q2bszxTQNztMmS4+1g7dIMYaBzbqBrBM7Kd9r35R7
0METImjX6jfjMGSnIKn7WzOqgmNbuNB4EDqVTxKZsgXNlU9i0fSY4z007/oBxZczranvznahtLTj
bRLkfbb08Th/V6EPjAuM7+43Ij9QvpdxRBOhtNExLcZKzd0NhE1WeGo2juMSeKkxAgUp0qvGthux
ggRshwdkDrMLXMrAZQYr8gjFtVof+gxMAGrx0tih3zL6U2oU/Zb2Ll9Bo2SHAnbVtid5mLIWSPJl
XDBMIiVor+xBtsS11upz1U5XRodeF7+aL6/Rhxn5IlDA/VIOq224d3BOm4WYEuu5DkY19RLgxve1
NKW7NKwyDrZJO3XhSlbWBPYEsN7EmB23S3XsgRlornoL4am/Rg7RJl7Rje01nUj3UPENLwZFGFda
Uxn3RL5mpD/mxr6B8LswY6gPfT+eJjc1hqW0CLRxzOQ4udNetHywCyhi00uWFmThSt0YR06xscyz
KMwaZZnxKEkRRcwxrhEwK5BqUgNRblGPcl0qTjZe6oEa3pqh3s1/u+ocEi2zgk2kF/ptPMSMd5Sc
2nJfFfMOo8b+do7FIQUE3Qn3vkzdbKvlsQEKBp4zUA1Fg1PiQ2IZPCtkvYZRu8aY0SQND5pstzg7
b0Dbtyuna9LHmXF+Xsf4k7CBobSlxjjmrCHcASeUncpHYADZuRSTgk3dnwBHBWZz3QBafcbZSgq5
KRsbT18QMNCgf4PJmyIxXIrUyM656mrvh4rabK1SBfmShLJ5bUC36ESm9zisfbac9rYYW2JUa6nb
IZpeopKWoRoyYFuTpjSwHbP+ZA9qSd533loQ302tfNHYsCbQmztCXsNKL5dGX313KAxsywoKsTS6
KVo6AxjwZSsUE5u4CT2ZDL14JrOrwaNJYetoqnF3r0TEBS+IdY1PnVbcOj0bH+icUaCtoFSYh6xu
EEJmXSzxneYvdB18pjK/fphy0hXrKuGZd7gaz4akxFUWqpBo/CIhm0DGFF9Ty0nGdZ7I6iKOJoAH
xDGzv0/1GBMgO2j5GMmkllQ12O/gkRX9wxjSDcZ+rsUBYAAjOCiGE9zKwQpfab8CD/a7Pi1WhSwm
bRlNcwwzPY/Km9q6rBiVCTBZVI0xJ5HrFvl9AjpDBynkrqtqYCN6WG9qqxULSD8lwEqUrdMYbliQ
bhM1sZoF+9R8bYx0AeHUW+0iGWhMoPouFn2WGyu1sRkCoyxp7vvITVY/FFbM+4wnCW/lPnB0f9sG
aXksuqC/qXwHXWnrZx6I2OHRrWbPSlOr1begzpCFTWGofx+yYtn73cpPiumRbuZrF8H6UaBrYr8U
HUnQKE6ChTE65sLFnowI36doggkhRIE+4uaEulqrD5rBbHQfVoWSoT1G1qGjKJgDKON6hVyUzKug
LclN7102xQy0efINbwqdqokBwqOiSl655YQKsOvCLbc108WyZQ7YDVFaXhVu1N/BrYMH1Kei3zQx
q0wlzA+IRUIFyEMcjlulybA/1HkOjDEXbn8DZJpOoFlx0rqdZN/oX9UPghoAErguUV5rQ0F6SP2B
v3tw6ktGIFgUUtVLQFVJgc667N2joWqB4oEFcy/AfdfXFOWhvflWgp60H/PqySJ0AixnGYNMYYE2
PjrOUH6Xgc3XYbewFw58eCwMozwsnl1LNjem1ulHekniIhu05tbRHTCMeinR7OqBNTLPBqO57CLF
3RiiGLa8PT3Vm1CVL0Y7utG2mCIXX7hN7pha2OXclO4dqHWjnndeDIkL2TUM9TTNwOkrjR080EG3
4ND1RN+mMuUBtoXeAhHPFe2ZXA2516w+OPUimwOPnHkJRnoY64EM3SmLA502D2tCeOTu2BxHnzb3
ourGUllMwlfdTZgb2SuDRPwc9719Sh01Rnk+VPmKe6aCsnEi4IitFuK3JPCCWFy/uGusuDvwsRrL
KOoVrCM6mjbSRhaOnhgQTWS/YlSFL27DEya2z/VhxlixHi6DaSThOEjdl8At+bTREybfBmnGx7o0
XYGm3xkymhC19g29LgBcFUJ+pCRiXcLlBn2JoL8Qw6H24b9WUxKvcLWm53o85ReFbcUQSdA9L/HS
MrCUBbxFugFLk0Hy2U1VCPGONJ8wqU/fhrSiwVSio5xNtvG3UhQ5Zfw0uJbQvh6En6nXJMyy/7OZ
Q86ImvH7jdDyBqWrLdpkyYelinWrEjUNGLcmwiMwVzgHWmehKtueLLxlnl+PREcDxuK6L1ExOMvC
KMn2lrZrg3TJ02wphza9a0Id9erE4sIjk2YKl0iuwxdLL1ksFiivKtPONnPidgB5LQ8PQevKC0vz
w13KA7hxzS69ZryojoHOZbAyotnTJeG4aHsm3HEauxvR47fngfpsvx7tmNF2mMFiVTF9UTL/WG2i
Go8kg5qfq1I4t+ayxtvWk6NzY/WynTYJkUmXYGfbMyOc6b25Zu8j+oIbbSZAv6m5XPxRsHgbFfmx
HIw2BdH0XGyEFyEQR70/KAKkYvLtWfAYBumRVUZ7QV2TCrQahzflVJPwN45kmPV99UVx7WM7Zj4y
ZRMKaxTCSWv70I4p8SrZaQYXGzc6ZHUMVR1h55aC+koHfEeS9OyRpb70P11k+498xrcqpf/631SK
Q31E+eo/l+Iu5AtF/de6Ht+V4/74tZ/lOGjoYAHnwpvJyI8y6S8pE4GnbNYou/1ki/CTP6VMINkN
QcNNaCbmYjHrJf8sx6m/0eTXqBHqguYQ2JJ/U46bP413xThGfodyIVMS6X8s3d+/xX871+ExP/pk
3zQOSwSidG1iSdkjYfUjCMO1j2Wuf39zp/7hA/rlNf5w6A+NWIHEMknUpkKsioY8CJsEh9S0LRP/
W1+BY/r8aGK+krdXOjfUSDFlxYtuxxDiQ3sk9jtcacAP6FERThRUfgukz2a8d0SCWrB8UIM43vCk
q1WaSmfl2h3wCZwXXmfJB5iv1cKYgjswkhdja5/MeFjqMjUXrerfV5UvuFUtxCl8vBrBEKvPzx7x
2y+nT/OVoC9ETKbghfowxok6a2yrqwwMJC1NDV2PyWmiiMfUaszrqslEDjaSdkN97AJeTHRt+Oa5
GCqVTipztCqrh2SichE76qNi5MdQNzaUAb4FdgcSLENwy9JoMfT8WZFBRchnrG3QE3JbhAgbnLHa
BZVQb5RcNWpykeptoaTe2AULe7pEO7+MCfzpzPDKMONtMPbfGhoXSY+iX2be4KOcDaLkEs77VZmO
qABexpkZT4zU0xBhMbNHIH6sm+1TUbssybUy2bmOlDu0F7DOmjnlzuFiBpJMjFrTNyIVwY2VqJe5
klJBdDmyXnXpUQTD+Bxnrb0pMEijr2uZKEm2xdyaMx3TN5pttzI6H2sbqR5Aia1qJ8xyNtsx4lPd
vQHC/ug4DKUGGMeLvvONLWDyfN82hfOkq8IGohsV5w4kcZanc/2ZOtsTJQp3Zfah+FaaU/daylYF
UXPoRdif9epEpq/q4E0HTFWsTUtM+1xyCNWaYLDk2hqMaPkSRfFLFBTWrmcjDma96teGpV0qTVlT
fA7xHqeP4In3FfzroEMHaPNozAaBrNbwC2Xss4nPfCxuWVOd2ICtBlncYPPJv9AfCwagd58TSw3K
KJaODJPloP1RT+cGhVaV7aitZJrmhDSSsJYvUTqEyTJ3gpJKhanfRJEYjlMolafQN+cKr1NRTooq
St62fjuIbjnNJbteSud1yJ3xWk/UdNOQqLu0iAq4CvUiuW8qKdlc+urvP76p/5vUvhDo6iqP7M3w
8wuW+DoiaTR7O6H9/JWfE5rzmysc0rtpvZsoCmeBws/+kvPbLM1FfvWBoAEmQxP8QReMsWbO0+Bf
05mwf6NLKOhUoU5C8sH0+Kc2+ecc8hmQeOZ0vXktEcAZNJYgJbMoAxhCp4ufv2ku+TrM2Z4Yo61B
eXM/1T084iI6GeRd4Pzo4TTR6PaMOdSNOLnhNuqTYE+cEbUypP+eBjxjAUPO+R6Hjeb5bWlf5XCQ
doVStqfMHsIvpqX3q8hfz3ce9t+cr6mQLx05o7aFRdVvR2Ou+gHfROHie2qpomwBx35is+l/oYOi
CfvFrfow/5aWkZV1qY/bKGgAQyEzIgqsctYTTuxVLJXCo56mLCSe+kUizPOhwyRtVS7ESBsvV1ya
9XaccpPsClLQC7ey2beE5+S+M2iX3D1LH85T3Q9OuAlH4haBKSZ1rm4bwiNKAkbqNLpNgGKBt6gU
BrgydboHMjpH8rmqvroowoxY1TaT9NDVgHaKDe8vHaJVWopsn7lqcaKwGJ1q8lYeQwlaQ8P1c4y0
VKzGDA8X1f2Vmn8fu1DdMUhtaDkQPuSGnRf0mnpr9MWwszva6ameUugagmgd2/J7XLtYOt1CyAdo
TyobViVeM7zNadsVabWhWWwKEd+aln8ux/6yikvIxL3Xp8oDfAn30AKb3o+xe9+A5NiY0Jjq0VC9
MbTEMZ6CU5ZlbBXZ9HvOGFN1kNFG70kI7xz7GYPz5HU9ugThxnu9g1cvuvGcXam5xofb4mAhgEUh
lxQH/YAgUfoCq2l0VlD6Ww+1Sj2kgAIy7Anf872ghsqI/lIowbKADMIOjuBzXa3WrIIGCL4Z4eiT
6DZF7Bgr0VPOyIcx8ajbQBuNUfKAdGt3Zm2pT31Qk38Z4KubOfw4jbLospeuvuerWUSKPPj4vWaF
Zwcfdbih89hdwlnFdwqMeVFaEmBcX27VULlhP0ZtH/w3nTGeCZjt8NyVKCA7XU+Pbjgvc+jzNo7l
0/uz1E0bhf7OAMK1dARs3qqg8IXIxlySjTGLJvTpRhlAKidU44quW3Zhtpv0mtCQMErRN/A2D6au
rJHMFwvpsEXFuDge+iBUwXa30QYg2TfDzm/aBFeLK2Yiq0PSjHPDltNrLAnDK+Vemr2B5yTptpaO
Qw9IJ/GvNl1E8pvpHcjS611/ITvX3ALSsxeZAWzNhEHdQPPWR4dKBakXeipjQNyKQ0hwzIqmYhVn
O+AqsbBquaoelADovzXbT0hZJVOnbNm7F2VyTWNE8UYbQnFvXBNtMHgJVNBlNoaU2WR8ZjkD+lOC
FLy2ID+njVXUH4rYKD0RFYR2rgwruJICzoyZuQeAL7sqc64i/I+Lahxu2iGiEUY8bosxt9JKou4n
r6c7MzR3U1qd2xXtH1uVV2R+ObeiSqI1MrlVrspnSCP+EurNqU6EBxnhhobcSgzuugqz78QIrNoJ
EVtqAy2tRBMuG904c0cr3GikBEVxdRn17h5DwPlgB/vYz8UJtCyEM38c7XXgYwiaKdUNcA/N5L7n
6vXQUK9nFXilNCrC2ghlc+52w/eOFSBd7NrKyHfR3ecwpUykclk7QgzIVUhdgzxxCX/Ar8p0DREe
5X8o0VHSbtzWZURvPxFohpBFe3WWmJeOD4w2hfZymtWJ25RO315nXPSo52Mlwo3G6AdhV+3lTY1V
cT0REUJ5TlEpDmgNtTU7Ghd9bqtHjSr5zq1kfVX5mbzoJUHvUYFDn0w3/mBcgEWZqFq19FuOVuWf
l+O4r4U+rkwruRnzuN0n8AB4BY07mGazN9xOlkRoQiMXbDsQltZnoiKdUnX80Gux8iItZjkfJyzn
0R1Hu8AeqK8rpNUrQRStbKDpDHaN+ZDlyt72J8Y7ymzZ5MTbHIQR5Uxr2tY9ylysub/bQY5JLmo3
poW2R+mSZNu40aOu1HiPI/+SUN2cmDcfY24z9Ascv92qV8CNZBQ9z6b6K3m+/n4h+mMGddg/I8ib
HUPuRyQ1aGRi65oJAHBHZ5BGqFDYmDX0p+dQaPAmWKQrLblup7LdJrlSgX3h6wo7Vz2osV8dqNyw
uG6KBwvR3CU7FtdLwnrWMBJldGbaE3EZmhp5cZcG28hvc/IIBljeZJt6Ta7u64pYQLsMfifgBHUV
m4RlVmeXnAe+13aGkv5VX/i54nlbdmJx9XGB8+5yP+wDYyMl/ygxtS0NE/+qqQd9SXwBxGhHmZaf
H+r9Bv3nnbVnORD/Qk00//zN2kTriSXA0attI2n/3toYHkfTeKLHkHu1WT58frBfPFU8QQppfx9t
LvK9OZoS+ZASi1hsCcS+ACGu3+tZKHdxH7xoUU0sjZW0FzJMQ7JpxLRtlQFRRoIeBexJe3JjMqZ4
kh6uxE1qVcM6bmS7lz4ffDCwA40iHmFi9qpHKrvpiZFYeCp1tFeTmtr1oPG3FYSSNrpyHOaJGrSB
6hnM3Z9f5z89P7SrOJeBJbHo/VC80xQj1JSk0baFW1wWUWZtsxj7eBSaXxxIe68H/ePxvT3Sh6Uw
lpU8RCqib7tAEhjku6/a1HSLVCUbNE+sb5agozeYZPK480qhtClefn6t7+uyP86AFT89DhCtDo92
/nTfPNIkI5tdYR7ZWpWJ+d/ySdTQRcLSzVIukNHQQJNVmnzx2v7Thb877Ic1tWgxp6ME0reKYc4y
FfPFTohEBwCbLKJaVfb5OJz55BZd0NwoVnZPr/nzC//HU+Ah44QEKuwgtnt/5amqgY3OIm1LWiiA
caZEopFPeBbp+7amAtbEOjcdlfWmbj0x6lfrz0/gHz5dkNh/H//DKCF7tyGILTC2bSqf9CYaztrc
1/dZZfERK8EXxYB5p/B3ae2P52w5qskz1gT+sg9XG/ZIblpc6VtTb+Kj1if9ImoAFX9+Tf/w5XA/
/z7Kh2tqdFUnQaYAjILqaNFzgficjVWb4df790eaL0UFQ8Ru9ZeBr3RlPk2Wup38vl/0jnafWu6O
7/aLK/rH1+TtgT6Meew/ZEslzeDrLO3XqG/PgfUYG1c65BSPUr9Ogpb0VTD04Xk1L5RF2ZZfGHf+
YctsqBBb+ERV4brs3d+/q3449JUd+fqW2OFyO6FOu0Egou1QF+nbUh9ui9JNvKALbFIZRpZvQVgt
7YroEztTnsnRSejZK8wOrC7yQxJk96C40gstEndxDV3682ej//qy0UVFA0eGyXzGqFHfDSp0+RKf
AAhODYcVECsSt0I12pABpy4tZToRbAC9X6oIxZAaBj0iQzahyjqi9e8RQUweIvFjXt3lO5ap/iou
NFwE7GkakPTUI6vfy7IPdmo15/LpxkGzu2oRZaT7dqND7LRCGnk5FaytSr+CqfCK9h+cb19lGEY7
49g0zdWPS/6/QtUXhSpBP4+x+6/V0S+FqguZx8/f3haqfv7KTxO59RttQTosQmccph7EKPlHoYpc
W0rpuMepEuFGhTzxV+eF8FqT8hXdUAfz0Q+f8M/Gi3Bp19B14xdpNeKoE/+mUoXe+t2oSbXLxoQr
dOohhsk/M1X27ewYBEFiRbnIN1J2zbbWEklcmFUuZmnGhZ4qzaGv1BGuiVEc8g5+KX3YmUPlxAdQ
69pSIu+7c/gCXoCD5nAAbWVto/xGqhoPByXJibAxFIwfpunv4YEEi2CYni1pXLDO8XRCERbWkB0U
UhXYtbJZtQtfsh+PUHTSwUaccwen5sU35FLvzGyfNGW1AcyDlxUF4rCuSppEo3AiRHq2dpuakUKG
Bu6zPRq+/FQm43ROAzb7LhO6A7OZ59sI5W3L8fpziMnKWhgKkV4UooI7kjUJV1c6REKwuL3a9ZMn
M5PwvieO6md6QBEKecdLxyxAPHsR3Btkhe4UKGMeGnRgPHl2ScRr8ZyMpG7E0PnoxDvDOTwxh6Rb
c9AXDXPGsEgYdS9C4jy3SmLlhyLo5dVIegRc8BwIHctDcTtShwvqYbiOYj04a0ID1TcW8Y2S2Rco
R7tboLDBa5VG9QO4U+MyQ9e9KFTHvYicSl8ONYGomeVH1xiiBCmG413MMHIRmpFGjbsyd5J7fWgz
Pzp2oZPf9Sja0XpS+BuaAN1xQLkACtwztOvoDKIjirYqwkW/KNiNX9OWyM7sMnz1DXyT7Ktp20mr
YgMz+mgWx/K7NREBG4/O5NnucB+KcgvmBzedSFZRqWmXHalRq8iJk4vY7l1IUkN51MbSOIDYmEMH
p/QF6Sp580mN0KSBIHo25rpylk/l3EvCf/y9NGW1KZ0g2zUDbX+2TP0+Uw3/rE/zakvLIVu2mqPt
tFwRp2q0X/36oIkHnbz4FQO8+9/UncmS29rZZZ8IDnQHzRQk2CeZZPaaICRlCn1z0B0AT/8vXleV
r2XHvVGDGtTEYYclZbLBab6999pPuA7rQyG6br0QFqGaN6PmdInnOF5BZamWgA+hfARjlZ/hAsNY
0Jb5xVwK41IVOPJju5ZvsMfnczH7DLr0UT+B1mK2h6dtZbmjWg8GHxA2ENO/l1i1oMIoJ2H+FFnr
AZYQJQHOLxKa3rmnZSeUjFo3To/vOcHvse85Ap2R4l9iO5XwiES/IV3tbRBb3GcfExX5hbL47iQa
ecQuhbksaLLHGYknjX2PMirqTzZLpVHpOkPn1WZdYsus9dBeAM/E6SwZcdTzzpSDuy0yvdyXC2U4
Ez1PVkVRpLc0D5EX2WuReSsBqYjWsGa7xGPQEG5rs2hF+qhaKbP+IRIqbuwiZaJzRwgPen7FeJni
XuzabY7TjAoee+MYdz9slFYE8nTvI0+necTSVo1XI5Xq5lTNh+2UP6olDsXSnWgV+JmNlfO4EPaC
qtTaGxzdEYvP/V8sW8+6Q2DpP1huqrNvHiiroCzafo0aOj/FPv0Llsor9B7otCB5Py1Rn9uUbh18
bcwIBke7McYb3pJ7AbJOd8O2zR0duyqG0HquDK7ncX+omRSFFLa4X5RaRRundqwHfIg8TOi9YYTV
58lC+w3tyTZZPPxp1Y2jXNWCKCzf4yr0jPmO4lia6S0uqdyikAfwQH7HRNNufJhcMMFuPnbbsc7m
/X2oFgcGguO+W+Jly3x1efTiRWyY13ZBZHEMmqN5YrLKpz3nIlmJBfnA0JJ+m/uyCLXIhcw3D8ir
A2d84vbWj4YsJyfvvJ5POOCMVan304Fu0ugNV9WyGuu8OfW+Gg+6nKpDVSiP6apf/WAO3B+RFHU6
+XL9xkPOXIJkC+MoJZ2UgJqyXpy0ds0VXJsmzKtpQGGjM+DcwfGiS5dKrU024qicIif+nPzyxVJS
hs2cbjXI+XAmGDvZNZMSuGXvY6Vdh06dZ5ixUUTf+JiCVhpnesnIHGfvbYxDsyy8bJXNNLHWTI2B
NRb+HGSmELj3ki7o/IHnv8eV1qXwdvtK0CLsFmGu4yhO6MDSqmgMMjwFQyYGarfxW+UctECxdSiu
3lO1jNNR1OzdtAXa/VOiOdDwBvWZY/baqTpGmInGh6RKr1yf7HWeaRN4wbFdpZ1ub3oS2ls6w5ut
JVjBoTsvRKQJxQ0lsizO4msyui+Z0/R+MPIPUE3czO+QxzD4UUOZid3oRPYKA20EOFtfd0XUbnsd
4Bj1JPO3FKn5pjvFeORfhxw77qIx/uhzVv0ifcYwdDZLuoK0TuHwjqmk6jU9EEWkrZKpS06tRi/r
RGXInjJVSQzDst+YxVofnZWRHJRevmeX2FV91DzFlJdvZ8kQY2WMoyJSlFTN+7S48VEytry45dwc
a42GMOIh4M3EdN8GZ9TwvKw2Hc6StbvQj9w5KYGYaQgdfXgfzPEMme44qGw5G2WM3p6YbLN0OkeY
d1Xgy7SmGT1jUaWv4kAJQhwoqzuRu7kXOdFwkfQGRb3Wtoan3hIARL/JrIakaJmvjaXft2Anpgnk
loknlrRP9mV0sy82ToXDGduu2T5ZsZKnxvtyJ0v9St05Ossp9wIVCfMoepCU21GR5lzTdNN/X9iG
vrJF99bNpHOzyMnngyKfJNtbNi7PZeX1z7nuW9ran3Oa1VWRyus86v16RqWCzd5R6NmXrQhSc9Zf
WXoyADsRJFBZdYEyZ7UF/othzKOzb1BttpqNxHnSaILZlx4cYRpTZsapVtI9N5hIp056F08TQxMw
d3udU3ehBoYjSqw3X0UzTc8NFwaIr66zGeyC3duySv9K7O11csfHuqL9pKqSMy6+DQz9Juit4d3o
25cWn0FgVbl1xQBUA/rFr8K25z9UUYm9Aku9+54JgEA1xwrG98iU9taq493Spcc+dXeqV8NaYVqM
14tdxiVPVl0CxWXBwCFdZ6LeGLpkrj88zpp+y/XkJxvaK5e+z07YWzkpcW7iWG5iw/ZXToZ0JObF
YN/lFBYloWDIuc6cZX5oOltfRYRx1tZsM1QVCchIirPWanK7NRLOcI5BcQZuI5WBsTRr1hnh3WeW
Xw/wOjRXGHM0C3OEr/bUgp0taKB6nadHbeqY2Y4McOTS6VdOcfNTnRXEW9HFHg2PiHmZfdoxB9hy
sofjwAe9ksUA/7WrD1pSa0EnBMXWnUmBPc0sB2iZiIOWMe0sjarSutW+Z7PT7GZZFCd8k/fWdemE
BHNQYjpnWtdLIk4ww4xHjt/yQM7H3DW1ig8yyo4ll8SPIZvcV5g04HpHYlhBPms01xM1vLXY8i5+
ZBhbldXfvaLi9/VbGtzZfYLJdfYEpCg7lP27JLgnx1qsUxMiy1xSB97n2SHSDe1NpKX3XpVKC1OZ
aC+V3a4ZdGA1ETMxrYK37mtiPhtyonSuivDXasI9i/EaK/zBkXkBVIqwFCSBnaV6hze1jE9RrDWP
rscmFdfIUH01vEH/kSeReu1HnXITzoW8+/yRXlh40CGIvXUb8OUUoGdptErmMlqp2Nc2pIr81SJs
sW3GIXqp5kRe9dj01jKR0c1CWD47adzsOYOpW20W1VsbtySQS0UGT4j5ZmqlHoxpX3zWpeFuZepU
v3wsr0hbjQ37khM0+Rj7RCsyVZ607JbfgVQmJzEumQgMklrHWp/TpzjmlIcLXaavnU5TpAAZvDaH
KD4bha5vY6vUz4aLM2oYY3STpOv2EeWLmH6q+FsFezyIMDyvFSL2py0H/6x5jXidDQPpu1fQaBET
PvxOxrecYMJTTXz+oDxPsuUZ6chbj1kak34a8sRkq667b65Vcu0ye4PakXBg67rXIcFDpCGInF0k
XbpbZXWmsKM70oPqQsKLvlSl2j+qzJ1NVcwc3SYr2mDY8j6MqSU4VJXWTS1OF069IY8xRaicPx36
i3ohvnFlleFCv+RX0yMH+1wA98ns1Rf6ONPzaCTpTtg9B3K7kocaDjS7hu1vUB5xOJvpY06pHQER
TuZe6huE0gwsxujPZ3NpL6WemEE/CUgtbk8z/JLjc2tMf9/jtzsJ1UL4awXdBX7jHnM3wR1W9HVE
3+r8S0TLz77MZ2DSxKkaqnnI3DG946fc4VIx62dRRccoic8oSZwcDf/BpCtpTYiYdsNcpG/pvdNJ
LcVH7dFgksaZ+9AMRLHEkm0qklCr2uzU8X7JT4K++pKq2QoPcbPuqWyMWtSchurL1yQxNStwJyNe
Jzxz62IkNEHnfLUehtY4weLNESbN6gVsNzXStT6+xrpwYLHoT9kcRxs72ngq2hq5zA9IFddMOWs3
RrSMZo7kur7RYmM+zxG+AxC1IF/n6ZLZ3Q++nhOt1GUGHxppX8xtt5a9dLlzwwtvF9yCQa5XzUpY
fFGLCDdEmzmXoUhoZdTPMetnyMxev58N0g2JaS0cG80MuedFOw8SCSpk2l7HpkjXhIflbuz8JdRE
Vu7YKbKDMeL5l2PpXYZltmFfg5avRPww0mhzb+SkSC2dBkMFBTYvykky01wbNdBk/Pvmm2lyeLoH
9mRxL52qC2wEjYYVnaLqpD7lnkcTXTwqoKEZPVWeNo1PnciqjzIyeXisxIh+gm1etCBK7rqjnsgJ
uPqYXcvW0G6TLUC671t7pMKtT/SeY6YYz3WZV+cMCOc3dsD2DPSLay51AKsqw6ESLKkxEcHU/PfB
WqJX06CfQ47cWwK4+9xPSywM+6rNja1DVecWbc4h0Tzlh7l3hr2Ya3GzJtveDqPZ/nTajFSJQ93C
R01+i5RLuZDQaHgYqazd8db4xwi0xr7nl9z5piJJ5Nj5Kq27Hmtla79zl1av45CWT71U9jl3TWwr
1AMvgaO3F4vP9GqWJr/M4vWvsam+miIzQ25C6SHRR+Mygw0+DNO9y9yyRuYG4h4aJG1xYbc1wtIG
xs7powShqZ20DNx6XkBycjlYBL4hUROKe3sdtZfMeJaMx1ZvfPfJLSaNDL0J/baqywda2kLStkTQ
Y8GKNdJU6cxjfvBh2K8oNH2me+t726iHZU61IFPpJ4T7bO/K9uFe5UBgZJINIOO3jsuPxzOMwDU/
DP78rZYIxynQkOv/k7nn/0d+cpeBJhO/v5ppboeMHqv+z0PN//O3/tdY0/4HlCQGm47AAq7TWPW/
x5oONjvoTAw8DeqyMNP9a6xp2v+AJcTIE6vmPweb/3Lg6f9g4GmRLsYV/QeJ8f9mrvnv43mmmvwE
DxXBJwpngo36Td/0TfgOXTG5YS/QaoOFIQjzJ2f6Gxrtvwtc9x/D9e8eRCLvYfK6fvsxHfARlGGq
ynkUx2+jrnkbjzb1Nhj7fNzGcLH+xi/3H/if+09EybQ9MHO+ZXj33+hPYqZfLrk3UN0Uuga3aGYw
cDJXBMu461SuVXE6K9MnDw1l10cgaZXuEzbjb32rZsvY6sg3h85JMEvJ0QzNZcgOPhmrhzJelpOB
NvF3ss6/y2X/fIf4yG0ULB8B371/UH/6fTNXoydgqtwwj+ryU41zvqJQgf/MfUhemRZx24pdspqp
V3+2tb58DpOnXuc4YwMdavtXPAz5S1VP/YG5cf3rT1/q/2JjMP/ze4LaT9uZCzqK+YzHl/jPv57r
S73JMACFg0H7SLqAqFlR08Awt1PJceZ0TSWv0dRHwpTUi2mEDO/bKqdol9nIZLtv5hyXF4gCR8No
9pjKrlNs4CWMxnspmSPH/MPCvbrFvY3QWzMlG2Ij35azbG5//Vp+c1L+862mDd3yTAQhnMu/TfK9
dFE0nFkC2alITrOA86GmyYzXU4NXW8FVyBG+dYE1rVOflaM4HRVl5edBVd5D9nD8r8M09R+OPVpa
YBjVqcw18T4Z+abrxIPbUmxGD/K4cvEeXSprGPd9nWD+ibOPRkhGQpF490VvnXttIAM2X7w5HXfN
7JT7vC0c7vlQSG0tWjCUJn+YC1ODqqCSgsmMAG04wLfG4KYYrTV68uk5LZF3A3PSUThyeegzBvBB
wmp0bEudHTAzNb/nljRl73/9Xt7Vu39JyX+8lfDVWNxYisDD/G4rbwuVNY0pRUhbtXm0tHL5XBzp
nOzW0m/m1PF9BQ3t10gQevXoV1G7/utf4I+V47ffgGAXbhROr4aFzvPvX8zGLTl2drMIjcgqL7We
V5s6U/qJUM6WLe+XlgHUHOZ0utdae0m5G/ilf9Gp1/6w8b8/yFiNOM+k6e5VXRRr2qI4CFWVa9Da
YDW4WutuRyl3PB3jppw//UEZTwMUgqPPhv0OLz4+NQQ1MKU1qR7MsT6dPLx9m35w9L/55hr/5Slk
abjvSXB+Bc/iby/W05vRvT+FXS7HcwwmPrp/tva+Iaj0iDkZ/55h4MIjQH/lYhsfrUYgddAu3+yM
xfZeRCfmr1bF+s+//hz+ywLv3Vd51HekNs+5L29/Wr6KeC5R+5UIueiJldXWv2DX7m38SGt3Gv+m
0OO/vA2YNIjVoLCgFP4OIq7ZoJgC9CIktuq+6/Vc35eRvwMr/5cV+d9+ym/LBFPT1OmsVlDrlaZf
Opaz0zxUGk11PWOev377/ssrIpYPUvnuYABY95uzAEu2aGTCSLbo3fHVUNJmALy4f7MLm//u8HFt
SE4cHBAaWcLRDP4gsv3pUzJZcr25yByCP+2toYOMyfa8BYmJ8feZJPaFuM7KmtTnpGZaLQrtsnAc
pmSw9taZpea1PwBa7hO7vjpdo7ZuDFVNTLcOQifAHmqbmzTm1jAk+8aeGPhQkcIghEhlFqd/4xv6
/eMRSMKQc9kpAXpzrvrNNrTYC2E3p3VDjK+EVgeKwDggM0dzam3915/Of7xtPrBsNj6kJ8c3hPfb
lztZIpPCXqoN3MKJuUDm2s7Vl/EYt2CurC4adrzVf9exwFHw94eKaASPO8clFjaXGMZvVg9l9sIs
DRWFY6GegUrWoRV7Ld2ik3q3ZF0CbJm6G7bQfRurD5eQ8sZlwPE9i02DoFty5OwTzC5asRU5j1yS
9DVrC5SattkWPaJVF6Ufkdl91KOBnAmMgBgVigCXwUAyFAhcNe1pQKJlxO30R596a2C8ReCnM0UK
miBukOq0fba41EFPEciiTvvUmFqxIbzBbSfCl2s15XWQiR+A6eFCot9mHLCsufvc9pCd6uGyON/t
Zvms9KW7VEsp1pUQ8XtXa8NFkzQaYrWlnmnJ/qBElUEL3GhbMH/SoUYV2ce8aMZ6oi4iWflTN36a
hd9u7QTVlcYHy/6YUtPb+Hr53DTjY+ttB15nmsXGzygVbSiissINH5ffCH6m1BQWot0ImdNxDq5s
NxWiXJlzW56hveSPxuQgupuZ7GnmY1pqtIP51VmULpX0jG+g5yB2pLmKVj7QkHBRjluuIzaJbzlF
52HaVRPaFqhxeqywONfrXlok/auBsfNqkcl8bGHiXKMESQwTcjjRgeODCSDTtxChs3Z0kQ73+yVd
1v1s+r9mZZ1yNTzLcfjKOF2+pndWkLVUZeh741uZyEMH4XGDu3J8iExpvMoss65j3grqQRtu7gEF
C5QlLH7gW/Ja+svrFA/eA0UY2NGatg2SIdZAZ3gAcgytHy/ttEzYwAvx2AP2/MTM212GFn4dM4P4
F3ABfxsvEcItg9VrR5fre4VxG66FBXyrr9Fls8l7rOuyuWo50nAwgWsRdJ7ImYIfyEpFvPRXK5qH
l8bM/JXU2vlZSxCI8C3lZ62RzM+nVrvlHLTOlPIlq+w+cKGx0OUnO805WrQhzNWkh4PtGd+1yGj3
8C3E2QTmsU749HYUqyMsDcWPdnTnH9n9FSpdaNs2Gh/12N4u9TPWK2MFTuaCPvoQaW63zfRM7Wsj
r39GkZE81zpfSQmFgAO4Z6w9mRsHjfLHdU82kzQOc1CKT8XVlSo55+TomW7PBlppS1GX3k0bjSzo
gVRPeamE95VI8UGaAEAdfP0mwiCeTm9u59Y7O1Ya0wQfPc7CF4FTatl72KiDoY3f2qZ7a3zFjK0X
RkvRh8HUwssxqvqy3PrWXIcN/vwVN5/u1CKq4NZonV3WYqZvNQ/x2OKXIidWEdSstIeU32oNz48/
nFdImC2QilKqvdFbTsifircmrcVRN35ZIj4W9QQZCJp6BQjagkOUJvwBHPdPI+Va4UiqZJMT871E
XZOHRq15T9Yw/+jgbd4KMJwXAf074Blc1raVjvuiFI9Lo1vXISn5TMwB5kLSKYoJDRQ63+iTTeIr
tSLHgppaNycUpSTIadcL4jmB9x4tyUtvJWSXrGY56rrkBdayW82C1VHY3cwGIRnxG0n2vRuq4TTG
Qp3TJSquTJrUA3bPMiTeRPEvcpmw0w8SEd0mdrIK3Bm2uV4nSDD643rSGBLeOzuxaE7mT2oiBsyH
EqnKTxj/5bF8ZGjuU3zP1c7ZWKX9akVSsAbGkFMowVmTqL5oPfmMOKLCsRwRV7s9yIrnKM8rXnGT
Xy19MsgLpOanDnrinsPipO+pxd5mnUnAql0qIimtc2kB4a6rJll2crKejGhaIcaaAYgaShFc0NRL
M4R+a/6oRnlMDLEu7PxHldr0IVajvVUNLdaInU9I22uceONDJcbopAZSSIHQm+4dUruxRhyqom8x
17MxSKLS3eBaoSoTfsKxNwhmmKVF+CSPzwOwNzBBtMIkyqJuxq1pJwRYiICc+pWG2FPhcPDtFEB3
dODYQUYry/JjjeLzSDO03NBGR+q5rpuDcLr6ZjvymuQo4HXha99Tu62/L62eb43ITV+jijRUT9Pc
CcSN9c5vXYcdFcjnCrj+1p88UhJOk3z3DS07SE8fAtdh52zNmcLtsvF3YzoMqwbWzGku0B66uC73
jSVSln5Bv1ub6w+FaoYNyunMd7y9tsavPGGOQHnU3D0Dna1WnZE0jyZj9JsT5x4I7GI+ugvNsbpN
HsQG1/NWwVh5H4q8WflmYdymWMptJWz2wsTMtnbbp988MjwrAJVyM0rPfW8gM+/TxK8PGQEVvAQz
xR55sp5yK0Ya8knM8WpPCqrMsR87cYqsQVBVOOrPpp6k1yLtrX3bKe9k+zEViH7GKLn0+G+dP56l
m33iTsmeE0FVXWrH+o6vaAjS+4cHzRNpg/MiMcH76uInCcyQouHYvbjOvO/sO8ywPTTDRehpWHZO
dbkLuUHcTF6/MhqHauPBcx8sKD034kTiE+pa+e4C/Fxpmv06R9B66oSpdiX7cSvU2PpBv/TZFsNS
BcbNKQ99Lh3WMLvdYJe7NxRmBJq0Vj5pYiSkNi2FDwCRtsE90a5mo882xHFDkoW0S774Ud9qIANo
+tyD+Fv2lae/eXbvPiIGj8Ewadq18rPiYUnlp9PRdw4KlGZPYIbVU9UOZ42+Rrezf1Vee6C9PX4U
ue+s8eFgsFVJth8t3mew5mIlrVkFjKPgnDfhGEcrDmrRpo1K1TAgmP8oyvMvyvCHS9938Qs3PBDE
VUEvkm9XYOjcbmzP0NyjV7d1jVtZ9vqD2avmYMXx9ADXrkPxTXXQNzJJnhXT80dNt8WXNen+Ty9N
qkNOGj1E7NcfDBhdYGIqFKqUQx8tCBmFWawL83fT79xTOXazRqywpsnWd6tbU7nVPpHZ+EWHkjME
GXVsxzjxxm1XNzgFXCM1XrSIM0mWQBld14L9emT8U9McF+lbYoI2W+Ugo2e7MQiyGQURw06V8V2V
RNrtkGuhnCfmgtPcLF7vNLT31l0KEltdQZ6nSZIIby/mEieQdeafc9DcGxOha43/5Z7/iTTxEUu2
ILeJig/HxITlC03DyYZsGyhV+rAr8TgGGXUCJeeZjHRio0k6AaS2XHArsD72bdcQ0Uq6Bzw2t9JZ
yBBmb0NpU9yezOahjaMYEXZ5HxYsT92CE4qqQniz1lKHZglgw7tvNyAFXE637SLvI6JpXZF9WxOH
HU6m1RqbJBqSjWtl0aHUUC2Dtoym/ZjQJlNadxa9j0JLhNewyrtZj5AYam/avFbTchyiz8V2b54y
n1tv/G7IZA9/6Bu16O+JaeOlj7XyKkcSTJ1O/5Ctl+6pwB3YrwvCKetaNzrCUcvin0udgnsi3suu
LLTBYBQF3jzzRPXgi7Z/0jr0O6P28EjZjTmc8yqNKXh1hPg+qQqEGL/C8CgjEV8Lf3qKptLa1XZV
fUxAYwGkKt3aMVpSX2MW9U80N0voivAaq6Zxd5U2Q6ITbHufoALuBjgkuhjqZBBVVrPlSfbkqm/r
qxdnajdC4fqoakwqrQHIgx7MalrF/gFfRXN1cuYdARVycj0Sbd27olKvepuy6XjeCL48jUUDWGzh
zqqnMPeGyEl/8XeqsGhLsuNy1mDwcYwBpLcsnXbICclhgY27iwsCKgltRq1ha/rlabQTGspSp3Y3
RZa4W4SmniXXrq0V7nhtU3W4nbSJIqLAZWj4Qg1E/cGFXT8yIai3rWf6PNyDT1BPg6sWLVeqN1ej
D+GuZ+i4maxe/84zbIazpUipDd7yiL9hCCfXp2ZkwvK4typPe9ATK8oCfWrzhwJ5/tJy+AhFktNm
YRT1doi8dJ1Sx3Ck5fqlGPWDWXb1j2WIycUmMnmy6ax9WoRFM2XTz9cUaxqXOt+5ArDRvyWi8G9D
bpoPpqsjncLQ/HlfCr+VcZ08Ae2UZMSN3Di2GdS+JtP8F3fp+2ccBLm/Hvr0JwtLcU5GNb0oJP0M
fheMDEN21bc7NY3XkOS7JPaWU9Gn6PpLLK+E0etDnTXWHlNEf06NkoCoZsZvaTOQmjRj2mMLRojK
8dJjyYHtrfRTawnawS+2nHmaBsnQ1kKvnPydHN2xv08Z0guDufE1txnMTRpV2TXgXj9watVd9S5x
Gacs7byrOK8dnaJ3vpSBbRTRDS8aps3mKj3Q7kmgKdPcC5f7cVJwm9yRe6/m4F7wuJGZV+0SQotv
XVe2HzIj7hBaOsJBUMuFsDGH8+xlwP+zNgEDhHaptR1Ri5KLDW5b/SSTMTlD3atCQ9TNboxa6t8t
A3z/nLSPbJPZBmxXYfGUSIoH6Mp81UgyvmipVqwwOAmsT0vE5bDq0Sqnqxt5Ll/+MR92DS+B4KtH
8S//EzihsguOlvnsgUrxNXn3dcWeuIEcTtdum3EKiUw4+dKPuxejN5hX6jrnO/5v+bPAYBWOy2he
jLFsud5z4DlHeLy/iyTKPiqhVW0YGYIukbqice9mJVgoC1wn+hrP0yCPtd2xMsTzjRfKCL0BEs6l
qrS2bOo0p7lOucstTbdeyyjqfo1QXrhaM7irDqZd0kfKxUCooz+njkn9KyaQdTHnrVpzkta0C+p+
7x2N2SlUOAnxPpRTuWsWz7oVi+XvUi3F41GONXQ1TvhZzdMuGi/knkkFtVSSpWBZBsoi89SHuFeB
4+xrsiIkRr0mxEI/myem1ITenFQgVHk1QT9BBdl+oij9Ibf87iUdBaWhmu4EZHC4p2ne9Gtp/KVk
CkufwkI19w9hNHRQNwVb5MwOC8ZPgQQs3XJ5Myu7+5UwB3oAyat98tIxJkWqIxQZNf2BrZBlgM/G
rsJ5KL32LLx4Pne1g+XMwxy7GQWuaaZhMev5WBZqPVrYCGRUN5eUgOy51kX2jasl10VXSe9HBt+c
4TYL9xuIJriSnqWOWZ94kCEhp5IBUk7z0UmaOAq6H9+RlHiuRtwxOi7VJwDN3ilqRZxvNM/6QZI1
tBRhcLu3EU+YZ26x8x3yXAGGWRiBBRgH4ls6u8XzBLVuY+lNfGwSz7jkItf+6NdrKeAdq24z03pO
oEeaIQmdtg9Ls27frMwZdxnb1yuujqhnhU+cjFdidAdqufLvNcelUKm6J7+rx0di08Zj02WaE7AD
3tORJin9VT/1UbWapjnq1lSosUtOI1Fww+BiwG34hymkt2e6So/kOH11xvjVdtqLzhUgKLLU2BME
RTEHBr2xFUsonRPDa4vJ7uD5jX/K7Dj9GsEzwuCo0/nMZIudoeRgjZvCdIdAEtANmxbk6jI12lfn
q4iKWdf61ZlCdT/vP6LCZKx6/zYldiJCx7xXsi8j+S04mbpOcy0WPfqpRmtlR7y4GueILJdX0bYj
euCifqQY7nPIi1N/mSL3EfaseOjvnCJeVrRO+6ljopNbw3HsqW9qFXR8no4PQlJwfGG32hhN3Rz7
2ozHgyViWrfz8s0bmMPFW7+0P9zWUxddutZ7x0s/eGzDAfPFfo/GVYdMl6xXdqeVrcFnCbJoFmfN
mBTMSajLqsixlRkLjt+SuLYDgDzqZfM5UyQdEhKhDL7hrqtNWbOypKLPNqqomb+DF3kLDUFAQefW
3LBZKYxMbMk9Jb5buJTatta7gqZtB+txPJjNuTO1aqPbrbvHUx3rNEfHxlPjtc5PRhmZv1aZh38F
QvJ+Mbpbib/o0TCZC/oapkzXGayHKBrgLvA9BGhFp6DnYfHnE4cWsZjENbhr841N8CeN/rvSLPc1
WRznQMdps8q9xWA0S2OHYO89DBlWdw9s7drjuPI+wrM83uHtKw4HDWyFUa3SUdZ4pn31ALgLEGav
azOOygS1Ds5JcnVnbsXYJsdj6/rpz7hd2IDxM68sgYqV07n4gt0kfwb4ttw0LXZf0etrrkSksaPA
HqQVejEIx8LJCEjbVU/iCBYvM9jCfKI8EUYVta4rrkDN3liw1DeW5a3au4MWWMlYrYA0g1KxpzLd
Ks6SW7bpTA9SV8eVkgsstRhFY45b8/iNZVRiycK55G98IgFLEC1pTxiFt2U1d7IpN13qDjdSJfqu
4HgP+ZnxCP6je6994AulXdNizs6yrqODJ8t+m9RtgRtWOKcJ59tO5Ua18SSFfGLsuAN1hbNuo6x5
TKf6sSst68WYoqBqzW9p7UDv9AWFN850dxeOMnQSzLlruBIrrPYPDq7sXQw+5NbUZMxlZXmHclbF
Q9rlz1UCWNQoxuSXNEzjyW1t+5kUVESm0sKbJccn3FG4pSJH3VSpyCoWIodNbK+qoazCLs6GW6Qt
MT0OZbnt+tbZwGSrAwa61oOq7GErsK9vhu4P8iZrvtcCM8Auvp2icj8WrbsdbL5GWdL/gq2zfM6L
vrIaDXz1/D/Uncly5Eh6rV9FdtcXZQDcHYOZtLgxB4PBKchkMDcwDpmYZ8f49PqQ3W2qqttqqc20
0abaqqsqk0kiHP7/55zvEJ0Z1eyueoSnNK7yI3nwbAs2Nt27MI/WWeBq0ipsB7azmKNn3XW7GTlU
1AU/YyTbrTm1n7LN51M4DOLe6zS+6gYUBg5wTtKC/dNeBma3K1OTbEylbW8LPqgGrgt9N60AWKu2
2yUTCaaVRlqutmadnbwGt0iFYwlMBDjb7i331VfnGeG+M0brOBVENLWXOY+d2azL1rm1Z30wKua7
Uofy1NTRPbvfcsmoEPdKHktDmR9RNQ8cTYzD9pCPrPP76cQC7CX1JWsFkxqmCY9rHLPs67vqKBoi
NAv9QkPA/6IZO8Y/3Xyf5/AWmzttOmFc0mBj2Vi90fZtXgeG2lWKEWhW8dG1J7rIYIHQwKULlCyu
Hu5JGSNprpkB2ckmeLBCLZmUPGFJyTihLH/8XpAMP8EZxktdOgztC3ORM3djumHab7JYfZRAnS8O
3SQdXeo2VOrBsJ2dnBJ9yKYJwyxTRXSjjDh19iK31FvTW0b4HvB/8PFsKoe517eehXRjZq2ebRvd
DtuUz221XqzPs+dN/g6BglVGE0+PgSGDS12JbhV3funvXY8YmxKb0KvtG+DbMTp8D3P90Ltz/B64
AW9FN+GRauCiJs9GPCdIjpaI/Pcwpk9xZSlQOSZW5uDkxMwna9KP1vBGQ2L66IfA4o6oyUm2njr0
EfTR5DbD6bueU0IWQ22zEwWUhdWQ9yEtfdFynvoO7OUmfkqGPr10WnLacm4Ue9C87DSHgGb0lRM7
7ltFYOx9Km1qukFOrhrpdzl0ae7NLXMdFdRjtptnTWN9PVka2ySv+8zkR80w2DMtBnj+Hz2jubIo
brb0/FGTMmr3xnUUO3zDXUmpFacVeTGTLhBsAOCB7WObV+8g7nHXOcO94v0Ojf9eGOGpTbRxkdYA
WlmGRfiouJCceeKit6BOaHmfa+LtoXnrTtZXo8ZuE04k+LIe+JQKJhq2En/f5/53yj6eVD1eZdCO
pNkCrhnJLOrjmPJ7eaHey6Ip7wCJ4uRveNDzmGVjSCYVk43VPfHuht7lpWzJkqzKt4wBTKqa0oNw
lc19/mPuVbZupGjXXHuOBBbESrsBM5PERF/gYwnWVFkOF5/cyEvYVZTdxgSz7EzVdwn+ATNLz/A0
gq01utbG8iKWFG0ZBFfmBdyIuNLqjZuK+dgDmP4eW0mbrxtnGk+zbs1w3cOA4uIbIwvXmpduTt8Y
UsXaY18wJaF/mEyr25iMOjbnT17emVmhLvXgW1y02J/GpoE4opI3olDWfuo5cdmtjue4VM3GDsb5
OrlMbQCRdc9mA6t3fO80+XUYLPEYzlYQ7lotpu+VGaeHjtvxWfrauU71bLH8QtbjSgR2k9SYb57H
zDDrlevybcAPZiT7vA2De8Fq6JPZlClkTgKqY0J4jTTc93wnjWjJrykre2GEizdtQ1RvIruSW+ZJ
+gZ6QdunL7muD01XDVCYh2+6JfnXluELAvK+ogn1kKElbbsZZ705TQ0pl0ax406MexEiKXKuxC+6
JLtODyeTSc+DBuzebH4Wc3xX1TSDyHjau3azKRZavZMOvLJZ5K9nL2YDH1XbyAYe3WJ06VbSpgfE
n3JgSCVmFGcjVfxhd3SJYWqshgMUquZKSwW7VUfW9BLZ9VeRso/djDYPyBA3NArntd9fMlg+47q2
dHpIAwqT/Hl2b93Iy1/s0SGy2LGsA1FO7wZfl0vKvnDCx6hO77TbcbPoq/gG5QTJgTjyYWz8LN80
ZkdZncyH+WkGG4693xrIAUSefcCfm1HsWnbICVOSXBNOxc/ZaiiFwttycaqgZ088VrCvCExXDHD9
gwbmuertgEGutI1TFtsVI1NdymNj97JYO2pI7wbuMTf9FIQaCa2SqGnRuHDPs5IPOzU95Ko13/K1
YXffSD7R5ujN3jZ2+mYPVCLhWmcfHbfiNThEaq9ablArhlL7zARHWLVBVSTQVc+PRfXVJrHxg8YC
Y924nXGbLjfeYbbjJ/x65Z3w+25dUgDykACuOPBREkBgvfmbjGx36/mG2uCep35PLQVEc0spBDHo
NVUTnFuFnd5iM5Jcy5ZeigCUFScuDHbucruOU3rviBTdv2wWZawOwGGwbrgJUIE2VepHmyIWzlM3
g+JLrVJ9Wr5LQJGtHi+PNIG10EkF4w0K1MLZIpZbaYFV3epg7xj62sC+uVg8n49RZfEohUKzd5jL
J4VTalWiQ61587SbhEOWBVUvYTOYRAqKdIo3XqryS5xX6b5rHf1aB5x1JaDjZD8UONtWk5nwJ86N
LurXWbHQFUNXt1u3jD4lPto31Xvx/WS39QY5kTZ1jIqrMhFq7bk+PdgmZHeVZiXN5GI6RYbHKycs
e346Q1l778ZgvIEt/RH2rjgrXzzwQLGtZ5tE9k8nDxEtLt2mS7CY01sQ5eOdPyNd7yum3m4PV4PT
LGra/sBjXXN9FKxMh9yLjlYShy9ubbbT8iLqzU3pZ1TuGHxnsQzM1An1VnBQbt582iHpMnbugSv0
fU1TxLEwR8jFqUEgUg+Q74m0A+YKWRZdeLri17SorOtgi2zjuG24DQ0FPg184D2QtWxdu0Qnwa6R
VdCZZV5xXeqXdLZZTHl5zTp8trxj1Ng1hDEnJE85E8sLqCTynXm61H5d3RYUkux4W2RbxyWNVIwm
VPnZpHZCp9avKblbj6KoT0bC9GWHWXajIJgdDe3rdnmHLEXZHnQ3GkLuWLTo4xylxnsahs430XLR
LhiSDi39vOxh3Wg/xgkgOu1sM3vsvgy/to/xYAdY1MkgZOvIim+DeRgfeCKzpRqNrJPTJ5/Cz9il
A8q/uK7dA61n3qk2E/IxDga6VGgIGhP+mrIleSYC4ndrxA1vJL6g24s15u2dTMta3Zle0d/Awi3w
LhlDt1XMWoc6psdBz6n5MImIGLDh5FA+rSjbVo7Go2JVbPUgUD8HvbDvogp8rm25LG0oreDzzEev
CltETHqtX6Imx0JiYKGa2/JslMaLWxg/BNbO57wy6qeyI51CDVm83GrLnmqg+JtpNP39RLXEsxjT
/smYCL0kCWk6KwO8kHTXtHTaB2WJ8WoEdM3QYd2dRBl7684NuivHypXeCnGejOV+MOTpHU0L9qnI
WnOfhRHJfB2n60D16VffB+2uHkgpN3kfM6qYnA4YrA7MhnSf1pWtozX2D3XM3Lbe9403v+Vh3Uwr
Pc32Zy4M7mNtZZJk4J58SmIVbgraCw/1UtLVUnq0DquOJkm5WCOKzuNoIlqWVw57H0fvG+F2N9UQ
lHSrW9ZV+VnJWctXlUNNyK1Hlq3xqZ+12LGzTfhV3XFXVmZ6DLtMPFRu3W5z6NsbWkK8U2ex0kiK
nwP7GmfknZFRDLbnGk3R1yRkvQoSmJFBmxSH2mFr7HjhmxdFX7iUfnhsW9chKnYcWDtAhvG6prhi
X9Xlj9RJyxXcq30RN1TY0yUBIEPSVtPfgtW8HVyiodSOe6R7gT4iDEGjIXscRls+smuaqqh1d61j
1leXCXoYjiFAjH10mCjIouomXkKRAbfAYUTI8jrWPXlrrkLbOMxmfZMJeeiS6VbWbL8ny0ER4pc8
tN6Y7KSmSBfFPWaY7Lrku1tNzc5ww+Tswfa52Ohfz6pgYlyaRFYO5Xr7/zvDumCTCj7HTXX4bkSR
PDMCm8Sww3RftHH78ssx9z/NwPlflAVhXjQtx8EE+p8Dbv5f0xXvn9F79i8PzfvXjzb6fSzkP36B
v+RCfPc3CRveB6UMXo5XIu6+v+BufAtyDch4X3Gl5laI3fCvPQMwbWgbdfi3sW/iEl0Mnn/D3Ti/
OQrYDaAlCI/4Bf8p3I34Vev5O1+1Z9JmwCVaSsFLFKvxn7yHNZmMBf/SH5uYEN+Bkyy9d1v67jYi
6NDZxrHLErTFAsnVrZqIDaNXdPWGkkf7SMNSsqUTo+FNULDutgDQdKsecny3auGbvVESDnuWxePU
bGnqCW8opPR3hWogQyzaYnhXKpXHIOGm6s3JTMwypRVT+TMXVuisoFa1bCn4E3xrh1DyMnEHWn+r
nmXHQLFk7MmPap4w8dHSDtvDYOLJNnTvsJqaKTx59C2Q+4eRK9K8tkdzsnHNUMGMYshV3+jh9zwI
uyaGLauKDd6krPCMv0k+asrhAm5Vvcu4nAwVyj8ac7wSVA7/jGKznLd1iC1jI6UhnwpypPhPgjy8
1jKzu73nBdOncAz9UCVZwEU9L7q1x228WwlSde9R0uK49BSxco7L+A0gUHtoAl7l66E0zcdxcJrN
kNvO0bJ0QfQc6DuadGGT3cMo+qwde7pa9IBpdvE2K3TbLOMDrG/u4WKG17FiB5GzvG+5AS3e0vMw
zgYYGUpX6lnG852I88662E0p0GPlVIc7oIrCf+01yt5Us3LaZj5Y1fVchPYi+loGvUJZSG32sSb9
YN5zVR7wetWzoBk2yZgTntuIKDzhxYYtilNVVxvL5LblzsI3Kzp2OqIhp6iGLb8MTBtf1gwBi/PO
GscCj7IbEbsjSEJwE3rCsE6GpKZmaKl46MzxScfmz2SqKVdKUway1g7gf3dsmCt8rA0rPajL3My4
+c933MhocRWxovNGYkVMrYn+DDUqRnBnYKHjd+6lp8JyqAyLkqelYMDI6C6USXBpEy+8E1n/alci
AZBY3DY8H7A+1JeV58eib47DGBZ7IzNz5gPfXo9FEm/FrItzaIvixuGxecrZ7B2dkVV+IhhCsrr2
9rnM4TridQIZchuFhgTAJLmEBd4ZOaE9gyJAXenp74FO4PJTldGXpG1u7/HKfY21YgknyHgSkUzQ
zkvIaD4jIHvT8D71KncLw7h8YrEJ0qUgCiFTRUMZxTVUSERm8BJm4yXVzJwTzVzHqRvogHJdzD1E
oEj/0twO+YEm2jL5KBlWKAUi68IuhIhLaEN5CTJwsgUTOxgCa9WTjYwt3Z3rzGE5EkQmjaeT6p4z
HFJ91ez70ZxZBCuLTRtLz/sgylhazJOmiSkWG3gB0DHsfV/DDZr6JyRXTOWucSmK6kfXEYAeLO5u
gZUi8FJ1VSSti/LOpyz0DCrl+Ce4XdLiKi2/4jASz7Ln+Z9yfGd58JVZYIy7wn8w5tn80SDIrJqy
OlWOSznl4KCA+VCnm3T86YJz6SjnWteDwU++oifOoAKYdCzLxTnrNAQSRXM7+K+ViLXL5rVsb5OI
HVPR0tqKqsU6zGWJl01qvhp83bskCeZtRBvnnlKQ4exF6YKLMYZLqsqLo4MEyFLurn0zwwAz4G/3
5CjJIIzFY8OLektBLeKIk893s0b0Bd48ku0l/cLFl5rbDRVXwlzLBSkxYX0h6xzAs4px3nIfCoY7
36eRDD2HCYDAwaeum59VLZjwOq++wd4sdpE1+Ftt4c2DnJ0/KAInq1C39s2YifSjrAokF0XBIbQ+
VTxIzcYAE4J34EngJISf0m7VVHuvg2+HX1UKGWT1u7fq30mjkZz8Y+6IDINpOkRgTJex3PV/UQd/
F2QoS/bH3Otwx9htr3FYD7mz0XE53bdoUy9IhJIzrgRhPYgaebZo+uK54EoODj6zvrqQfN8tdk/L
2qZazQe2s4GJ/4SfPkKUxWtqMAfwxKB7KIa1CQtDq/as6KjQZYf7UWYYo0ukuG8twzaWdrMQeKR9
p1enKp69M1Jz+hB5UIQk5JKlC1kwJ2tbtx+GsBH1VOS8pu1EfxqDMUl3NtNqhUBHQDsg5neGqNYe
KVyb9h3n+2kOgeZkNEGuZmotD4qVLIFEpiDP7gC8scLgYx/ob1Anq43D7L44J6BplagLgL0wclgo
NdjyeW9pr/RWpZzxzQywZA/ExxCuV7019NmejCJe2tEz+0NjTiq/dWVMu05D56bZQbEgWDfdtK0t
j1mIAYJ9o4kTO3Wq7VhqdZ9PrXhoYQSx2JtQJJoUDBfUX6sgQgm/xyrvcz/n4gzn7R5KlnolUSPQ
sRdHEP6tXaRBvITmBLXRjJCQQ+8SKQ8zlvpeJNOp9/U7ViFWThURavhBd1Xy0ffNk29Y3m1pRdZa
GWROvCRpnyIT6EVU8o3jvoFWY9acK4M0DhDQY8xVyt7moPdXncs8aBRP9tCBbwPdsiIY7DwACjm4
1PIcea2ksIWc7FvjVly+W8XWdnY7h0K9qu23VQj2H5JHcU2mRQawqw/iDwDyWF2v1OwXB4tn8752
a+uCX+nTLeX4VEZ88sTQdXetVm2Iwh7RburNOJiPy22fnos+9IuvbJLVNZMO6xkPMxS4UdkDfZmr
3uZQVmp89eeRxarPGPcO3SJ9o+dNzhcVGHbB1+fWE+0sYf1miTC681jmUKRaOB9DErg0l/ed2IZY
hT76KG3jde4gUxaWVvDbIDAjn7NWyRPnIoShP0Vm+6sUr9TFhlwVbdE75r0CqrTO6o7g4xg1546m
dBTfGFyHyr3wycQtcM4Szpsa8/Bad0O4cSS1EI5jeM91KoETsZB651aburxOyCgdBhSmmxjvBYsv
A17oqs2M9ImGQ5zfRNkE/oQmjc11muU6WUsuHO2Ww66qd+gP1SbkxKpWYzN39bqF93CXa/xkBe9G
XvvuPG+B3NVPU5nkr7xa5A/KL7sDVy/6O7FsYESp8I+sQCsgG3ldQTDTnzn9vNgj0NpZxTdHJek5
nVJxV8q8Z6fn+9euFdZznEtjRy17+DQbrDGJu+Ak5ctIn6155qdbM2nSOJyZN46HyhvVUpWUD+LJ
jFKmSKoMyFI6QdmS/bffpqqAOcBmFDPYlCZ4zWL3OgXDz77qDHNtQZk6WGaxQ9Tl1TWoRO3TdBq/
N4LdMgUZxG4AE3j5e2tG/cWqMnkNsOFU/ER7lkZhCw1y2SLOB4Ic4vucUtjES8l4Y4ZNnoic+u9V
W4/PlhyLW9Rtka7Gwqb4i1s4iOoEp8hWmhQ7rawypUBPzM5n58jkUBmdrrdinEkAqy7teK+WcTjg
xNDTd9NrDBqWqlysiiAR/sougpQ+1qQ+y84dUAjs/svMG9pmTd16r1QsNHqV+LYhTmVKuT1UKJPa
y26YyOVWoOrWldE0DmIHG0KvafILQnN6HAKaN2SIqcprO2lsWhkggCufm9hq6P32hkOvRZCY+jHb
lEGdT0TZBvu7diGaHEY5RB9TUlKTkAdZf66SWa9qSh/BpaRuO5887tgmFv3wNI0cLzuwPe5XGGnr
Noid7iZK7AaJVtjzNw2xq9rit2oPKhyBA7UqetBO4X2Uo6UvvcUINS6PJMNTSpV340PoWKO840jx
4PPIdUN0/nbuKyi/wvKZf2iRhJ6hQ8JYnpThg8bo+azN2Lgnis1h75qR5BSfM+On7mSRYP+ziY+0
ranuWPw6jAuZ6M/1XHRgS4T4CKkDb3c88vUPChbSo1U7Qbqm0jy8FmMc+jvc7uGxY974CTKgZxES
ZvU21zEYrjp2x21At0C/apK0/oZYOi8UizHforJ4xMioq936qTchCUPVSQH2z/rUsma9T7zAf+L7
U9wN2uLWiZzwRtrE2nqBKADXc3mpoBHW1VtOdAgtzdMo4igCBH5D0mkN7V+LggqMLVGw49aJW/I8
JtVY3ktZxfddbIeH2hAt+XkJXb0pQHuvMzfrYb4kKSpiFEu3xCig/W9ZgfiDicB9sdjnfDDHiBIY
TIyrHFCbA1AtiJu7ZhpJzMTaHx+mZrjapnnpDV0/532N5NeNRQkOxjTLhz4do0M/2+rdmQEvE9vO
sD4Siz/W6BHbarTbK56N9icJKC/fGEPpXUpzzC+zTMJvuBN4E6U9Wh4FBSzEZ9ej2JP2o3THRdg4
hyXFJ7uuMjBvh4mBSVVEL03v2DfAP3WDITwzE+jUMN2ho3rDHR6T5t71Rqjy+HaenDgfUU9ke3Sd
3nsDRjteGq5b48aCVXVkVHLCnTWK7Fhw32wIP0z5Zu54Olm8T6V7X1vZxAeIzQkCVD9BTRjEez8V
zbGrTfQ9IAHotu6Ur2QjB8pjZMUNLGqbFv9HbYwPRjPkq5jc8KcrQv0VVhmG7i7x8mYTd1TVw2nm
pcY4i1mfEd5d2+TbNz2IUhYQanC5FiXTNwyYmbXiW0yjq+9XxHBEFaEmodBz/a35YCOjUtOxMWBp
0ane6WepssTayGBEsjAzQagpNMjJW5aszx6KKr5Gh6CV143XqhRBep8bucMz3CznJjnvSWw4z8Wp
xmyWP9BJwC0ABb+M92MtMZxCqlyaPbkVTVW02ObiauBhzvx5Reg8/JybWZxaD6lr69Xk6bg9YHnD
2eQ1yM1Zba5wCFMlMmS9ER4RN5poG8gScdPn2mZ2Sf4ysrv/oXAzH03DL16VSqNvftF38G5sc8C+
Y1hk1aTeO6xF8WNEMHmMovuZImQzEQvEpHWcFxnCXuv1mwlP+g5slLHnlbQAVCfmOJNhLLcXb3fI
MmWVI/x/Sjdsu5XjV+p59q2MRmOGyNB3bgAeyN2UZWKLUXom/zWZdxnbmY1tLLtURG9apcakfGod
P/gs58peEcCsL5k5TryzW0wmXakN5kUt4ifAQu4OVG32irja32WpHJ/LipwCo2NL36BRmvexO3gb
v6iCc5uZ6qbnA/8M51JuGyObDqE7xmuC/8XP0nOLe2U36pnHnptwIm+suBWY2QJ9DXUvT7ljzYR1
IM5FSnTHLqRpgvBosbeRO1tXXbiTN4+DO9anJAzlbdSJ8gAP2nkz+cl9BCJh8dybateTTCKraqW3
VVfED607AebCvRK1OTnPwWbPQPk2MUkZvQSjkR2kAj3cZGLP3W4gDGWEuMNVc6sr/eajAe7rtB32
fuQTGSvrdOM5gLP82Xv1ObDORVQNR9XGnxYa3rKtSIF6JgugUHEfsLsbO6JikMaN7BR4CTVDRRSv
Q2vMvhPnLs4znChin4wIvB3aA5hLfdBJAl1UU4vDn6fdubEUyFl7TAP+f5Hg/hNP32WKkx6WWuRl
SxKmdP4U4TY4fouBg+QIkw/uUbHc0jzwiHcVpqlhrXiEprXrYCytYFvs0qlzj0MuyLb943mSOPX/
N08CnYa9wm6V/yEj/0d8QdMF9QjWbjxOMHeTvtUfkS+G+bHqpd/ee15hOQ8Uubtim8358NQjrjZI
CYm2tlPP5zuS/TdIc4o92WQ34Q7LB/szQayqfnewb8mNbA31Wms7e/Ap/D3PjsiuHl4v1hLLQi4f
euvDJR2MrMTU+Mr6g0oercUFqcv4bCL0bQIDqIym6JZavDC+6ljIpR5enn0zZing9aSbwPZBkY3G
x7p0oB2yifW32MnSk6RZc4P/VXCREOH9UDYl1oZGP7lwSUmgjOLcZSGvw0IRah+zqy1K81Hb4Q0G
XG9tL0tLd1lfopyzyexHzQlpULwdbVm5qqfq19oz/LUCJcxu/kTpYh1gy9r9cj3HexhV2jxh9bFe
HWHWNexxbvkrwN4ktLTqgJqGXkx5TTa++LRdx2s6zrndW79u+v6vWz8EPCaAuE+nT1U0nJ1m790n
v+YEi9bzAzGVcaXxM9t78WucYJvkvEPugi5JcOloBPZLqKbuWI1NSKUX3/gUs9wKq2jproxlZul/
jS/eMskgn6qzs0w3qCQAdqNRR1tv5v2clBMimzUwES2zkbdMSRG9GpumytXerht2lMtGdM1pYnxk
v4ascZm3aLBxPvxlBrOXaWwyWG/XZDamNbscxrXKJyN1waeUvik7q94xp5vdppg0IC9qcvgmqTJT
d3pmvtwPtIM5/Cd1dW2Cyim+jMjp4m1EpPanFvgrHv7xx8T+tfT/gygAjgBVwlY2+oQFQuWPH5Ou
oNZdRLxOYu5aZwyK4W05EM1pG5EeMUF7x9qDJguNoQy2UNXvvawMbqMRViWC6jDeODqs2aZhE9+w
AYBAUOTp8MTUQ8xXsie9okgCiw3xJV3kQPsoCXDJDjAe0KbH+zwLyBgOLaWPg9XfWl6Oa68VY/BZ
GItcGFfO0cF48mj7itjy6FDJ52AIFtF9YQcPPr1Bt0S8OjbAAWDV8MJnXNyZ+XxmMMN1ZUiTOGFs
4n9gX4f3AYaKc4jimrSgdrig8u4wD33lZg+Ok5gPorR6uS2lCp8tl97bsE/8Lf1FxH9oPxvYvU1p
e8fhUmPTI/DdcpPRlNJVBhwniQtkq8YsvZlrk6RZZ9HszgBeFV9ut/QsA7DiIqn0g02q5dscDsGm
FAlysZqzjV+PcGuszA3eIlSFt1FRj4EbqWx2gU6jfZzXRspbV7poFoneJe4UHgpvYdVhPnf48zUO
JpE86b/ywKcgMqOpcM8kXMSbEZ9dsonsZkk60Y53wIIUPGK7iT5yi4o8jVS6DYICICCbETYFsDfG
WPU3WeINuDBi647V4sxTyaUzS/zxhO3E+O4XIK/55cgHGl7xlMbJ4t4AfPJiguhe61B4q566QkqA
qj6CtNvxSptVv5swlL31thU/4yGwIRjkxSEwZzNaE+DgaBqH5HFu9VL/JsVJcUrhbgQRX6I1QKCK
3Ac3spKXwmxTTlHMvvHK4ztzEwtTZgwxTnA7pbO5x5xg8rn2E3Fb5eUFn3a16zMWFM6vN9EctfLR
MZrwPJDFxvuGiQn+jsBm/VCkAQ111SIiWb/0JEuP3bwOfulM5iI5NWx1F2F8UaICrMw49OMpSbe0
GHyAPEe18tGv7F9KViuU2HX24H4DSY3SVVBORigrHpg+Y07vgg6FtHrD2pLFB7BZVnhHQorcwfIe
+5LdgNNejLZHWn1R25KyH3DvNCN/ZTIQzjmGr39ssjkhTqGsY22DuNz0tVysUf7iBNIYPZND4jnt
hFLSYd5qcIqeRCe4T2AVZ6c7LuvdVFlXOA/AJHT4nPrxNW6WDwhp5ml0Y/i783wce9/dVVbZLV91
u1MopacxQiJqjVId0NXb9398UP0JDeMtlDKKwwlEkvVcPM5/PKawGHYpK1H36IfqLvTv67S5rfrH
X7/JPyVxn+PPBu7PT/2vy3/2WSK1x4z4vxpx/+PvnkvgOfmf/5U//BeU5v71N15aU/7wN9uCer7p
sfvRTE8/2i77y68e/iiXf/O/+w//5cevX+V5qn782/95/8rjYhPjQ48/9Z8latf2uRz95xo3bLey
ef9D3fCibP/lP/ursi1+kwCGFDqlL1x+OH+Vte3fIAB6go+ei0htLoL333RtGIliybYAdDKV5S6V
VH/Tta3ffOk4QPE8jx+lC+DrnykcXmTr37/BlIQI6AtAPkjaii/8j4/GSANFkYJaOAA9IJCAt2o/
KDgZTWLdiab1j3HQ83mBm6PC7ocdOME5VGyqfvct+zsCBu3ff+frQMN3letKPqB/phcJPzRKsK39
gU8E7GcXD6xId+W8drrbKDqhgNbOQ5DDN4nZ/k0siFd2GJwT7iCruhHPXe0SfoEj/g1nqDCLk0jG
ah17i7FZe5vBcU+485g4egK+Sj9O3QQqgZpFVTkmWs/LQPXXpIjSBcU2yduHMR3vhzS4sQXbKMPZ
gQqnsiW8N5KKdBuZky4WzbYV4bsk7YnVnZyL4lysVmYILXvkN9rgYJwkx9S1batngLq7NJgOSSge
6DcTuK7TCGAR72uhr5GDWBiWs7lDQFwBEbnti9zaKcoFJvtcGuXOoZil916NdGa/mlxqp70Bwnaw
hXtToBcnKYKEW1/GUb15OsM6OFI8IiW+15BumlGW3gGAw6tf5ncYmG6cUf0oASt75ncKSF/YXKNp
uecGEJYTWHta6LA9GxuCoPXKdvkyHOTbqUu3pEc+yqz/igmfY4MQ1oY2vp+2PwfHVtnsZmaRcyJi
fRjdGQrGcDa8roU1HIGUsWzu986FZoFjYz5R0bF2UBY2sxwu9Rg+UP/D3pBt1bOALpgVE27TjXaG
mzoRLznU6pVpSHZil7oYf4JtOI6t+Ta3wMcrXlTRUF0pzNpNKj7Z5Ox3+cgKISi32vVfeLxWqdpx
QMqVtKAQjboHSA81zgiuAWiU3hFPDZkuGOfdiyXKjWV9lXl+15r9qetH1upduClHdFrUALGlrnSd
Btw7Rs3sqNe21DMR5eyKJ5Fkv/OCRGauArP4Ktl/r6aINHqbED40jW2e6E9T45sNTDr9WGuw/Nyy
1mbCi16T3HqW+avbNPN9kg7paz/npzYFgjT2/d6blr0RLcZHaQNw7tOTCw7TqYsD1fVXUj0/UqM8
U11UqZdWggK2wLWv7Mp85E3KpXOYCRwnr9IqBsTxctMnEQUp7m0/1pvQYV5X4l5Oj41XnV3TX7e0
RSONTSW4jBYSAPjpzmFZOwYw2AlvCCZZ9q4jDPhCpQcveuhD6xZeL0vbY1vQpUrSZ8Vx8BDH6F1h
ML5W5F7mf2fvTJocN85u/Vccd48OIAEkkIu74UwWWayBxRo2iKqubszzjF9/H7Tkq5Zs2dbu+yK8
cITC3aWiSCLzHc55DvmNuKPWUZ+xJdSM6lQqo+LJiZNlKM31SOpy7YYfrFI2ZXzHyn/ZF8Y9wdN4
9K1Nok9XBoS7jgTGqgl6MK3ymQRO/HfJlq+GgzxXpHsTXSFbPL1dep28zVvjgJqYwnfCtyqwEbfO
K5NftKYMTyVK+HGkyEiHsyPqrUBAnOHhvCFfe+2XwVfZWXeGxyzN8sVZ6S2JRqz3QuVjV1BvWVzu
w9b+zGNjH6F4HhF/IzjP002cZPjn9P7I7jna5M7growqeuDWxBDp6WffZBCaGXeVnJY6cQEVxBz2
fdreLcIT91a/YgXdYx7usMuwwNSkfWdTfSKWRp2QFRdkRtsOXQ340YBIwbr4gCaxskZ5TZndSv6P
lYjiTVLb8QokwU0eVPjXq7OXNa/tmBbsyttgWTjuderHR6dnHTWo0+A0REt5C6zPF+ZpZ3wZr6DA
3kQjmEp5R31sX8sxfo5HJ902Bf8dkh5By9dVx5rTCcXDaGkPyuXtSY0Sb0Z2YPCOEpBYLSyhuVgE
GLB3jtvve1blQpjbqSq+m3G6zUAMk1gTLthnMGkNxKlk6QwUpRiWRul+E8K5DvbA6jKGm92Pm9JU
bKatBBmkGcaL2sh27qTekfYPi7JWfP8aNJ8S2YKItCdBx0/2MiLqqrpF9fpcElQzOk6JVb3Nlnpa
v0exw4OBAiVo+tdOeXcZmzkNZgzK2dtJ6BhvaB+2NTwCkfv7ybe+lciQF0DikxWTtOPE26p53om6
cIPICFY8oS4LqGnRTHpxEU37bEMHD+N8fMOjt2/QX6xZytxVBYIraHKwoSLtZOmA7EM/BHBbbOsp
edCbpOZt9uGItVtiD6tFRSg3u8RKOsCszX0+WYe+RjlUHWTQoFplhJAjTaCjOEj7tTXjJy+tSRSf
3Roo1dhAljmHkJ57mybwtkUlV0X+FtTZbaqc564y9kOikFJbN33d7PquYFQKqUl1mPFduddDLIdx
1Cxi57H0+lXZWMhm8TA2zyPT+r5Pdoii8e0bcH6as+i7XTzhZnXUNmy8eEUK8G7Sgmk1dNVFes17
FdNDBBa0c1k9u6pa2QnT1Z7dmBK7PmmJoD4OzK5RCGFszKp7bULkO3ByERm1UBGPvGY7d/YQfCvG
G79z1rmjn4PhO8H0t7ot0ZtAUdDN742Xs5IjybxNjBvqtyU1/PdQZJ+Bb51N2dyastpBrbogoVvD
VvAXdqVe3AiTUvsdtNiyHDk66TFru7rFxsRDmL/wiFzL0T44yRsUklfyp958LVrVcXRs9fZMZs7S
zHFdCS842RxaWHFQseSMlIbbVpHbUqQ4DVPQE1pC8rn1oZzytmvFLh/GE11mumoicxkpY5dia+qN
9r2d2peALjtBtREbEZP07CP9IfY/uSjzskEsYIsR+h4Up1oCfU3IQI9Y/oSPIj2YHApBv7I4ltuJ
aOEUL3sLOSrd9uZpitx9L5KzrnB4ux2aKbAJlsf9mTNFHxC5gP8KYv2U+3OikyqPvhXfVxnchQlD
BQ6PAIVamDavwSlLjqJ+iqx4ZZbaBpM6OoV6h8cFFG4XXp2QBDVtEusMUXwf3Tk4Z+ZYsaHfsZT8
tGiZA1xMQ8kbWImjBY9+IYeEKHKCK+rkxhoi3ADyWg3VB/Hk3rqxrJTM8+CK7hwpVdyQAzAvCchZ
vO+Z0y9J0iDyXsenJXPWFDnm8h56U4yHjyUY8GbLvsOd+cpC5avw2ucaLQj2q3ThWNW1ismW76Nr
5ODgtvsllvWtj2tBTpeOpXnLwRsTbWfa6UNZ4NDyalTL9trpsGjAm+ptteyD4cjkE5BPvlT99yTA
xxXeN6U6gO6585rwHLGRDceVTJzl8DBMwSavNwFQKfAG9UoT1cDaMOD+CNea3j6AEUPgRKca9dtJ
PfmOePZ7/SFsdc4DdxvSjYbxljn4rg2tO2Dgm6Jqj4Oe3nfGXWryBarnzMQ3TQ8WQwnZKm8RB0Qf
fd/sZC+OYTEzMMrhMChctqR3fVfZNeDZxCV+6JF/RVW+8xSNBKqDsDmGxogNz73I3t/gr34P7Qy4
hmpXtqczbqB+aDXnOW5YKI7ltSS0bQIt0Yob5WrLcFZTWZSkpH4dylQ+Gumls0l9GRmDt8B+1SwK
wmKVpk8+Qrhl1kXhQTnpsXW4kSvSroiCz+JT4cr0q2YHap35U75nA15RQ1aqeWHhmF/LZuqIYyDG
q0ua8TueV/dORbp7qmKz++z6PF5bsdK3th3RO0zSQ8iBfB+B8LBGkKt/lVkS3LtmKm8A65EyxmGf
7pQo4mvugPtLjFQ9MF7mndSa4C2lGt4lYTEPPjXbWDeFD8cMiHC7RJpDqhv8tIwYrj2sD3+HOlH/
xq90v8JQnD5YuOm71B6brQdn8TGXlbkxAM6eUe1XBz0jE0vXnOqRfo/6mMJsWHRVVt+XaWxeXF4x
9puSuyUK+r1u1CRvdRYbbI3llwPn6Q5WxbDyRtwxPjoTlltdoph/FeUpyyN/zV3D4pm1+l5TRX0S
meMdkqqtDwq1kE4RR+uFlY33nSnTqbEc7GliPOWu6Khn8DE95m7jgCrSmZjnmGcixkxgBCf/bMHT
fR1MIE3MjsonGh2eH7f20w83ku2Llpg2LLEuiM5W19gXW0XBgzL18b7uVXFr9AzbOysazlWuQK9b
1w41Kyu8aqumZnjwWPo9aZZFWGAWjlim0BZuBoIpVxZTq3t4ly1OOAx8IxcmMCBSqNK8dW+MaBg+
IniCd23SN3e20dQ4tI1on4YjzGNbtaBJQgI3ATVsUM2yMqWuJ2+nQI/QYcIwPYF/04qATgZ+sU3n
Bns2fY3wZRDixgnWOhzG9rPJeg0+R5S+RXYibouhNRGTOMYNeky0SgiLiZkJ7/LhbQjamSgJbKxJ
xjNL55kLkY7dY803czRwYY64x4nOXrXl9JWdLoNXrFo2DqfuAjrjyc2wSZXxqwznTVu6JypyaU1t
wrGPuFwONyXMNHazEhMQVDqdwBsLzq+NIo8dLsCHct+NkT4bOj5lwmUmonerinEZRssOLEoDZzWj
cuNisGzQrgXO8FvXt/QtqPNnAJUXmC/7UHdvE6tdWca0DCKC2HL2J/Gt0KurYTRqXWj1yzQFAfTw
kIoylZfO6p48EkVAwicLJo6A/zD9Ddred8ezG/rdvjBKoiY1kezSDBwdjq/z6KIXEYBkc3BRqgwY
avc1NHSK8hrLfCusTVc1YKw0sSrWdfuMiG7R5PWNClxEvu7GT7LvRfarF4SBF0OofzLsMOXvhx2u
JW02Okg2JZx219DVH4Yu7MmomGzZ72TyTJsf3kzgYc4ERwlsM8l40GVW3g65P91zPgUPfSjtC+7i
6Fzhde8XkAW7Fxcp6ofz41GJ56dmnJ8fe36SgvmZiueniy1CeWP8eOLmZy+f/PixN7ETLXIezXZ+
Rt35aR3n5zaZn2Dvx8M8+GZ9AMuoHXyPZ32cn3p3fv4rlftrAmbKU6pqte3bHgmU55NKGXnxuMqM
yrsTDCI37Al9JPmcMtN83vgeJ4/esKgsrd68OPbIuWTU1Oc+0KRHPcrrRz2vU5I9JSLrqWrO/kQ3
puaTTng2Z958+sn5HLTnE1Hzc+ObmE/JamzCPfYzpsVlsGapxWHazueqhrBknf44bNtE9bsxdoO3
rKDOKPRRPVhRrNaBKeIrGxwaBua+DFCCXt6UYx/cWyoHiKy0YY3jFwFcxCX/4xKA5EQy2nwz1PMd
4c23RT7fG1Goxu/6fJdU863CPCe/GvNNAzafS4dPM9/7kpuIFUr61Z1vp3q+pzwnCfbDkB/z+Q4L
5tsM8fwT1jN0O+5UT58MCW+QPGDgKoVRX/sq1V/csW0w+oWJeB5th6FWSiDya68Gn6fGZFld+Ayg
4MCqdSs70BspBZwI4XognL516iQjl5dIPlGI4LZgQI0AqtwUNG07qQUKRXzleO9WSpTGLnf1ieYG
mekGP4ODFqX58Ruh2qdLJ0Wtxz0N2Y8vUxYEyzrPEzICI/kObEHcpBGHxBZAPf0qO2cqhRRtKWFz
RJ98mHpxD7OJrMZCh0MEKtCkLqFbWLasaxh4pdJdRCjQFrpdDGsERQ8B3eau16zXKmOU0+odncRE
XQnM7jriTOCyGdZK8y5RVF6SJoBe20fVCq1Hisoua9YuDfs3mphnjYX8yWyVWteF9YS6lQpIE+Za
RyjDCYtABLlX8uD2Uju65K9Di4Kgglc0vDg6OA/ZkE8VSHnBr3xByhjcRKWKd5lDmd2m+sE3DTzs
XTCwuxk6ip4miVH2yrcQ/8+OwNnvJCLFSEUnohmZmK2FMR4r6g9MtPz1ni8G8q3uxW6N/JARnLPJ
5GAtyTQW23JMqpUBS29B0OfWDXJC9TIwV1gL7A3DVMYqevXODuueupB4Wjmw+zD6pyIfrrlIs8de
K2jH3CTYWm1LfJUP4OUYwDRZJbGfbxuoHOteMwxwFLLYuKhEUdZ19aYTPGu5y1zTQ0++0HyYIP5Q
v/VZ5+xHI2bjMWVvYAGoIGysDYnjNlsCQnEFsIbgaxUSLZwCM6mMWRyPmZRwqAk3bsF8sYlspCG+
SiktCp12/s4uwc/6JhXTGNDyB66XX3Ov4RMe6VrhTcgl4NYLP2fvfdCaXLvCtJ5qVxKN3djeXhRK
n3cq4Sn3nE+jqNNLLLSJbwEHigaKkC7me2TKS4DmZTkYIW4SzUdGnRfRMpe8d4kKPmtFTZFENVd7
WePWR/A501E+xlG89Mkr8v9Tg0kW8zsSm8y5m4xcrMY4+y7r6WE0ckkp3GKKTBrAdprrCDhsoABr
3PgrM+JwNHQajy5zuaxyq0IDKfQnxdNO92p8HbCEr+0yenKqZMf+X6010+3pjAtEF74RHH3HvBkd
CPNobv3FUHFJ5ECDVwykbzvPhnjQOnm5C5su3wdCC3Z+708vkTs3mb5JzDMWW36udhCwR003vcFs
T/H+WMHSaRNtyUJXnJ0mKt6jYDT3Pvi+m6BX0T5prPrs5U5z19VedofGevjwOH9uDFE6u2GuqLq5
tsIf1t6ac72FH5rKa67BhNY4ezR+2sr7UZ1x4lpP7lyyVXPx1vKO/9gy/KUN1T/fPf1uWfWfLbH+
l1k12UfhjfzzNdalAixZsVf8ZTG2//y//+fXNRY/9usaS3wxTYEgCIemcpmI/LbJMr6wO1LCktzP
s0WTddVvmyzbntdVkh9xpTlLJP6+yRJfFHZPy7VJHtJZdrl/ZZPFEvcPKyTKKYlGAPmURPao9PnP
f/LAQIADf2sZ7Y4RBVZzunjG3e4uBQwIMHV4QSnmLzoUdEvkJCNE++bbIMRz5LovpN3qD16JtcUu
+88G+fgibtJ5ECLblaaRpTk0ZfYYF3p943Q+9ZM7ZqupA0cyldG9JFKQTQl2ZmpJjlK/uHWKWCxq
8EyUxvZLTnHC/n58yGnp0iK5o1+IV4mP8hbesrWYYu0TMS5eukogt9XKN7RtDJzYJ+04ibE02jMB
Nfe7t5D1mDblxyqJwFk0ferAHPbv2GIoclhtba2XNN6GGWXkE3MsNMQyHAqtkMcgg7CzKBwgI2g8
x6unmG2F8XsP9iRmsJgQPjZOJw2j+5rexwMHibQ4ALm1gObYPqRjtIX8bR0LaQx7EduAtbwxX+Ed
QllRGgiAUUeMA/sb22i/G626rUdfro3KdO7RvOlLVQTroKzj7VhDSULgnZ2cKCdRe6i9D5MR6k5S
dhzQNBTgmkuB/E85+7iC1qEnvvxo5PhWDSpYmpSgy6Lv6lmnxz9B0f1oiaE6ebLT98gUoLij8lgR
ymCdprhqwc/k3yKj6bc0wc650oG09b4ZIa4lHsjQc5dRqYOtLMgwDqiyYuowiAeX6otMV6Ds8VCi
tGnjFzMfX6DRBMueO2VRz7c1TnWc6dzfRW4FK0hZQAm5VMLMjXdOrt7UfO/Ljr8+0bYFmx5Owrqj
QMjnSoG/lex0HMM3IZxIFhIXCB/RwZ0rjNQfwkvtEbkZO4KKs4z9UzTXJKhCXMpE6pQpVua6n2uX
hiLGgbKMC0WzTxA5nvm+qm/DXPPoc/UzwZRcpXNF1BU17aB3CSiVZD6k0E7qazRXUd1cT7G4IW+H
EiuBfbGLmhqCKdVXPNdhMjLrTYow9ar72Pxt6aL+UxdQE3cZcKgFHQ/taYANt+4YKy1Up6sttO55
WYuFuNqmU2PtM499EJVaVdxZcsAMALp6FVRxclbwsFEQseBKQ6PYYPOpzpjtuoPnW+HOjwMy3wF+
V6Gqt1NTnFo98mAqJYTM2gwqHgiudbdUtTg+7fpq+PXwiMGKERXr9h1Ifhw3lnziuhXbOOzSaxLF
4ZKPqlv39ggPgc4M9XGrea/M3Lu1F4vyGDY1juyxl2hxcaxyW9uVWLVe9S0vqmwFF4tiEKzJrUyt
4Z5BIKGtgxWzBG7NZVPLA5mD5hnNUL1yPRtRv+rD+94gX3As0DTp0ZTOO2ayZkfArQ0WUQlQgdVs
1MBZmIx7L26GVUtHM1dB+abRWXjoNdCyTpJYHTc9mjxZMOoXgZ2h4CGdjYmTLonS1drnsVbyCfSY
syvd0XtOdKSxmu4Q/9Chhw8tBPURrqib0rHDJxUWzHHzWe4d2JN4SCZDu8XLNVHEJdEz6pxnHbTP
JpcjhhkfM1A93BVNJ75hx+gewh5UmxbWBKWbnXQWoAmngxvAX1VspuiOIGSbdXp2YMhg2KMHpndi
/ODhHNecJN5ARwZJnxS3WuXeeFqKqQsni88uUiGoWwKZyXGHljdD5wme3NCMVukQ0z90gXNjJWl0
109ecfSMJjqjXmICo7fHVoYdnuKmfMbpRl5NnrL6KUfGbmOlr9rQoFOsYW520RQ9dYqXkfTj9OAF
0/1gw/AQCF5X+diHe9T099xDTCpxyGxs3fY/6IKmnZFoF38odSx+2UB7nTXnPIZVDDIpXAGxRrQo
wuOAu/Wh9K383iY7ZZGGrOcrg44PWcTcmbneapwMKmrNVvBkbMy7CMBtInTcdIvFqzoOGi4ALS0d
8HuJvuock1M4tL8ZBkgAJWmc4CgQTiu/kvIzLr2IzQmrW7baemGu444+1mzrad21HseLB7Ivz7yr
bkHO+fEagJ/hfwt7MESNEs9ux9Oc2EKufW9Sp3jOZViKzrbqBYEL/Yfmt3iTI8KfL6Jwv9t1dEr7
ltPXoKMOcK0I99yZrlpg7ybePnKDHldh0G7YjmA+1qIHIo3nVbOMrgUJlutSoMFQU3Al228LjQbI
D3cCwCpNvbLlnTalKj7zgS8UMZ2XrsQiFw1jv8oS/XYCa5sqtKPcdtETch/BeFNTy2r+pN149DZm
Rz3vphw9DU5CNsEf1MVvnSOAcbJHYgKL1GHt1Hk0S2HCw+D5d2FQVidXB1Pkm+I+RLW9HBlBAH3G
cIiygTCoKYNgGznmDuJZdfGxbqym2i+3Eg/2zhzyd13jFJJpvPKEBxDF/hgzllmW/cnG0YYGa7Dl
M+3P/5a7/7Fqy3QQz/95ubt6/6ze//aeff7t9t1/r/62eyfLIfyH6vfHv+WX6tcxv4hZkoUe3rEk
kikK2V90XA51rGGRVUdFTHCgcCk8/1796pTMtlKUZ7ZhU5b+VvzqX3SKacT+OhKwH+KvvyDj+oNc
n2GzLnEfqTm1lhei/2GgGEWNIG898dY9LuAoGrbSCjbM11bxYG1/ep/+yfTSoP7/WTHGfzvFtUGA
rOMYc4rvH36Xn2q0xqxt11y3G1BhD2Na7urY2WS5vZlU+ZrqNuCuZ2VC4ZnOfgq7NTBfkNIT8Tzc
DAmXOt/+f/Oq/iBx/OVVmWKWOfLyfnBpfi7+PbLDlExLb10E45qUlH0CUXrZC2djYACY8Hg6WrqU
kGjdOGNwj8HHY0PoMZi3m6Ulivt//YIwtf3j++QK4hhtFNUWscZ8X35+RSmzFE3pvreupzbYItve
+0TbPMCD8M5DgIe3sLXkXCRdS9SBnA7wi0i4n2yqbRLmZlDMm1Zl9j2nQ4LO1PVuLIv7x8k2LAhw
LmT9mzN8TehDOkTfMs9OkmVrDOIed9gIGVO0uMqktjZrhA/kzSGoYdc/rchVZDVjn/RSW+EO2xRW
tooSTBNYVokQOEjtoRf5w+Rx7+FWssoOR+44LxlXfUtsnS4OvkQaXebHWoodnikUeC/AJPbQr5dT
96FlN5KxwYJR76GgXBPWLlbXru2euzYGsTqCjSsGZ281V69vCfTALt3lW5OMqbQmbb7x71ExhE50
C+1/Sb7G0rXHdcrCyQ4a4uI9ZNzJLNZ7JIHkQDzvZiCXRgLBYezWbEgoGDcaRjqEIivBllBDIdRa
1akL5KY2vw94ahllYafoqdi7jQmDurafpasOOE+WTobbM7EXLbtNI+wg2SbLyM53FXlbflLz9vBr
FJFgZf+QVzboHDTPmrlrG5kupn5GcQ4k4jGdKz8C5yxIroXtvgghk/WzEENXh8LiyezctR7Bzwgf
4z7fadUt1vQNZqZ3EkTWlvVRDvlbXZMtgfwf+UuMbrcGxq/Gu7BiXm3A6HMhdTFJ8726vdWVXTwi
qXjznVQ7wamBad4Sp8Xk+kFMsAggp1L5NB7L5dTKv/pmCc6yKHjT0q6IWPpmyTfCV4J7Mfn5uzJD
6i7Tnh8ab77PvWDv9NajY7TiScai2wMaal/7LssXral8RuIOhlrQRP4VnCEAWuAaC5g0FLMihp2x
8EBFPHILsyyTtbNqKvyCi6yHeMSrkMO7XY3JLoOHTutRdv4pAJN5RF99tqta3ldT5zw0Ii03P57T
/86E/r20ma+/xVX1ry7J9D37cUniLv3D3fjrD/96N843oGBexGiA68GaF16/3o36F4YMP12bBL3+
djfyJwigOawJfHcVr+XvkyGuTSTAAL+4a2BxgDP5C5ejmuXtP2mcLZJRTdSQgDpYL7iInH9/EheV
VvZWZlhIqsLvrSNvncreFlJdIg+wIyumNWBrtuU0xOyM7otJvrIR37bqLeg5xgBR39AJXONWbovQ
3hiato6OU1Qdmh5hrYMS0utOQa9fS1Rs8OQ2xWRvo6miq1/mAQ9zUrCFW8rW3cieny2zI7EkO7yG
+1ia97Kyb1kYbvvSurc845Y1sZD+B5uczViotZuUj65WPE7IxTyKTyvIlzH4laT5mJLH0QcllAKd
GOTGsfqTU7i4NdOjUVi3mTVcC9Mixy27g5W2LsZxm6TQATloR+FdpjFxaUitSy3Zo/XROfUsDC7B
vFSwq93kYdiBv3nf+M7ORLKDwrB7ayp10d3qJbJ4y6CubolS3bOrIYmm+YrpaAXo/mhFyfqnb94/
KzvmD+kfPsTZboUZ0eBbwxfp5+t0TCtRB6h/1/ChVtj/FySIHP2+PNvjeHYqIjuDYA6DcAhZYwDB
J/OvX4D1x7pnrrF0R+osbx1LN+25BvtpvBiWysVfHhLiBliz4Gxy22oz6Ditu5GgYjqjs+WBL2+9
6Q4J6LUDK3ukKtT2qTTDhbP4NmJC30zUIEuaoXDjGF669vLpOCQkapGwuoTFqO11ev504s7Gk52u
thhC8eiwLCF5IVn3JjzvgS0HGQE2chvzphyAiIHlwetSi68jLmkYitN9q4fbqQ5Z8Arj2SzFDbO/
kxu1NxkAhUNeEkTy1w/S/2xy/qd/63+mA4STzuQ8+/Nj8vTNB3H4Pr7/4xE5/+D/H547tk4HAcNQ
YKP67Yh01ReKRFLCDcVR+cuf/P2IlF+o6zkHFYZQDJrqp/7B/qILrCEQDRiuGw7T/b9wRGIK+P3j
5fLdnmtnXcFR419m/aFaZRrQQNlz5K5SleXvRBnjhnPZ2FTMzsPgc4ih3DYSc+qegrd9tIyRqFTZ
G9G0AbRkPhGjC/GtkTJeFTIGJpGGGoB1u2+GcptqgflE0h7xIn2vAw/QcPERJMBx5hCLiqjasiK1
Y3Psxlt9dIHw6vBg9+jtUJDbfuDDv8BQVdt80Tmok2aJFl27KIOYJbd12hfitWFkR65aG2DbybNw
H/QJLHln6rdEgnQLKF8lLNy6q76WkHEwpDKGKsE1+f6RFEXVQGMwpqMdEFW0AnbMLq1N3K01gep1
WiJpSxGKnWeTDePbk4nIdWTcZiEOIN1tAMqXjPK+D0x14Zhwt70R96jPErWMxrRbAMTVcaKnxSJp
FZbmQDJFoeu4drnbE5aRD4WDVjl/MJRWUCgW4ZiuczpH/SgEENpDn/XdfdklMDf8jPHosQwblH6e
26EXHvoErZzKsFCsaqJOoQdozJyQ5rHM2/jGiGkt6SBC3U8G9LJz5bMevTcsnXkteFWv2sWRVnnI
KFxj2rd6g0/U63qF0T3yjG7dtni2GZ4EyUuXiNK+d9MKHbgxua7LNFYAXEdsDdPanOqu3Xiy7rYO
edufeg6vepkWqdpmVWtcbY/YgpWv+z4ynPq7QtbZaj3I/cwVx7wauY5NXdtptDAvAAaIOdS9u37g
tJcE40B4GVJ1MonASscyvDfCWN9IPUnJQPUitN623m8Ji6o/zbRzdoDPg3AbImo0SAPUiS1lRHqx
HfjpUI+YX67SsHEfE0Mbj70XTksgTPgY6iZ5bOKxXFHWAgNgtruNfTM/6A6DQK1W/loP3UNbjbOP
3JguHoyUDTk29gELLEPTSNsCgUEQ77bLOK/rx9GKMD5T9J413/A2fdz7KT5E6lyoaYB08zxwIP1i
/PW3BN8nR5vrD2ydWcGyS9JjVVrIMYE0hBe+re0Ny2C4LsSekLA5qjDaj37ck9vhtStQlWyaSZTb
+10fn5WLeavhsyVtMPfQ/YJaYTk09sOgLyatx89bzWCH1LkOYUiQ4giwGXjIulQ4LLDChp/Y7vt1
5TrFI/EFNRErbcT7Ho1bGYHQchSzfIRD7aloxm952+KNKkZBFsPgNbtYi6INifRa/ILBVz72OfqA
pRHEzlsxQv9BaCGt/Yz02JDn2bK+YkQpNQGBuivbjV5WJVJWp0cpT5BDSmr4JhkQn1nI7Hek3h50
rKqcMOlworxpXzy9ZtpZ+8mdr8zyUBdRdkCkrdDIlmhZ+s5rfikK/ts9/LvugUraFZbOLfLn9yIO
//emCWvma8HvrsbffviXu9HF7TgPwuY63XEpsyjgf2kfXP0LtkmlpKPj8ZknaL+1D9YXQ6fnmGde
ug2tgtfya/tgOF+4wJi6SQv4E+5K86/cjc7ciPyu9JSgVSzBVesKxWX8x0mO7kVdzP8GCuw8EBs8
kxVU1UgwCFZQZRcEa9fRuiKdCb820dVEtDmznN4axKAt8Mlby15Jccy4FJBVA4wklRN0KQP35DEO
e+1iz+21P+TdnUyz4KZKHd3fVPDxt9Ch1NoxORjrrA4+maVPATOAxA1WDVAICA9Q+CY/w37tJeC/
fSOzoFEJyXqQWvBeDnkK9HV69FtzBHizS0hidBeiA/XQhlV1E7jcRwNdk9igHiem0Bt8EKJOMgKS
ykRf3kKRZH/QJpP+6Nlh8mIOg/9I4nW2krqIPtgp+acxKdmyj1o3ffi5shGqWg6+MBQHvehJkDHi
OU9DEd5johrNIwMwLcDf7G6oa4ZgZHyvM413JxPDjY81bm2kgWAmXnHLsPrFexcWK5jIxscMnYNf
mbdIaEkRjcmTlPFHL4H+MSNJ1Kefa/6T4PicxVO42gG6acJY+aLLVg03xFqZJI3pZjgwKfXFIeID
QC0A5o5rr7uBgXwdw8yD8CoGeJlTTfpqEmWkiE1DmUE2mWJzZVK3nVrZR+9hZqXfdOGx5ay6kfjJ
MutYfulqxAakKNuZlTLoQDQpeB+6xh+WZMbDCtVMOMECeTzKoV4hq8+K16D26maZtgnROgR3kQiC
rxjHg5YHL1wFeMoIfQh2Zs3vMUYz64ji7l21jH3kCTPCAKlw7lWkswUKX3oS6O0nG8o+2JgiH1D+
a0Qhtc5oY0OQI+K/Fs6lY7oQUEFB1E+NZYo7OATW0ZNtfQmyIH/3dZMkANlkpbqhEzSZpLpD8bVM
7fG1VkFurJBMY7tSUVW8EXYMxGIyCGXbRlFWPRqUt3eWZWjeaip64gK5Eu/SoIR34mYBdlA1uNU9
5chwrS3I16y1dO1bW0Q2uzPDqF4sJ04/JJHZW3egCWS1pvpLnWVkGvtN6g4YANEk7Zj0shPqQOCj
eGBL3RNDsNWoPVGY9v1Vyb54sJt8Is0wm5/buMR7FmjAIwqJZlA3lL5CwT+US08X8YfPwzX/qEd7
Z1VJUu70sCZK1Oqku+/sUN4lbOcYMVrJoD/75ai/zLf/iPoin2bANR+gCzyCqeboElJklsR613rV
GwundH18ygFUT09+8xIxvfb+sDbwgZhpb34lWI9BrR5H1YftDEBzsVgOr0MXZauyDZj2aXV/YbNc
HAPXJDXXtsQhI92HXTyhW0vfCbm/wW4+T7WDHMGv4T8Jl/S1aGgwGukTijs8uPA/wSnCEDIhL7B4
3I1jgMp2nNZ5mRQ00BiH4ISgwyJbbTEJx7sqwbwya0zW2xK061IzaDkhJFdFuaSmKVfBlFnRwppC
3Vim/ZCSEc2GkVDToAy/RW0RPE1OENzo8f8j77yW5La2bPsreuqnBgPY8NERHdHps2xWlucLIsvB
uw2Pr78DRZYOi6J0JBVvtG5cPkk0yCy4vfZac46pxf6yrHXsm4ohujuFB0Vb0T2RDfq6kuw0PSIj
zFdqBdNuOPJoj6lZ7iCwp8MKfyDzOcLH4LIhYpzVtsmLhRq1OSvLeIDPkOX5tk6r6q6aRt00qJ/i
tI0YwUre022SWMeBG0/TyUaBDcjM4lqtRXQ6OmJkNhD07a3h+fJE94LgXmvtiJ2FmY7LRiAp4IYl
TXxO90GlnV6O9mOFam/j0/1Qy9CAfp21+RFLiRnPfchlTwaxhB2adRT5nLyuOw2bxq/JhCGinmod
LutcqRqHFFGCux1Ek6Vlb0j5DRxchj6xhbHqVs8DWbLMM/opxqBglTHadCNTWR55VpixoYIyPIMr
y7A5JW+yXguw8gHeKcp0I7RqnCNjhqoX87lP0nZimXSUGyDY/PSqUS24NcuXvhucI7VGuahV0McQ
H/e8nNyE7HeFx60awxDTV1eW96FdkbfDwNa5qAspbiin4cBhLBAnapCLa7hw5Z2dR84RmWg+RbFd
g/h1Cl8/L2onO7dQq12Xgz2NYpCXkgWBvUqn3aUhO6zC9nSwa/ywgJ79G/Z4Km5tdJAvaqlqzjHf
MNDR0+CVQA86OPc1dF660ImoTnluzXTjGYIevOxMkh9CW54QNhadka8hVsxryKfwkEnMe0WiaU2I
FQ7myZhoK6XMw5No8OzbIVK7WYIu5jyOXHXOlgcPaZeHO9pS2TwYNY0Oj5XPNZi1N42vxteFqxcL
DU8soXz6VY38fRcnAxqRONI3pZmqVwAAlWcR5dglhS9IHtJzfYsIgOE/wEXvKlV9sCx5eJXnqrLz
yDhdxChJCY8KoninREKb+0aBzJdIaZN5D5lTwTJUp1zmmtMWzAc7mgZaiUNtH5IdXRxwBnurntwo
zJF23JDfnne4fZFUgZYBxJh042NCugxxxWUk4QHnwXluJdVJWmCbxAQSfsYnep8W/rjuG7dfeyEG
WWKLScxrCP9g6xrvHSykazQK4waHTrYqkdxZOEMF0edd6SyGJsAELgAky1Ob8M/PSdCOQDo10TP/
SGLSXABXTfDkgpdLpTvGlhlUfVWODEUyRQaMpVS5rCd1RkqoRziLc4KO1MrQ1wYvoDli5vbKZGm5
wPyt+/Oqg9qAKxEtQa521WEEhXnqVMjnkHhUAVltXnDmq624VI2m2KFSi2AZ+aZ9gp4JrK8ZDOWc
CDFE/pUu1uSlOmfwwvz6OGP8AlBRDUjPjOzkAAXXw0Edx/va1twXWSa6zapMKUHXt0BGoZUoc/gd
qRRz6BlZsgt7I4tnJiAx1u+UzHNZ1SEGekiGt2I03SlUpdjFBfSmmYEalxyFStMPFlnGcBAiP7ix
jCqQq45epHLWm4jGDD8aF5UJ3HWts48EBBE2Q7d1PVQMaAcj65bwc3GNy6Td235Zrus41c47EZCA
BGe5Rhqs8HqwMttfW6Q+3UM2zC/k4CsEePtNeAS6sjy2gphndcThRKqfjkqd/TiBAiTfXFDAdsDL
3Da4C7Qaa07StUiogFvoV2rUl7fI/4udW4H26cmsPXMaC1coy5bRL8wS2vxMynBMQS/ZT7lhsIOs
AzGcKa2XHblFpq7lSO4loay1gjLDth6JVq61hSON4VBjBhjmNImUpTEU7UMkIC6tXB10YgfXaBM1
Y3fRxrXWfPkpSwOXQsFEE5SgfaUzNp91Y2fe8nCieCvDrNg5k6IyKNNrcrP2uDKhPyV+deKmASM/
3WOQFRstMTipCSMKXFm9yHTabTPPs9zbQkMLQt5i59PMNQQOZbby+g3ZROWJq+X53s1za4+poThl
85KcVP6Q3ClowqK5BdfoEXN8sEYMahJyatnmWe9YLWbzpO4/O+GgDkd5r7cD01StjY+CTGhM3Hx/
2NRMxR+9xEdkn6k4pDJk1QlZStC5Z0I67llW+miUWLmeFa2ynn3fk82yjeIRBeRIO39hpVxrTHZ6
KNYiJ3YPILAgkymJ7kZFGfeqm2LNgPPnsrYF7Y0GwWpvDyI5A7E57sZQrwl0mhZfEmmrGSceknvn
e/shGKqHPneqUxtI65WE8qyVJGHNiA6yDgFEXRjShhNgu/BccjWFhd4URqx+Dt27W6gdIbWzIByQ
9VTJZLpTMyMmz7CJJpBSSeRiVeZokJJGmHeqr5Xgy8u6AiYRShgNqlo8GkqJcz2XWABIWL0I0668
xfGEqr803U0C/+YGSsSAQ5hG3pYouqpeaR2QtnkKghG/ozEq2zgr1Y2wUTDEUocFag6TW5BNMoHR
sm5OwkBPi3VsObUzizVgMmwJIE3KTmyKXi3jGUkGNCfNgDp0aJHuBg1p9Qu9mKSsEapAbY71h0tH
lvNRmkYMXVuIUeSLeRrpvjRZNk2iTycYz/raVKto45hkOs8waYg9Dglj02lW9uDkY/p52mXXfIKe
JovG0JVLtZHNDuu3vEXIOmxjTU8pVVnw5wiLx3mhMQCP+1alxFBEflypQ3GSuz4KRRi6uTfPkzw6
pHkig42oQ/8cBd0UphejJuZ5iKKLxk1fJCQtnccF8zjq5J0yJeWQRdbkxMea5rEf9ARPsq9UsWtA
Oe5FNC4NZxQGw+LGinHPtBQkOLEh24Qm8bRknRmTytAqNlUNJ681s1BhaxrQBEpEmJobWVdcGsp4
NXWB4ZsdQzlWpAM5sr01z0KvIuqUDn81y8iJIK+qrr12Jsy6X41dHU0NYSuYMM1Av2dqbC1RvQbH
lUAZLDFxPqWOZuGO6NN6KiOJ+rWbQDrzxIrDrRtTl/V+nJ/68lVsTsQarjZbvU7NaU9BQz1B8cYq
PlcdTZ4bjaafpCRabCBIZJsWavY2a4agJDgk7W+YYAp1DT4x3yok7TBoc0LkFNaYnGYkwIitDhHG
v7UJkqcAtDt6un99gvP/oz2CKTi7ZiRdTGf4D4Fg5I/aWieHp0P8rqH1wwN8bW0xyWbCjQTIco1J
CsbY8lfVmKlrKsNvF8AqCMlfO1u6/UmFCIafCw4R85jJZ/G1s6VPFgzboRfGdJx3OkPKvzD1cSaM
2DedLdoeaNmYqb7OOr+ZZRpJDagmroNN0tnpiqYxDPWIVcudO0UKZVKnr3VsK5mzboCAsScw7SOm
EQFvZqumlC5GChSSI810YTO9vDEVj9gG1xluqOJcYsApPQvIJ2mczIgtcPcptIcLO1aNfm5HqQPO
2R559c8K31fkvCANEpSWigqzikrhP0CbUApKtdw4rYSpH9Gc6A6tN2QPRRCb1VIaUbEmU1qiuDEx
uKEfqrBzdYNlfaal7gOVyN1+WA9qDYRJJGQPb6tc8ZQJ2mGA/Cg0Aiuh+YUXDF5Mf860vmQ0gEKl
ceB9W3FDlCjSFOteDHG663ttUOZ9K2IKkWhMiCAk+mnSxwTqfRkRfAA1mPfd3EUjv++zEMelGent
Y0R69pEbpcaR1vj+3lQIzy6dUFwKM2puVU+aO2Zj6d5OmRwrteFuEAuM61btMwjylu2dtEgD4DqY
sEp8mBs0jBRnhWYMxTjbiODR7aCwbpSkwlmaCKuF5Rl343GhWPpL57X9JWCC8TnsUqZQqN3K+1HE
xrnbDMgegiry5DwFrn5tGxMAvmnSehfgmDsjaBYjh9sjZSC1emjXcRL6dMyYK1zbmqXclEwFqT46
Xnekc6DKdy14QMuQrKedYwXiIdK6ktrNKeeaIEQJAbJP5yeziBKiA5ray7Tw3ONIj+uTKAtwyJY6
uiY7KsNqa2C6lSyjWf05NWIFCIzRVM8+CYFXZpt3WKCNmuAIp1acOWmPOHDh1jDeyLMkWdSugba/
jCr3nHoBKj9VMD08020NBPdKkofwKmFhzxgi5cYyAp+ur0gIsZ+ziGV0ERDNSzJ0lBXjEhMKkmrF
Tcm/qE0aXGRVBHfq5IFkG9Sz8zZ7s2VnmxKcS9Mp7YA92U3Nii77Zh4CqeH8tYS7zCGVZv0ipG7Y
mxqaYs6+5d+l7ExewqggRIbkTOhdnlVvsMo22iPSQDWdBdLSWoj+HqnRfFadQ2tgSd4xiNNOGhdT
D3u+hEjTrqseYXP1S0WC2l6oYcr/V6JSTjQlxK7cNghajHwco10dtBYz154ol6gb0msI7MYTgNfw
nuXMc2aS3UNBLC7NJ6wx5ipSldigD5V12yKwA7J9I8tml6mgzV4gcEucuZpTZc9b129WxEkDSAjG
wXl2W2khdatcei12YhJ409f2BZTQattabUU1kDb9pZK41YMrzeo2IsPoDBzEuDIpwvJFGvT4fwvp
thdwk6rbTprmTJpdfjyOWgmLFOH4sicvDoVa67VLQh1IWadbSsuL1HTORTplGY9RW9wOaRUfZ1ps
BksrsuDvRQDkmVj7NLpIixohAWY4oxK1I30zMFtz1ka2tbSqvH10x4ROohZBF5nXw1ifJuzu9+zB
A2eVe3nhgd8Z+vUEgVoTK6JusX/RkBNcxntJyvYTMQ84oUStDqcMrZTTBqLeqQuSK8CMYNj7Li3C
y7adgkST1tK2ameNGwPnzz50uva88gVdO9FlCmaTJrubRobLdqSvW3keKXdkLIR0D/1xBTEuIbfD
LcIl2zq26yOx9J+zsMvPo0Say6r0J6Jr32+xr4xPDXYKZz4EtHGJSsnZx+BT4tqj0wwwDnR+cY/a
NyYLwRf4NXS4eHOyliS5E2p9zdXpJ6avr53TusQ9nWCqOFLMvqtmHXtul/jXKMe9oDBXUCudKaWX
RPkDHgPrqjbo2FGgN3jS0fFEnyG7FXf47wDclaWcmuONUZsrwxoFYNs4YgNa26Sg4O5Ri5sq0qJ4
LxxaXFwSnZcOYqRyoSvoU4+DaFC7BUNEbQRcUiv9zCqINdmIpNOJwFYJZTovykKeghlDBdll7hAv
AC+6Z7K0k4c+8IOXQJH5oqjU8MoXsmISnDC/n2FRcdZRSYjqnLwnewkwhcQ7P7PDjYG3BIh2DiPH
aMs+oMvqJUdN19LJMkn8JWUjr0mBiATOfIxJ/qJ1vH7XkTY2LhRcY+uWaLWtVjPIxS6bGHPQaWYP
3kyPTnSpKXTt81pHVaYH6xbcSdOPPviRKkdTW7XjyRCB923SNJuCswwVFYSVRjAi4oxOi37c9VBu
Z1HS8K9yvuFFkdvVrZ44HWFPVBxgpWsT2UOsQmzJO9KOfJCBRzw2Zn6bMhGntVtXG9ty1nWVADgZ
tOQ+cZg2oHylfoDKg3k7c5OjQJ+AQFok4fOHlWeqNC3HjPcQaQpS2+tOfyG03J2BKx+fElYDFmp6
PkmWMMAa834+pJ4zZ5Bf7zOvaV8MFp81rgr9SHetgy07iJF0SDdjpyNVqavqWu9NfUOYNmGGQYKT
sXaIMSpDFywKrEp312iaDoqva/opNaQ4IuggXVpD2KCh0pCo6iGzsEUXRv3JqJf1Sebn6sJtvfg0
MXmRT6BCeoBaD4FoDtJDwUBiaQTCBK2iratocCMwQmW8HUM0HGi9E7LhOv2ETJzoeHRD47gJGkS8
eHCrO/z4Lh2bzHm0Bg/GuZUZ5bmRJs4eg5ON3a7OcPEUHo3CXhFPMDAEgGQtuygjF58l2V3GMo19
Y6OadXGtZii9uobLn4M4uUuZrqezTsRjNQstX51pdmSfZbTrHzFoIgKUNDLRwdfFpORDXV2XNNvo
zz2SM1XsLCQ+p5mMyAHu4giDulmRlUiGKVRYJiAY2Au9puYS9ud01KNhTiR1f20ZpDzMGMT7z15Q
BugIFf2Efr+dzhNCYHBUFrXGAsp88b41Bntpg6m+VAwdcFCpev69Df2IcUvY9p8VCzI2OX4yhPsQ
IWCkQbwOnMIGumjpR27fxS98X7kjdmN4cMcGlPpYDESF9SQTszOSTn3lDl1azqKKCKgFDW9HzCxk
ghcOqS8rpl/dzYiJeGWXWXpwhUWpUVSoL2Z15XX1zJN1RgBEqftrLlV3ovl+zdsh9ORFKHU8gDkC
pykbO+FNxVitJhKbXWF4ZEdKk6+bWiKlKeQUA+i4jGdX5CtqZ1VRGLfC7vDZi0qNhxXmw1ajd+DQ
Hw9p0hyHvj2mAIP6ql4gvpG4GtG+6/NGlIjYvaGT910dymhB4jzTyHBMvNPQEpBKzdoKttwh7kg7
NKwPEL5Z1DrT0fZxa3P+KxKV8S+lUbMRjJRuDCMo90WZEF0l2Q/to8FwF63W0tESqn0cVqZzTuif
+hwCXCQmyawysWTdzXgBCnBIs9iR5iVb+5Ae9EBJMOtkFWQYx0bc/Rq5MsYOOVmL2gWv2MZORJ4v
4tgokAsBOUBXxFLRnoqwAlHHVfD9eU/iwNrSamefJKIoF6PbOeOM3HjjJUoV11xk6JeuXVMZ6Gsr
6pPjJE0DhG1kJY8lHRiK1QgfVtmUfcHANmKkWZHbDRfSfxF+Hu7rEaLD4BZauKLGpONoOOFytHN5
0ThZtZC25BWVQY5YDVRtEeN7bIGggBzeU03szCyr8g5uV4q9mlFiLKl6XWUuU9dMln1h9RMJh3wp
ECQjNRo8cXfkB5+NaINWipf1S2nrPCYG6zK93L7RlmWk5gedvAKxi1o/WYIpRcVUiH6XqwmNzazI
O9gdhcSrx10l5qgGgp1H9stWjx0gP2rKRHSwKkA+SStKwIb6ZAW1OaR/HYUG30mTenFTdLZTLUps
Ey95Eoo9U3iERwkNj0XilVjcI2XELtBzkWWv0E6UNalreuEzDaUChMOETdIHj7akW8i9WISxOTNV
vzgEiSKPY4LNKPCJdNsoNa3wwbC9YY150+5P0VwrVwRxchQC/YB02E7Mlow9p1gjgvKOcu7pxyFx
KZpH6DB7Vm5YazqsmmNgH9m2qFVMIwBy9LXKoGzeljhXmVn3S1+KcmmJgFSlLLLHrRExqMbY2izd
XCEhaaiaU760ccRUW72jDpgyBFxmnrhGFR6ahCSuzhuxk7QlHg/wios+ihtM+g1y4hRiegVhBJQV
rb/wgslpstQKWF4zk4TbYzUVlFNm7C3JynygTnXXKs/kMm/qaokJ0/9MXkD9MACCAvmBgWLhDyL+
7Fe5fUHoR9XP2B1ER10Os3ZUUkKVGd9e4bvf0VnU7pE9BBdmKHkuRW/TVLbM/sgp225jFIl/bFlF
zHm3Qsy1AEqQoYfmOo9VcVvKkakRCRPWVKGnxJeqKn04+0tr3Y+oZokKfDB5xWxCylKYSX1UnULi
BSHTYqdtZIulRyhEpC58fUy24LkootU0zK9yn4qXEs4i76E3Lo2RIRYmdmWXVww8OnqX9Osiq70q
lQLHJG9esbV8x1nafRtc8eiRzmAJJCyO1xS8Hn2SSKqmZX6bZGp6xkg6OGLsau0QR1rwjhwH17xu
qfGpqehkEtJlPQuxszgzL4vgYSWlPyxMNcU8rhKGQ7D0AKGniepLWtPhNR6educqvvnIs6vttEC6
zyWj9xWUHQ84rhgQDSidod3Cu6aq1+Joy/w1wpCqMsNQW3oZac37ipmtIArASUGeZE2waLI0RXxZ
wnmEEbUVhVUsyPztj5WEHza2OcjMUzJEGbWfA1NL9OZWstQFfFqZrIgI45gqSkNPwEisgwaCwtAU
ArkICKpVGUcQbXXRn+ZwXDRyHTtE7Ri1syst1RDVGW20yw3xYrMZZFUmE6la9AxyTgajt3EqGHLZ
xjGhEklvdDdEgGCc8scyd1ZAn+un2CB76j/ZnCeFR1DrRh/wBtWJ7PuFakVAJMchMM9HlpRmkbiR
Wv3f0c39P8RYwflC/cHYUhiTYcXEDvNHTcQf+09/+R8MqYvD77hufvgRXw04mFOFTQjNlNmk2nyN
X9uMkwEHOIuJO3USl3+LZlGRydF5xLhK1xMHJWL1r31GoX5SDZAcuHpQl3DIv4Rm0XQ6lt/0Gfni
rw4cbmrwqsKEfMmff9NvZLvURaAejaXXXTdDfupeaSt/Fehzqjyw3c5kLVmp1V6/xjzvkqWOfbsM
MbfdepDAQ/p2TmugiUk/U9GDPd0EBMI3ysp2yM6mqADOvw2ch6GnewPefNaEt033mVJoqdDDg25x
qaOY6sRwjqJlpStHeNUlsq6NZ1214sx/CuCQZ+YJad9Y0k5zCTLceqFZBWwLkYGC/81CwFanjH+1
M16PiwHRWBIM63QqBQmUA7APT0FZ8/jIFaARf6qMz3qIc0TcWVn3oLrZdVWrF+lE+6LUcxgDg9iq
bMDy2WOdnFtE4dAqims2TtUMcz3K6hKzJBwwsUMmcuknqJd0uVIHsVGM9Chm0sfY8ETvkQNTXp5X
jWR/4MtFg0NpiuNJmA/2RcSiqOfPJrmX86w07lUUylymZQvLjxkPfZBuZVTxaoCaI+FMRJaEAVad
6mG9qy39jObIY2xbOyQYEeqDAYCeJhAMD9e5Mq5ESsIP6v1ZRNt6FljsPhhX+2inwp2fkp1QuhWR
Cw5MaAyUUX/6zWOz+2IA+iVr0l0eZnUFlEjD1/3+3uK5I/ZatTXsZ8RhfHdvxa1aoZQDUtmP6bWs
lZys72rXt+aGN+mS4K1ykdjWUR1n66Q4N9N+bWrGMdKxZjGoegu9BYyJ57nbiYkZK+oqbIB2R4gI
Gk/f6W2OONm81A1TohekiNLD4zI7VhtjLYvsWBvwgxFIQ8eLnOsLMwk2zJ+WUnPPai4hiqUXQ5p7
M75XOM0eb/FQpisfIDvcLhJz6kXZTTL76sRxcav24HSksilGdSdNuWp1Yzeo7oll+Kc9c1G3T9dp
UF9FBbImzUIdfWRony06kKQ4HpUWhOucvpOS++XMJn145nJXMoBaFS1+JWg7JRBjj61a6jyk9bBJ
EhUUGIEFFDykBzfjydgDyHO8w1CYqxwWTsoBgexNWz9tOOJ1cSuEfxZlV0LKU8nQsdK6q6z/PEZm
f1yQgjmPmLTdl54O0QS/gBLpy6DQkItzi3SWgfnT3dDpfVJ7vmObDuf+APCbSs9cuNSDxyVigsIa
P//xbSIme9g7+9i0O7RxWSA9wWL7/cRjzFUHqWQGfSGPn32gKB6nz5Pa55J91tjKI82W+9KLz8am
PfcrSWO0PwvRZmhxVa7q0j6J4c4uoqrYokc4DwQJB2G9r1DPMlSMd1HQvhRm9m/ubkZE331v7JT0
MFVe4CwwkLe+c9tXbNKYjuAILm0JNVjoRx5an5GU5L5BRyMxKntIxdaMNReFb0G04yVVwgXH+d7T
WCkD2oG2Qhdflh2DXtvmngWMyT4RW0uEJ99KzoawveTFutaTfhdGzWXBTmvUp/hN8eSboCvAfXi6
Uy/IDmB/HDLVkRYBIb3j8GpsxQt4dMYRda2c0Ackm3hElpcU3T5o213nNMeF5YFstTJMvR7Vi+V+
Lu1Rm+lxe2VpyTmZUuOsMYsX5tnB0tSLK8QeL26gw5gPrRdLSS4rK7pL6f3JtkpWpvZS0BEKsN24
Gd/AL7cSDseIEhb9102XQi1EUzuz5UMXKNuBOK487ZaVhmGxm6ttMGf/cpsBvQScBC4MyKdZn6pK
uCM0K4IPKpjbuhuFZFmG6M1tJOvrUqWJkBl3Y1xe+2F/TjrduGinTYtCDEZUzktf3ZhAwsyg26j+
OMvq6NFTi8skqI8agWCNLqaMTIwdzs7P1G1edDuEDwsKwMtUE+xXUmvRqO7S1VyY/+bKD9QVl/5E
JVS0I9keQfAtbegNvcFlbSMpopecn9TeuKwGc4VOjxRftH3VXTReTkbROHQWQXPsFvE2yrxbXNSE
ULHJYTaB2DJL1048LoNpTy/1+gWW+LyvrV2jGgtUOfclnKYZqp1sI0RCnq1u0FCx7Po2Su2L3NdJ
osCImUmGMW7R7tgw46sy2pkiXoDVbD3FvTXomnpK/oSrcYUePptMiycZjyEbrnxXl/FGjAwXcrwl
nbWP/ejYEKBcRqQP5WiCcUF86yn1ws2bVUWgsedXGSvTXSQ6qCr9Jm2gGoBpQfVWp9dQXO/8yjzp
pX6T1KQsm9adOZZXfdrUS+7qbenZL6PQj70msJZdBaUm0XzCqqEUNUDWFriikqVpjCexz6pl5ecp
4X1rW6oHg+iFJTr2fa4Ph7jEMhM39R09VfJ70GvMIb/upFFft6Nz1ILQRKVN+z3exsK8sWzgLrXW
I4KNrtDe3DWiOVZBS6cAowgwIDAi0TdK1y96Vd2BclvEpneTIhxzZIw9zd1bDdHG8f3I9h7U9NxF
v1a14QUMtCVV+g2j0JcxRIfLGet797If9FtRQrSvx63Uyr1HlH3svLij+rlngueLfqU17mMEgyBM
yWn0TXPvuc8pm0bbXRoK6UBnhXZGDkzW7LEA7aSS4oVC3qlD+kJ0HznXaV/NCRuY52M9x8Q3a9Hi
iug5Dgf8qux/qjvbvepoJiN4Ayz7wqxwoYn7xr+0/XRtORKW6MWk9vYrIAqN4HZRTiMVSUg4TY5O
VC+Z2cOULDNsQjxC0l6ZRrqEYD/pRVkfzrXuEeABkkD9rsbPYA0817G4I2gm7TskIhfqpGfiXXlb
eiIGrW8u/PChqyZ22Quhu/O0cB96XU9Wbls9AAzahNLfxKH21JIOOGewxtYudxcDyDXGKd2CgS/Q
oBzSMR3WmYI8auH46U1IGMeyF4PxpEgyCRzFWTBFcVZdPh4jx78K/NJejJF25cbKfT4Mt3k8vsLS
Ro/45rZgZqxDW9vSYiQ6OHHIAbLYdLVd9pg349oZ7Q2zo2nYKOeqQzmFiobOKXBAqQJoRYWbRt2h
RsPdaHJrdR7k3BqlnmU/pG175HbBM6jgK8wFxbyMxCaKBlKMKkoTROrx0rPBUAnE+VFL/50hWKHR
Fx+Nk7zQX2KVroi29mvryDDIQ8rlKUYz3r7GaVCa2CrrNcJ2QSSEjlvFIM3c6EwioxgN47SQyrwy
3HoJRnqY/WcwstO1G8q0wnR3sZiweU5zFarpHaoWPGh5QABV5e31QDvi3JCn6EJsFwV+5ty2MaRk
gLtUxeFDyAN4rQ5+go3rA5bkr5/+w1Q64u2+4MKnP30tba/y30TX/am/9McH+pMxd5PI5Jt66tcv
9Rqy90fHSA5k8TVPZOgJ/RMYT802TUCe0y+2v0me+V//2HY+CQfWu65ruJn5RZ2Dc+ybc/R7Z+GP
f8DfJgD+9jh/9AN8Qzu1xGQhe2dnez3WXzgJmvHJ1lRDGAY15g9OgvVJs7CXmRPa4n/zJPDqyGpJ
fCL4/OydNW/aXf2ZU/DdEb65D1AomWhaDWBUX369vw/cV7KHoxoA8KdfX075P+k+UOnhAHj4c+fh
u+jIb86D8wkYLTRaC8bX9Ou758H+RNyigcrr6/PwJWPyH3QegJNZtHH+zM3wuydB0z6pmkWIztR1
ev82MNiywy/4511+3XS+XIvvXtB/4TUg3E+wHDR0fe9/auuTDu3NUElgef31z7vmwJ0/es1ZCBz2
qrYK1fEHLwDH/uTSqBS0I7+chC+f9w+68blhAfLxjv7ozW9/4jpPcI7vbn73Ew0IYuZNhkDTL/74
n7UUTknmH30GNPeTQW8NpIj75Tp/9/5jKVQdF2Dfl3MwkU3+7En4E/fKr6UT3qnk6bWyCp+r10f4
S8Xwb//CW9nx2wN8S0hnuXz3Fyfb/JdDfykspv//73evx9eS55s/fCuBXj/n6z//+gP+9qPffdbb
T/X2m5vwWR7kI3jDV0jm1695dkipzpgrBPAud/Lw9FwF71Z8aIlv/z99/G/SkH9dAP7w+FX1PgJ5
UhZ//LCk+Bzk22EmJL3uCiYb/zp9f+/bbg5yOGSHtwO9su6/vPY/fOQwPTwCA/rhmQYaRVXx0Y84
OmDQ/+U/DmnxX78cHyoMSO/OEMXlVFt/9FOODzJjaxK/P0lfSuQPH5v7NPnuwMYkjP/ogU8OcRUc
nrrn5+LtYK/XdhLRv/3G37/HTw9PwfDjZ+jL/umjX//8KeTrv33R6ZsLer4/4WLumqfmMXiWcnh3
cKLgtbff+PunZddk0eHh7Tiv35rshZ/wrfeH6IBA5/BugzINOX/CsS/DOA7fZbYzGJiK0Y9ew6tD
GiYwhZ+at2NNZ+RrLf3Rg1/XxJ/+6NXCbmsCdn30+LfPVf3L7DnzD8nbwV6//Zeq8KNHPz3wMueF
Vb9PGflabHz06GtCgeWh/vZ729yGQv8J68U6f/dUTsfFivX2UX//0WFV/nXWfxY+5g9c3W2VQKWu
3g4+nX86BkCnf8Jd/z+yyX5/eULIpb1OTz96KU7DMZfvywEOrdrCpaj86MH/OKfm9/Hgf6qM+bEq
4+1LT9fi9QdBSfH2e3//4k/c8elSvx3p69En2uBPOE2nhwwt8fvK4LWxMXnbPnoN/h3w8KNX4TkJ
wrdv+a/TMrVkPvrNf1dbw3Wduj4/YT2cs2I9hb9hXn05/k+4b/4MVeuDF+B1ncHj+P3d+ZXb9RNW
miOWgt89/k/Yj1w982j539f4/9rYf/Q++rMe0A9eiB+/j/6OSuwPv8iP9pu/9uZ/uwt967n/6J+9
32JPf+MxeT7I//4/AAAA//8=</cx:binary>
              </cx:geoCache>
            </cx:geography>
          </cx:layoutPr>
          <cx:valueColors>
            <cx:minColor>
              <a:srgbClr val="C59EE2"/>
            </cx:minColor>
            <cx:maxColor>
              <a:srgbClr val="7030A0"/>
            </cx:maxColor>
          </cx:valueColors>
        </cx:series>
      </cx:plotAreaRegion>
    </cx:plotArea>
  </cx:chart>
  <cx:spPr>
    <a:ln w="12700">
      <a:solidFill>
        <a:srgbClr val="7030A0">
          <a:alpha val="48000"/>
        </a:srgbClr>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38FE38A9-759D-4EA5-AD5B-17E17E84BFE4}">
          <cx:tx>
            <cx:txData>
              <cx:f>_xlchart.v5.6</cx:f>
              <cx:v>Count</cx:v>
            </cx:txData>
          </cx:tx>
          <cx:spPr>
            <a:solidFill>
              <a:schemeClr val="bg1"/>
            </a:solidFill>
            <a:ln>
              <a:solidFill>
                <a:schemeClr val="bg2">
                  <a:lumMod val="25000"/>
                </a:schemeClr>
              </a:solidFill>
            </a:ln>
          </cx:spPr>
          <cx:dataId val="0"/>
          <cx:layoutPr>
            <cx:geography cultureLanguage="en-US" cultureRegion="IN" attribution="Powered by Bing">
              <cx:geoCache provider="{E9337A44-BEBE-4D9F-B70C-5C5E7DAFC167}">
                <cx:binary>1H1Zc9y2tu5fcfn50iFmYNfOqbrsZlOSh3hKHOeFpdgyZxIECE6//q52hpKwJSsbJ/chfklFUi+C
a+FbEz6s/ven9V+f2ptr82Tt2t7+69P6/dNymvS/vvvOfipvumv7rKs+mcEOX6Znn4buu+HLl+rT
zXefzfVS9cV3OEb0u0/ltZlu1qf/82+QVtwML4ZP11M19G/cjdne3ljXTvYbv7v3V0+uP3dVf6zs
ZKpPE/r+6fGmLaunT276qZq295u++f7pnT95+uQ7X9B/PPRJC+ua3Gf4LJbPOCVExZzHX/+hp0/a
oS9+/7UQzxBiVEiG1Nd//I9Hv7ru4OOPrubrWq4/fzY31sK7fP3vnx+7s3D46YunTz4Nrp/O2ipA
cd8/vew/V9dPn1R2OPz2i8NwXvXlq6+v+d1dPf/Pv70fwIt7P7llCl9Lj/3qPyzx/Nr019N1A+v7
u6yB6DOBYoopxfdagz9DXCjEwGBf/5E/Hv2bNf7Siu63yK2PelZ5/n//UVZ5f91V7ZNX15/dH7r5
34MEoWcx4iiOpbyLDvmMxiLGMRN/POw3Q/y1Rdxviduf9UzxHrb9PwggH27s9CS56Yvr9g/1/O9t
gckzySgTMZG/YUDdMYkUz5TAFAsifkMQ++PRv1nmL67pftPc+bBnmw/JP8o2L68/l9v1k9fm+vON
Lf/Q0d9iHkYkEozJez2YfIalVJyQ3+OJ58H++rLut5D/ec9IL1//o4x0cW226/5vjC9YPUNKIkUB
FbejPH9GaIxpTH83mhfl/8I67jfHnx/07HDx9h9lh/c37TV4sb/TEkg8A11zppAXUtSzOFaSKkZ/
c2/w69+yi98jy19Zyv3GuPUWnjneZ/8oc7y8hkT72paT+RuhgdQzynAsCVP3Oi5IvWKpCP7dLMqL
K39xTfdb5s6HPdu8vPhH2ebHCazyV8PK35ic358W3c7L7/zFf1sl4WeEYUko/z3nuJt0CPWMQEiT
MSW/7R0vHfy9inl4Nfdvi98/dmfh/59Looct8mcReYSaJ/1afd6qmL7926+vBwWx99E7ZdOdt/zD
511+/v4pQpAj/FnTnkXccYh3dPvn399c2+n7p0o8owgJwhhYDgonDmZbICn9/imXEAihppUxwF3i
mKCnT/rBTOX3T4l4FgsBnpnHXBFwB/TpEzu486/4M8HBxkoKLCiCvYD/rPVfD+1WDP2fevj9/5/0
rns9VP1kv38KcvRvf3VeZoQRFRTypLMn0Z+u30IbAf4I/R+br/nQVIpflOio2A92vrr1/v+F3PPz
bslVuJq5bVeRTqxsy2Tft+1Difn6Wy39Wyn9X4gHq9wWX4uo2Za1F2lpRmPeLnyPi/fFug9fvr18
yDXuVQu+K191eyNdk/NUYWb3Nxp1Kk5KUjOUxDTucELJOOWnbz/sIRuA+W+/jAXb10vR83S1RJJE
xqQwybBx+cu35QPw732Z+K58ocZY12rjqUOavkRood27Ja5j/mKTU79mkdi5Sbpt1JAp/bn5/7p1
JOz02y+kZaxncX7g3CqxXg2ly92BWldW6bcfcBZ0z649V8K3HyCrfYknR1i6NFYsV3wjOT7oxuLy
BWvKGr9ErnHNYbRjv4kkbikaT3Ffzgbi27deEJ1Vd98Czqq+tb216GzD7MZSVxTzeJBYZoKgL7oh
49IkY7HMXeI2Eb0YlgI1qcPDIPskKiTuoO/0rSU8sGnkeefeWkFbbN3csgVUIDE7EDN8EWypHnm/
h4R7XmEApC5ym1i6bVb8HA/bkOSzq38IW7rnG1pZV9wSw9KGVNVNDH3OF31UNe4QJt7zDUO0MD2W
jKXtJOaf0DLSZM13EeZ5pOcZTLvUWuORpdMQ7Xsar9FsjlwPgwhcvucN8FogubU1eIOBuvqwcb7S
ZBwBSsdv6+cB38Y98HRqXljtCpF1rR3zt6LrRvcTGXcVX01RqcQbiC2EX377YQ/tJM/34HqL+sHq
KOuHTfDXtoJM+qdumqIvQfKF52qsjF28rExm+4C6dCtoZJK1aqx5xBrnHX8P0IWnLDU0tHV4y7Mh
knt3WgzSc9ouG6qOY1VSFfgYz58QOuRy0ZHIpsnh6aLnQx+ne4/aNdXVtKxhuBae0xiHeczJ2slM
42Z/35it/KEXXL3/ti0e0pXnNZZmlWiBHCfD0VqlrTWCvCjoNowfGiab9RFVPbCjxPnntxxfKQvd
SKFlZlq6XUbdHv+gCmTa5Nsv8ZB4clf8kFdbDMrhmRMjXpO4XulHvg86DRPvuQ83i0FIOP/I5hYs
MLVFl1IXCR24es95uIr0W7vVMqN2bsAGm1yjxMZbtQc+wMNzoyI2qhW0r1A39pcasX5JTS325XWQ
gs5Z8m3zCrwRi6KVZ8qW1U9CWvt6rYpxC1s/94AmNgPHT9BCzzShU3Ux7WRVSdl0SxwGMe5BbK22
kU/YiKyxhaaXtsOzTGpHzWOx+ex57vFI3EPZVtRF3C1g4jHftDnWBRHidRftM78qprxr0rXAW/9z
20nyi+uLpX/Ekz+U83APeO1a5GLYF3CFrWz1VRnZXEBm3yhI6+S01HRK+qne50NVct2dmnUvxJHT
hQzv5njiLlDBHkC3nEdCNlGedSJyR1ItIpOiJY/sD3RGyn3qxXf3H5untRrxqDIS72ZId5TPU8ry
fW8vtCJi+6Gw3fBFR3TpLugue/ZqJQT3L7GQsv5ZNpixR5bygCfiHpZlXzM9LBXNtMgtOfBd3eh1
XcYwP8o9JLeGcLSttchMpJesmBBtk4LI4nMQjpmHY4cMl3Vd0KzQq/zIILq9snHUhblRdgbHrSAw
kqKvo0iojLVQyRwckt2euMps9pFd9gDKzmdqtx9gq3FjeDUym7Ylx5eSGhP/umoEiCtxGQ9JXznd
JXjnuviku93iMLMwz3+QpW9hExmecZl3LtEjtl2yORoFenDm+Y+d7s3ouBGpGxlK+TYXx50P0THM
7J6T4LmK+3pc98y6Ysr2XtQJN7p+xAc9AAnmYR9ORctohVQ1q3HVHfCE6mO+DThwU3nQh6pnkKga
9gxD3ZjEJfrQF/SxRPKhpXtoRlz3dG2LPSvENr10Wx9DeB5LVAfuGw/OZe0mTcy2Z1HeqUs8r80x
J5JmQWalHpqJnpmeGpA+5ZgeFiJsYjtUha2demiWPd7lLMCs0YTLQ0PcnPBG0DA/Sj0o13Fk4iW3
ezaiqj1Z1ReHmdH99G3NnGFzT7ygHl77nJX7jqIlWyJ2A2VnM5/o1Og+mxbBA9/AgyyZxdzXTb5k
BID7Vk1DnSI6NGHlOPUgO/WQCi07X7KBMn4pFXPHeusD3Q31IIumrs3lXrussC19XrWdeKnXNnDp
HmIhUOdNg8iUjUOdo4Nh2B5EuTbl8dvGfQC01AMtywvbRDu0eXRfrVfNVEwvXJ63gaDyIAv90WhG
rp5OxhWLfUeWWLY/MCN5GbZviIfaBlXzWMx4hZTQ7YdGs4+b2vpHNv4DuiEeaFkdNVTKfE7HtkQJ
sQ4no1IucOkeaImuKc5rOYPmo48GQ37XqzUPMyvxMNvo3USR5b8vneIRJ2zmoUv30cpk7mSJ5lQt
0DTGZ+k2XDFnc9zKfJp41nlrQfpaq/LgZOMSznEdqHYPrSVlcgCKEUin+GasaHsqqiKws0U8tDbA
dpRVAcLV7rqsFcpA5cXXsNzgfIhyWzHrRETebs2csilfkhXNOEE6n8JCFPGw2pUa9wOJXdrPe58s
ZXXj6h2FaR17OLW7mfRQLi7tmpImnLKP0WxxoHAPp3HODNnKaErFGPdHu1bX1u02ULgH09GqtYZM
2KU1V2XC66pNnMEiULqHU0HqqKgiBUtXDr20cDzyOhdFG3ZEhT2cro7inoLkbEfAtU32XnJ2jKZI
2rA9gz2o4nFVndPFnG20600SEc0yveDpU1Bwwh5WUZVjM6wdRNbctleqtuhom3pLw6Tju3ByJtek
2JjLJkV+QTV+Yyl5EybaR6rd6m7boimryugVuMePGxaB7Tvs4VRVVSdQL6asXkp5dCV7PzT5EGZQ
5OG0b2xklHQui6qpOrS1eCHwGIdt9jMV57b/gmPhRdtVRmnfrp+rDX3ArHsepHDkoVRWSxFBvN4y
EGunZMe25MlmSRHmepGH07lgrmyomTIgLMQ/0wn8QGKrHYVlGsgDqhtbHLf54LJuMPtxWMWvZaXz
QLV7IM1lNYq5Mi5jm9kOXadh6c1jJ69nIfcUB2fywG2bqp7TSkfdlMFpv3opbYFetlGuP4SZ1YMo
nvBkgKkP27HMy4R0y89CVoEm9TC600HVedm4zLCZJEiuH9tRvg5bt4dRutB1qQjIjmr7nrrtJaP2
ZZDo2EPosOR5MZFiSuM8ig5Rnb+o9jiwPxB7CEVIa7FHOEp5rH7oNvFRmq0Ncy2xB9GohDzdDKCT
tuzfDMVwyrsyzJPHHjqpXjayQk89Hfb5wiz4OWVhETT2gKk3NvFBQ23Hu+KFHNasN3nYMWvswbJq
p7V0Dhatux/32R1q8VPYDvEg2ara6L0BI9Ky+dWs6o3ceZifij08unFu1m3hU7bZGr3ftwlntSP2
GLZwD5Gkz9e+rtSU2QioBLhvLlSufg6T7SGyaSvL4C5IlLIKstso5tdUkbDABpTFu04QNvY4tjGE
5LLia8IsjY5KiTkIOFR5oJR2FhNlc5SO/J0ZjhK62CE6ocpDZFmUIx3LbcqcBDLHQqxO0Mjfhwn3
MLnA+fu29blNUakvlhbO9kdST0E7Bdi7dxVunIubqAXhsmWvidOfKrqZQK14uAQy9xaPUtnUdOQ1
A9mrm0Nle9BESyUIWRG0jTGJXzhZ1FcjXXmgVjx0lpbOLeSzsFHYzpM9rn9seRmUYFHlYXNVji6N
AuSvZJvqQ0xzPhwxZEBVkGuhygOoXjqaw1nNlBVUX0fL/AEOH34M2oo+WWsmJDacgF6cK9hxdE2V
EIlFUB4BDSFvL5azgH70Cgtf19duiK/WeQxEqPQQWncipqIkNpMNedkC4TCVQuAwjfv8KlcY4Fy6
ecpi3b6hUXuoTRmUpFDp45NF/VaQzmYYM3xYOmQOiNZfwszpAXSDEwUru8kCwYB/LOx6VQn2Lky0
h8/VTHkjcWSyDbVL0g5iPPVdHcaMoD6xamBLr2ag72RwhLQf+314JYgNO/an0gOo09g2JVpMNgD9
pU2sM9HzaI63t2Ga8eC5RAS8InVg0Xn7bCGDW638NUi0T3CaIPCUmg82a3jxdtX6Mu66sH3oc5vm
XDa8bqnJ9nks03kp8DFq+09h6/bAWe00t2ZtbKZKfWjo9qqTj6WdZ5z8Z1VFfRbTEkE/eNbCZGU3
M5cYweuXI9drstTYbYew9XsgZU2/9s3ATNZW5Je2pB8i3bwPE+1BdAXGY8tFbgD/s72YrUEJmmnY
UR0VHkoLXLLKEAwLp+hDN0d9QiP9U9jK/Ri6jroxcWkzhiu6pDtxG0162ZZNWJAWHk5pWRTSyRa2
5Bq9qTr8vhrDanEqPIy2FRuhYAbR+abeTHH1Q0540DEU3Mu4G+RaueXdOG8mI3mHs0ji6Q0qliqI
6Ut9viYWc8zmCnZiHu9bspkxIzSQMEZ9PlS35tG02tJk/azjJJ7FaVyKsO4w3Hq4q5fJUOeoApWD
e3w+b/h5y9YwDPksKLUUravHwmQiL/pE7NtzZaqwczPqM50U7JJ4xY3J0DC/Jmh8YeIpcN0eOk0F
pxN8icbMcvmhQuZN24xBRRzlHjjzlXZNoWuTcdBMooCEnoxbJ8P8oc9Gmkg9RvWgRji3KceDwc0b
F6mwFNSnIsUx1Fk9i8esqEhXJws0KlIXRzxMMT4Vqa4VsNLqDXCjtu4gHedv2yrewyzqU5HmmvEc
uHZjtiuDD8jSVxBJw07P4ab5XQS5qJcDWwfYLoOicQO+dmtsmUg1N0E9HDjhv/sEoOfGqlh70H1R
LuLQQ/Msy3M6hp0jUJ9utDXOSdPlOpORbcbDvOjui1NiCSwaGb27ftThmC4q0pkpN3vsCl4noCF2
Cgp4PuFIiHWV8RzrzLUcH2IOvHIYBRDoH5mH2KkFBp4lvc4sFcWUoB0318229kUStnovmq6V4WZZ
QTdDWQ9JNXU/ri0Ki3nMD6d4WLpIONB7L/XFZmN7WtqhvAhauc83mslMNt0uOqtztn+Ih7y4gLkw
uglTjE84IuAnGd7ArKrPR3sSDm5bJiwf+Bj4AA+3cBjXDL2eQfPELpfGyB/LsQ3rzVOfciSaDgPH
2OhM0OldVdg3SzO9C9O7l/UW+baQti3GTPTql35YUFJS+hi39gzJe/J2n2g0QstcRq7TGTG1/EXA
ocKFa7o5cMt4kXWKo3XbCRsyQKpKOFBfkmiLRBqmGA+qZovgjL4F6WzeXMKQvmr6x1hMX1PQ+xTj
4XSsVqDXSTxkM2+KPIHT4hqcjajW5lB0qmguOr0t71xn20tiScSzqSxH9h6uuInxNfT/rHmnRMcv
GjiXHC7qpqc8EW0FzfhiHWW8JDutR/PjMuLIHeJt7JvroSyj8cAhscRHxKDXngrtVndsEXTJDhxO
qddLN0ayzrBYS3qZD/WyHVAM3YSfI2D2bidEaiuORKwgc2mraT8Voyot3LbDuzt1GK/70c4d6X9Z
BaX564nyqP7VIjaOmdyxmjOzwvse9bSztI5nJg+9wKg58E0U7qJAQ6FecNnDvbB43PE7LNWSzJib
S11Zs2fxoOR2Wrp2psfZ0IKls1gotLDbcqaHotXdAPmsUttBmoqIpBsqg54vfV6ry5agiWY7aHs5
MNLMl/seda9MP8f0SON53pM6N/n+rkX1IMKyEOo5zG6ljjeODBln5QBdnyjBBVFh/sZnehGab5BI
tjoreXeT0+ZdLqqwdfs8rxlOYtYWw7qZyzOr2qucobDmIPG8JJuBmYKgg5RhpdYkj1STqBYNgTrx
MhsTF4Q3cGiXFbiuk7UZv/DahCV9xPOTNVxvnXsRD5nbnH4FF7Sqi4FMXZgrI15OU/Iqdj3mNitM
Q19QyF+B+e+mj0GujHiO0nTFPM96HrJGFu4nI8cdmvm9nALV7nnKsa8muCaihkxBUzlhuH5R7kXY
5S/qk7xigDCjUg/ZNui8Ow7xUmfrGFeBVY5P80J9hfaIwI7kRcfWFNve7YmIWDMeg5TvU72mblzy
qJyGDA6qviyaXrHIht3ooFjeTYW1W8w8bmLIylgBj2yyYm0PRNX4S9jaPbjObNzJ7LDO2lHtMhHD
SOCMXWIcxsWg2EPsovsWxWsBCQJMOEycWOq0qqrABMHne2mx5PVeQAiHMxpzAEYZP+hoibMw5XiY
XWK4Ks2qfoCLrm17xcnMpoSPhofx+6nP9rJ1XwCRaQA33DtxVfYk/gVq2i2sFYw90Iq1G/fOQr4K
raz1Mqe5y0Q8icBN7+U3mLROVefoVFddcbDLWCRu6rowh+NTvpBBq1uhTs6irSc3JbDNb/bOdWHM
T+qTvhgmfV3Wjc4YF3N02ageHeJ8WdgjZ4cP3KujPvELrpvmOW9ln+0tIua9bqp5OOSix/q42CF6
DxfOXkWRausjZHGNOhQKitFTGTE2hFnf54fBPV0euxryz2UbS3mIuhoGUHRlr9uwMtoniPGY7FCz
nD1TPqH8eVcVcO9sG7cpDutO+RSxPXYGbrziPoNZb1WTrEu90KRu6ByYYCEP3tzunekxPGBzGGjL
u/sA7P1PQa7DZ4m1U7dNyu19pk1vD2tBvuwTC124h+xi3JG1jegyyG1PLW6uMLZhLYCvVyhvUdG7
KIqLBSaIZBOd7aGJKBw1LPvbMKV46fJUtqZAy9xnuTMydSUuko5VgaHS54ktAga+9mDRrDJr9GtX
L+STiSDcBK3dJ4rZmvYD7VGXQa71Ssz783YsHpnlct5v95SKPk+sWOGckZuhz+yKyyvUGpnA8Nol
LIj5VLGl4ZWcG9JlpJFDkdRSjlelcH0ZBlOfMEbVOhDex10mWF8fRiUvGoq2sDjgU8aM7osiV1Wf
KVouL6zp6EFM9fzm2zY9Z/b3Kd7LmtXSbPOCIL63Ox0h5Y9todI2RsOQcqjq+qAci/jcHZj+ked6
Mm22G/ErFOovO1F++PYb3L91yHmU1G0yKp1jOBqE61hwQ3DI62S0br5ZyBg2eoAoT0EV5Mp9mfdt
prTMobtj5WXHmQuCFIFhV3cWP+DarbuBxedFCTU+wjqBkRJh7oD4/B3Fd7ExC80OtExoO/YVHP4e
6r6v57BK16cGyo3nkpNiyGJHJp2AHeqzx4zVcAwxLo29FKuLKjvOqgKXw/A7N8VvC5QHqZ7GnieG
mSGTjA2sHZqm7FgZOKHZHeqDUAujpO8atgcfEzVA9kyRMPnbeYv0u75kYZfUYFjaXelt1SMXY9ue
Q6t8ozvCsqliMkjpxKcIamgaxXl33vIlNJuGUb6JaFEFKsYrhtw29ZvbqhaIHzCZ6wB3SsePe6uG
OVC+Z1Y5L7mGzLbNUMm3oyzi+PUA9/nehuxHOBO5q/iNV9DhWsboWKBiHa7qGMWvMNbMPQKor52W
//THxCeWwRx5vHLuwJtxx7ofRoR6d1E182hOUIg5fIJZetweR9auw4tog6rghRb12H3EiNCT43i/
FDTaWKL23MF0hS1qmh+6nq340I3jVh32osz3X4d8q9yp1xBzD47V6yfSUfp81vV0tVXlfCK5W0AE
zMAok7ir6P6+RHC/5U1znlPxvq+ktkco2OgOvzXLoYyB+fmq1mW0H+GvbfWS4HyYgxJJ4hPigNc4
4vOF5LTIUf1qVo16gStchAVY4lPihqhhA3RHmwyv8Q3H4xuFitdh2+UcdW+lklBrbl3ElyYjO/Bs
W0wv8WAfG6RxRsx9W8ULfM5FXbHbtclGDbM6Lo3d2+WoNmA9HBeoEIpLrnhbfgx7Ey8MolExTmfW
ZJGOeEqbpT3tui1+DJOO7+qp3HIHNSJpsnmg5THK9w9TjR/T01nZ9+nJiyEoLirXGNdkvHXVO2BV
0x9kWazXa42iRzqbDz3CczpxrkSB9dikdiUNP5bTaMYqmQ002y+rBW60PVJUP2BynzUH9ITCzbwt
UvhuiaY5ObYiYIdFbVp1u8QHYHSHdZWIT6IrSuid5KYFpfU4AqIb/wCOKDCnEl7HLYKBI9AI6JsM
wXHcRJbTRNAjDvoBS/gkOkGAy7nDHdxjU4xiulStZadBKjj358XcxkHsAiLOT7+FawayeVWJCMZ0
wCBBuOte/KxGEXa1lfijwOymxqraTJ0JwaYTcK5lkpcorFghPpFurqAVSRwqs4pKetLz1h2lqoLq
OCI8IMdco7YVbX5Ec3UV5yShAw/UuQfjjcStHSYQve80zdV46iocVB/CtxrcNecGg9Aqq5r82FT4
uWDR85GHdfGIz6EDWuF5EG6VH3W9jFe1tVMWMfIuyG36FLqciXLeSASbHRU21drQZFMtPYVJ91Aa
q8bkLI6qTFRWPwfW64ex2MKGwxKfQ1dwUUQzdlXWbrg9OTX1F/HYhlFRiU+ji7YVzlM6U2VVXY9H
XcoXkTA2DdOLF3fXOh6dJYM6Th2t1hPGy4/aNE1YUxFmXt/djOWgprGlvTr28/iqaYesNkNYEPep
dFu5rkVXQCLVTq5KetfHh71lj3je8+vfE2Z9Jt0M7PwdbvgBiOw8JMAaO2gOE4XDdO4hdIchPXae
dAW3lrrt0Bd6GJPc9CqMkAYDqe8qXXUb3LlomIKLVsOOE9nm5vmwNlXYPUjis+kc7/NejEQdu2WH
M9s3wAJ4RDNfW7X36N3n0lG+IxhOVZQZ2iIyP4+rjsEFowJmeb6HSUlDVjG1k0SMc8dSDt215TBO
DZthQqbm22l0Kh7TXaMCX3eC4TnLJalEUAeenL8S43acbNVEdiKZTSuxmhPLJ5gpHDVh52rEJ96Q
BZO9bSabkqUrgWUxvYcrlesjen1gO/sEwjUaEYwMmc6VnpmKy4rE0qWlbWx/DNrSPoOwr6qJS1SK
42pKDr51q11/KBlHJKxs8imEZmrcPufapW4oddpJuhy1okFNcuIzCCHbZESTzqXoPLJsYSNcMqci
iBoO3wpwd9toMVObTyB8djB2urV0TIYWh9ETCfMSCVo6uMjvepfiGukDaVCdQH/v1zCreo5qaCR8
JQnJp3TGZZfIKIK7ZyuNw0Kyzx8sgCYb04hM6QCkoGRoTPGqFWT6KWjtPn2QLloTxMcpjRQc2NBm
L9JqY2GK8ceVVWZBA5whTymM18Sv+25tfuXxLsIyOJ87uLNyGSc327TveXuAodswzIbmYQNbiD/s
yy0jjMwSm003gfakiRtzEE1grkK9zc4axyMywtL3Dsa1LNP2JTZl2F1C4k/6inbdjXlLXFrA7Zmj
WsryAE4t7PAevt7oLk53uAaRVzMkVkLjX21H3nUlDrteDV/Gd1d22UHvcdDUpVVs4mTVOE/zHGh0
397qD5SJPvurRc2Im4HIE89bNr8uXVd1p43j1pyo0RAFv/2YB4KIzwTLZ5JTVMNLwBefRMcZs+LQ
ry6MCUb8eV+6zMU0cZBeFH11lEADO6hh+xy2dC90NzVgCviMJtWr3g5VN9ZH2+Vh0cNngilN46lj
zKRz4+ZTV0qcwADjPSx8+EywrYNyYzeLSadyb0/INj/uqGaBJvXgupcd3Qfo9aRaluLQtWt9AEpq
GO0fTvXv7vpebGISMtdp1EXmUO+6T4jewiY3wQ3ou9JzSluDaq7TahrLw8669iBhcn1YQuNzwBza
oOVsCnmq635/v8d6/amO+8dGyT8AJZ8FlpNlQQ7IyikzCO6jnKO2xuixHuFD0r1aF77hBtrVm1In
GkHrfI4+DW3/PghIPvurQRjl8P0Z4gRzvvI2mXdgJ07lan8OE+/hFLUDGfbYqBPTXQ8E3Hrl5QuO
2l6GYdUf96WtdJAKa3VSFiW1wlf/j7Nv65ITR7P9K7PqeegBhG6zpvoBiMiIvDvTTl9eWLYzi6tA
SAIhfv3ZUdPnTJdPV/csr+4Xl52RBCDp+/a3L0P8k+XMj+QvGHHNLqT4aJXh+LvwIcafIySSH5lf
yGdoq4bP8rhfrI96n2RF1gif/9xN/2GZdvHQuD1MWQkXrtNo9GPMfs5NkPxI+4opSEVEqaxkoD90
Y3Sbje27n7rq/4/yBRuhxpAxK1O2qOQq0wN0141Xy4ef+/wfppKjTuZuWCZ+zKZkg4V6ZrPri1Tv
X/kJXhbjP+h0f+RztVGvM+ErdlQ6sidXrau6tzyu6wN0qrw612r3zZ3bq/9Fc/17v/ePfukFiv87
qJeHtBrXbh7Q+21+3IpkaIdUH/oeq244NtXWD/k8KcTV5COZcbZvXTAjP0+DZo06orHuepUPe7+G
c1OFqPpKiAftboxBae1z0oXd+xxFjp5ve5YIfbfayifsvEUZn/vc7EMdtXlMZEvq3DiuUQhNDI8u
p3Ke6q/aNGpJ8qznrTqTvYfdcxnQ0PO6DPPqTdEH0m3PsJDza5vTHhE/sPkO7WbHPJFLxLJcBljD
96dE9wzW9wqYpVM5dAXDggu0fBo/6FShG+h4J35TWuE/m2XO1pKB7kvyBXeoL9bVp+3VHpYNqUt9
TOz4dQJoy5d8M0mc+JwKVjefxzbr5XdVLwj6gZBzn4zK4fbVhU8Xkt5J7yps+QjTKFt439qkLzmE
k9Vhx8gmPURptdmiEnjTZLEyH6gq03Wn8U0iViaPLV12BV3YPIUTUgLGgjO9srsuXlpRxi3xpGg4
m1GFCSVKoWCAm29zzeYR/M1uaurSSTTNvABCstUTrmweDc9Fyjh0I2t7VWUcZSP2EqaWazytqWlz
I1DZ5TKJBlUuaky/zE6x0od949+Xdg/kqM1E+/vdpIK9NHPK+T1xFSG3e9WIpS6HHRqV7Cj9ksAR
YWd8Ge6g0BB4XrptNS6ujndZL8cYrsaoxlQ87f0pMLL5b7NQ7VQX0wow+MyhQJLvk41vNhTDmCFJ
rBbRxQZyWIbRR1Cx7CBtwUGHL+tyCHiW03ROKYC09Mz6UTR5z3p5ZH0zFhPbvDKAJEJk10tludqb
eLH9wRvsUfdsqpfu/bal9SjwOkzpcuwItVsx1U2WwiW2CUOJvqYRn4Uj43Qjtx0gUEPjZTO51w5g
fi4F5SkqKOcIIYVEKHf3LumFYUcYrPTbzZj6BKh27OCttmPM7NYa2q04WObA5GQwWYuH5Vs6RNDM
mJVn+plTlYiyqSztvqH3EQMWjcqmtbQdnex9v8Q1ew961qyOXeCQCckpnuj1TqO0v00a3++v7ThM
CxQzJpqy+xmLtjmMugnpWaukmz82kRJxiu2trxnNucqkvo+d65NvWVdVIuRVLVV95f260uvYtNn0
qfMs0AKe9zHU6LVHcC+snSkbvlfO132d93MvvlHCZv0R6vK9KTBdwtkFnccU7sDqswI/PEXZ96kz
635WqQ7hfb/HSVLoBivpe5fhNT/VfbrfOxnXxzidRfcgzMLZIRatbp7mvtn2Rw+BRxphEg3fAFFe
nIjZ2Xo3jr/1mNw0Nx2bSbiapm6oruZUJuZmmZEFXXQZydLPgiG68zXxfXUPCXl0jTHS/h3SFpV3
ntZlDYOgqNzaXfhrZEis+wnmQeTTINtMlnqA0vEdD80w3id11SZnP7VLOERz020nGUzMrjjb+vhj
zKq+empmWetCBxfBE7GLpYWIRjEE+a27pebOxruLz0QzPXxAcEc1PSxU8uYYN/3ES7d1K/ZOT4Vp
juBPJ+Zuliv7PsATYCwq4G7+odlig62kmTZ/YHRypi5jTKvWm76DwfGxqhcNeU3E1/p9I6zMzkpr
zXJXRYZ9axrZ6aIebe+6XIxJFSN7KCPb2Q7KutL5NI5KZ8c0ycdh9/ozcRJXUNK4TmBnuOEq2qi2
Ju+2yI6H8WLJk8PQbu/vZw9h2oFq47+kcfAM8Wo1oiILREGwO5RL9VuFJcyLbmhSVTDl6fQxzMhn
hMGRUrA8y0m/7+3ZO6hk3wfk05kqb2bHN+z3u/bTlHcOx7TPgXiv9rtfVkJfEMFhcCD0cKuRTwM+
5fIgtVvMASGOmHQeRp8qmkP7OdKrQSayP6xrTYaQ14kT+43fbA3UYkOylDzFVUCNCCVb05wtUtai
fDdtGz0z2pu0bDK2RKWN10SWPOx792LinXSn1e1eXi1qiqpy9mkVbgnCux7jxHbtM1DkNPR5OwxO
HuEaX7tr2aODuQ/AlcQx61ucd66q6Ayed9Zst6qOu76YdpO4ItOGR9AtGFu1Huq53SZPLu4VxBhj
5txju8U8PU0YGXf3E5zu2jlfQ4YAHfiK57M3MjknRFr3QO0cjV/TdhPDLRuIxTs2NmpoXskgdrwJ
CpZt9jDVol2P+GZbd6Cqz+wH1q9NdW3rtiNniGjZcLeYFJlbB2xHAysRlUSqtx1WyfA0t01HT3Zq
6xrcZiiw8I4I+ChdN50L+qQ7RcAZTsEhjg9WI/UwX10Y02f8TvGyJo3bvgwwjYcmXabNlBUz7Bfr
IsL+VBVbpbfnLmWOnITU0LrQcQRZVa1GREXQi0OknJn8BgHJypMCAwXRPOJyKX3YfKjbUzSmGSZH
bdVHy3ul9mm8BnW32VEVjfv2HaeGHXt4pMZx8u4yqSFxQZqZ73d7LDNlsRPvoTqLDo8eRrMMgWO3
Hhvy/ID0C2vOsWukO22OSXo5ubcGngA1bqO1uZNY5TH86up9qYu59SG8I3IbZI4gM8GOPFPY3/Ke
+M48xC4R89fdWJ11+eDWjZ4DYmW3+wxvf/OpsxsiaPAlyVQ99IDD/JPocROv97QzWzmShboTzv9I
17i5qVoPfufc1yie3LTjYZp6Pa6+j9QHngSnHlfcs/V67sAffOjWtmmLrGsm+2nTPKWfVcqDUDkc
wuJR406RoX4d4ZkaP8K1PpNfJziv9F/mYe5T9FcwRCSF6tKOnxR3NqB+a2LBpnyOloCjcNhwfKDa
g2Usi+jKSwuThimANsqjb3CVD1kR41Dvzvsy9+/5gvf70Md+YEW77Zi/KD5mH2kKXkRBgqi6Ar1o
xpGIOPHlKh04ZWtOtljN97qZG0iOE9h3HrXshumOKO2jIWdQYH3tptltR5q02fqQjLGB/y7mrPJ9
JkbfHNcBSTmPc9qQT8Ii5aW0WQUoQLSRY/dh1BU/xqbz6QPmT2R8Gnpu95ukG+cJG2aGtQFaPIhq
4qqHiaq5q9Qg9VaILKsfA5gvUbGxVq1PdvczBNHQvaa+gI1h1RdcJq1+6C0wprxR9TAfSICudjhC
opYcREXGsTRxleJJtM2Q3GWLviS5MnspfgTYvk1dSLHStFTLHCdL3u9b+NiJAa5J+a6gWnyvIW4j
L7Vl060ZF1RcRVN3UZF0cIULBXb3NeeeEfcxXWB7cKqZ1zjv+RajTCcQ8GqXB5JF7tziEuJ3yzQ6
XqSUzWUfmmW86jcs9c80Nn49prwfEiSTGFieJVlLREkG8EhzS5L9KHEYeZcbWnX2fgF1So6FYooP
t72twoMIlwDU3ezkxgrRxweBBJsNxyhKjtLsGbZ9P6xRfe7ZSN37ZaiS9Wk0S1Jg0DCnX8JQ+bWo
fJOdUK4hNbOHimbC1C03W9ecGqdhrJFBV43DlhT77qTOJ4QhsdKZOD3VqAc+esXJTQ0rJZUz2c22
aJKU1fBs1Wk+TVnHroWvw2sG9U93l2LpqKu9s7u8m6PUPMYeFq9ogYi7rZlId9ROSWYe10iDSe42
XjDIyO8wFIFYG+GlBG7kkCHfBSPSD5OP6kOfdqzPldrczdoP8qH2cNAve7zGBd0WX6RN1Z6yLJO3
C6vDdZ1sw5dQr92zJIMp2pi9G6hRH2gnR5nXsbagnSxD38/5FrfS27xGtRuOAelx4cTWtH5hyaav
XReELPE6s0Lty74dR9PR6wD6YvbBR4I/14MHa6FM3cijU6X46oe8wpsrIJMPTfzauiq4D5QyFvK1
VZsAlTNZfSjbix/AeQjbDtsUYZKgkaw7zzZFH9OSqStrtibR9ZpkUGNDVurja9Mklby30WbdcYXO
P37Z2ZCyQoZsdTdLpmn9BZWrmg/UpVF60q1us9tuWweEvdbjOuQ+0Ua8kGXQ8cNMFqIPsGkIIywJ
LGvOU7TK4XPUIEu4K2hoaVvGtmtcvtAWpah0C28LM6BG8XlFIkKGPNCwtN83Qcl8u27Tun9DKJVH
OdQ4QfF2D1hbVOcdBEPdAS46VXplxNB277YEvf9hGjOijo5j3ynR0dT8PF/od4eZq5Q8QFTT0Rvw
Z0lSJnKj8pxANrX91kIfoB4W64SOiyDrtbm2syUxy2EoIjBj3Lt0CO/QGvMUXTAom/uNtYPFvtCM
3Cd3WmFJPvdoVv3nnvbynE2YMxGrPP+cWNJHXxSmlGiTt4kiBBEgdFPg7UCxlFfLit3dmmUrV1Ub
8ZFB0+9ehMfe/snaWaZdSfkc4byqRhqtz8zv3VbnUZpykjtXGVXIigzpvd3FFn7LIPcfXk0LNdtB
dEgSfApDs0kYDtDJPCLjmfbbYVzh7nol2yidHhlWGXbEmJhZYHtqNg6wsBkhaz51JG78ifRNH6sy
2w1KgHxgjNWwgZ/Qf6Di6+YirPpSiyDGxfl3nTOm9leyr3vzMthoWo9TFzl5tlYuFE9sl96Uczps
65deUmiRWNNL+8X5fl6Puo5VVMh+SW7aua5YMWOa7G5D12U1HglvIQa0QNkLo9cZRenMYCfzsuxw
yYVAeq5upzqdr3y1iaeZpMGhOqD7rh/CMAy5QVxnDlFYvRDki4luOgYvaChqJJwu551YNGiNXHhu
nZ8inbvFefuOJ543v62INhGHvY/jpmT+cq7mtUXGxKlCmX3bwpoLbx1JFLmuOkSm3ug6TB+lwE0o
iXNZMuRxC97Aix32LkKVGuLoatvxXl+hDkj4tcMR0H31nrRXaAES+XmCxTlvCirruH3SK20aWEIn
irVLjpeMkkJgVw3o5iII53beJO296Hy8FwYL/kOfUHUYqpaNWGrVcj3FQDDugFcQ+ijGjfXXfjXy
G5CYTyg9XMoQqcJAAZ+QEZM+jWldfYGfRdeWtcKm2Hamv3MuRmW2w2DEnwcumkLvAYEj4P/Hp5Yb
MtzNjtjhzlSLvVm0nrqvCIh2b9HcW1tuS4THmG38pV+yy3CnFzjbt8y/MNQSrqz3GbU6eE1uywfP
1RFiZcnyTvsatQFGlSvC7sQGvBY7oQW+47p7DzkCEhjFBemB8Nu89CjG8pSCgX4GlC7tLZnFHD0S
DhIfSEF8rNfzyuraDXgoS4gtFN1V1x62mIiOHzrB2nf1jGz4QwKZw/zbtqb9WkQNkKsv8GpAQK2h
wmaHsUlDilezTZ9Ni37kKoydzdMOG6jO18Ugxa5Ol+a7oMqmL8QvzVoEZRN0Ozwb1i3vVjFEn9s2
qb6JS2lyEhtU5h8C02+uH1yGclfOCYpZlfXLSSITRBSSGfU2USzZXCCyo0AsSJwdBpmJ38G/nuy4
CUEc4G9ZZWhlEKp+3FLu+SddRxL641ZWQAYjqeCMZDUsCkoUJcpfUzZN34dhIwn2uazpxhc4tcmu
SE3jyalzWXhF61zvN2ZIqzfVDLukyP8Oa3qrGp/NH6IqZvQtQWQGfUVr2QAZ6Wp6KyfTY++Im1Ck
dTL7RyMrriE1wmwpq1kdP7YRY0CzUXrEN9TDUPQoV8PScnN7TA4rW+2aD2rZnuGJnGQftZHruyjK
7EdR8eQDCBRuv5oqqEVO0YTGeBvUth5YJmDou3er/oh73t+MSQ9aG+sQwA2Pk2w6T42Uc0H1qHyu
o6r/BKXuls8UKh+tM89uzKajR878dsfk3ojjVMF64TDQsF3NiJW4SvQQnzPEJGPPG4l9aWRNw4Ou
J6iH1xV+Pzmdl8o9+wUWr19gIILmzAafNZ8ADROeszXgPqS+67AtSJKQCRUHh/5YxO5DszEUiQRQ
Ql2jyuhoBHtYvkelAQ2eHqiogZt4xKsjp4Sbvb1KdaxfYL/e9U+pmCAC35DA8NTiQnLSroleCmzb
wfncABsjD7pveFYQjcv5ME2Vn47dXHVNkWZc+28Xrut5GgelbjbO9wG/o4/sU59kfnggNfco2EJL
jkLoaDqBQsn9O0DR4wHbxDgeDaWdLdNmHRLQ5RAMe5h8jE0E/hjXeBaAIypNJ41224O0vIbgnmzU
dGsx0iUZrqNoVfsV7Mf214giNikfEA15U+/ThuVTCdyO3seHXmZLMc/OX5MpQcHZtONN0A19Ant5
hkIA/o7AOWDUQDJefYp20MmPAgqZ8AE407biILJx8uqEqVOODJx+Bzxgh0WP5xETivZLs89WFXhS
ELyLvkFljh1zWFXRzJWGfznMi+QdLNIEL6RnejlvUzaLK45YbkSjVisTbR5R2B4evSSXRRh1a10j
XXFGx4TNpy+73Up/dhBlyDydNjdgGWPe9bbg7KzO2ri4Llc4asdgYqo0S16mDBVauXppmoJnK4PW
x7HQv7QMNjVlDL/59tMAQCPL1bg0zYd427F71FHEkmvGE0ULJdMhLSegYWsxjSugrRwiqK0uO6jQ
4odMz0a8QyBIu+YBLtD6sISKTnlI9wwVjNSJ+x4ZpCrkFFIP+Q5ZNiu/aoL2/DvDl/IfLQpUdktt
MvAiG3ifPg61j2GarNEUNK1V6ilAwN8f087GKuQUYvsVAGYz7jUadQfIAS/1hqIQsenVjKxraau7
Zorb/Zxk8TbeSQ2cNmeaePil68a8xZS0zX26VyPIPVXcj6dFrFH6CIEdZ1hThuwe858x6CPyG705
gi6mVYGpCl2+jV7ZCAGJuxPnaACc8ike1OUJMTQ+ZWKk7qBaRAOm7hfgh30BfYWzSw4vliS9iVlK
0VxSF42nFjyL9ZtPg7RlxVjlrjz2a18aqnV/GAgRc5kikcb1+WxUaI7oBgd5U2WwXwP5crjEgyEt
bSq7ppXbdeViLgroRGpJSzgxxFhQbaUwz8YodKqv2bqRHTWL09kJIMGEaf2M2i4HDpv0OZSFe1fO
eA2GY7YtyfzGW9oPEXqHJHMEebcwMflN92qAnqvHhMzhMFWoE7MiGoy8YqlOw3buE0HECzyjlbv1
aO03jS/eZl2GGmQj0wPl7bB9jPBtZJQ3iSPTcry4WaMhXcW+ZvfLpYO+qaKp31B8gS8Lg6lQ1fVD
UIlFs2IWwrDAsx6YFS8wa6HoVmOr5Pi9DeiuQZALXMVvxq3RjGKAUzRMk4PcdkVazWSurZwW8UCx
edQoFUW3v/YNphFfus5P/TGrszHyuLuajMhiZqZ9l6Hcx1pOJc/oUaM0mt8anVEvcpdIuDV7ni3i
fQJ8rkX8C/B/902abOlfdLRM0eNUY+Dzbr00qnAsCGJIC77O8DWGbE6b4dwozL3wkmSaHA1H48MO
yFFc5hsoAGvqix0zpAmdbmt4y8uYMiduvMYk6RbVtWC3KIsy+zwOXW+ueU38dI4WZKV/IXFcxQW7
1GzHZVLRkg889dHtFMOd6l202KXFHgcb+kKiMh4PYVHC3LfWQeiiaMzX9/sAXmAhYoshT0uGERYz
po7cd8Gsrt4Tb7H5j8g36Nb9OtoR342SFb6Gw9nrmgTUU4i4LhK+ueUUplGSkwHK7q+Gnu3xC1BF
Sq/bHpPAQscKBIADhKexESXezR3Y1gVRi46zSdOlIEx1UY41d8e0DRlmjRT2GMc4AbV6PrZRgnkP
GzHiCfmAiDWRh3nTtDQNp9nJbYvcTzrboniEpVvqFwlMr0ZW2rTIpLulibH2hVq4qr/xOlvULQrb
lh8H2izy2XuMZsqhFl0NdSIIaY/tOA7spqqHsX/2AjfmJqSit9fxgkiduxXXmiLRPOz0sVu4qq+3
zsj+Axq9tlqLeEG1PJfdJBRg6wwebW1cLFjMOirg/cGCLjEH5EIee9ABLxbG/DMcDGObFFLCAFMd
FEZBdjmjADO4sY532jzinB4BPIOMg1EaajcZngluO8RVkjb9/gHTk2o7rljJR7nv/BZNNItu0qiS
KOxYDPe69DLGE+lV3DGmr/qOz/R2HyZIdJM0TO6zbxcJ04p+gXXI0dV6C02eeEY5ZpwpSFfxbMVa
MAAb9otaYVn/OMF2wabHi9VrAkxjowh3F2aXa1dI5X1fBmUuiXLOsntqqmw8ZxCX+9M86oWU9Rr0
eJta+NQAIo0xb52C4cuxBYif5JFNkuiIGaVry0HUEm2nnq1GhURUS75uHCnyN9Ved9sTLBkyB+y9
qcz+SkZK6m+6n+LhHBNIHc8xUN/5DvJy494PsKRGbTPSbLtNssiG38JMO30bQh1ZAHxbKopdohzJ
gS8vmK201oLsN7vsbomV9YULCA49G1xCVy57mvYFuPEMM/Msu3BUV3GUoAffDyuSgT/Evq/tnXF7
Ml5zxN7tl6fNK2gdpAtIhrc8674B5otI2VERaQuzVvQzhR3xtqsDKuseByQ20kub7432DzIyKylC
FCUGi0XMBnIJTS93UGrAVagkDJUPlq9DBF16y9vX5XI+vvIFOnvYG9D6PE8yJHmM/W54JsakDmuv
pmp2uRYWQn9ATAiK4k3cxiVJaQR6Dann6j5tuPNHbKPwQlyHsV3fXLfp7XbauaIfzbawDM3L3C3X
IfB9+yi40uvDxcORnKxaqlzB7GbOUY3WF7BcbyvOXAwwH0UIkl/bBkqDewxKFDwYUBvvgLbmHqgV
RXBlRt1XCFdnkUNYlPrDxnQP1M7MzRNoEgkqohWhzE8dmI04F5GxAe9GuYpKvnAdS9C1xxjzrPVq
rMw8ubyF3i/LJwEeASkw+zbLG4CkGuAtAJvYfQVasbdRzhzK1y6n2GUdMMRhgtojh0k9+s7jBnko
woHGLWPNZyisw2LyxSPEZr5Sq6NtV/gZ/uGoQ2O20aQ0pAGVo/x3axzseSMqrjCpIq6IwQiyeSTc
XBUwSiYfCH46ull9U+uzbC7Yb432e9OXPTOrHqbUmgPQgn0BUzmqovO/V8sWb8FmwwlG3dtWxqyb
lnwPDX3AwGpcSlZB/P1zDKYfnYVYyEY1jXY4xPJTl71n688x1H80FKIDWTGuweeS9kkAtGjpT0po
frQTmuDWKKuW8yOOyRggklzjO4vd2v4LDe+fGFZhZPBHpg+gsNSBkYbJRIT1NzdT626UjyZ4IFqj
ATila4dYAC7n9HGzgG7RYHVRXEzRhuf0zylUF1bRP2Ib/UAsqzGi2drI8OOENNOhbKEMuQN5cC5Q
r2H8iFmcOP/z3/RnZKofuKBmtnjVwCk+whBg5s8uTNVS6hp1bulxMsGdFI4kA6rSLYz/4g7/Ccny
R3eiDvwwnCYpPTKBTA4H25nDDKz5X3yhP/v0H9hnGol+ljeSgjmivvUmefFCV/+CLv5nn/0DPRRl
+qx0XdFjQOxH3phwbpeB/OSH/8Awc0nixmlh9AgM+oBBaptXCZDHf/6Y/+zKf6CHVtvaOipbdqzj
yOJMX6s8aXD6/9ynX37r35Hj0l4TsINwX9JdwZvXSaRM7tPzP//wP3lDY/LHD2cmUV5vHV6Xhsv0
1QJT8kXMQopcIZEqnesFbOwTlEJU/1Q8H/nRz6YRteewEaJHxKHSj9ls7H2XAF7951/o9831H6zu
H91seBcIYKE6OyohGyDQcgwewxX87y0kjr1kqLzxX8YsGdlVq7v33d6+T/Cm0VNl26VBr1I3B6Qz
vm4rQXRz7jhKsv++uv/4vv1n/TY9/vd12L/+F/78fdJo9uvG/fDHv76fFP7/X5ef+X//5o8/8der
t+n+q3qzP/6jP/wMPvdvv7f86r7+4Q8H1OUuvFveTHh6s8vgfv98XOHlX/5v//Lf3n7/lPdBv/36
y9dX1Y4lmh7Tfne//O2vzq+//pIANxRpdtlv/uPvf8vf/snla/z6y3Xz1fTN1/H1T37y7at1v/4i
+F8kFXBL5FKKGKEl2GX82+9/Q/4CQj1GhYRQ+bsjwIj00+bXX1L6l1RwgR/IiECqz4VZaqfl979K
/gLyFFyAKacC3SASOf7v9f3hOf3Pc/u3cVGPUzs6++sv/He/wf95rzh4AkSQFAozfBwiD34UhMQq
7uoqCvuVSjDHKYYlni4cz4Q0B7vQRRYxrdhHW4d4KK1hrTtohMKuRR1gSldam6JrqPS8PgPTkdCM
UkePbojUHZBrd0x8454mlEb5mEy+6KjaZa7D0J4uCAriN5kqwbTzJy8X5u8CFX67ZVNsMCeZxvaB
IolN5mCENWgEkDLc3BjObXoAVWJ4ykZHA+brIYSC8p2kB/jfjvJq4g3Uq1PXegw5agryieg6cYrl
SNdTv1bd07rQ+TRjYtGXyTZ+ouO0yWKpkuUVXy4pemHBumewPHjPwWTByDeqhir3KqmuPIV3ThF5
5qfcj4ocacbW+mgIPB2P7e6zCcHiVXvfugQgV9/MmSprrvf4Ou0r0ueV34D3dKKv+KnjCYlP2Q57
rUNlsha4IfNsK9pmjL5MSyUlNIyhvQXO3H2d1dLe2jTO4txMgCNv0AciHUwMcEcqFOGGlb0xlucT
0qw+1X5aPsPjEN6PbHHTW7pH5Lcm45coWKf1bbW34W7zq61z7PV2zhcrA8A3vYHTG6X+Mdqj9V1H
jILNTxN1/4e9M9mtHEmz9Kv0C9BhZiSN5JbkHaSreZY2hHwQ53nm09d3PaMSGVGV6Eqga1GN2mQG
EOEu6Yq04ZzvnD/IsyQudms7G299a63UWLS6rw9W2+s7Q9kRurXFldnfetIKAWpi8VSbxbTCYQo6
Zq1Ng8/0hSu/NKfyAg1SFu+bM5jRnrO9Z+PCbNkhTSko57KH3OlnTr5h7uCvnMAzmr1sqilUXd/e
NVRj3SVUpRzNoW4fkswVN+2S2gbub1bOYWHb7i63y+ZTcGG5EVNmjsHaYs3UjZNf0l+vcAPyJvAW
OokQKKeGM3O10t7Y1vvalus+ifPl1VkjYNG48o69nfcvS1Onr5aXcVUzuXGjnLjuW8n14FHWjPSr
Yt371rBMQS69+TaTLiJfbgP20PJyzY3L22ONewcHojCM5ExxIb5yOFo40nHPtzQD++4IIWzXxghH
XNO7fslGXx9VmQCwURd4sEVSvnTSaoLaNZ+1aZU+iuPCttD47XSaFK8BsEa6+h1X8Advss2LNOEn
BZlyw5TkzqmNOhFGQ7o+NzFskR7H5dIcuEQmzjYFLYM9Vl+vnRdIUkuTn6sovpO23O5NNZ3Fm2y5
5Vk3YRczzIqktqsvd7aG+zFqVJiNtnzc4nl7McpOH7EDV28/Z8yVBhBqqhdG+qpXq86al7wexq8x
6bIXR9oXOKfj0cr5uzMBbxfASOq7VZXte6vK/r4qLfk5ewjPMK2O96jSUQRVwuiaICtBBrgAU/oO
Rm9mu9lct5C+c/WJHT6sODm99axUG98y9TIPu3kqvy+UrkK6mvojS4x+l5RkNcMJUvSBJqnouDag
pmlZFz+dPgLnq1tByd5gYOZkTrXhzYis+VIptu35QXgyN2f7Spx5bkJ3FsXz1grnfi2XO6dOjclf
kgEm2rHlzM9ptFNYKFe+myaH5cNoLZUdekUR3Zimw/WZNeIhwpzHT8uXGktoWV8p2i0GJvWJ+kiP
OyhfZkbmV97VW8Zv3mwTlE+ln0b6eFUwgo+fKxriByo3q0/dWbz901hxsXab4k6kGLlB41XcoBk7
cWWreADe2dJtvzSDR+c/8IuVRjR+uwISSPMMdN3a7mNLicHHQuwuN2G3TdgVnZYhrXLbsVhdu91V
kEh3rjSZiFjnvCSNti0Y1EH1D7Eq2kNaL0kNmjL2j1RspDutzfZCZJ4+mbqIHuLCst4paMgvK7FF
H8bcP4qmXK6yeJxNvxFUiXmdzstjPePjTf2mStiQeLzIl06tGM7Q1lKu5pXO3eEaNA7MHq84uc3t
xbvxlA2AnW0GolldWNv9rPt4Pqp0GB4jkRZPCbPbP1RmzDsgVYdsAJgVKvt8CYmsrwo1laiZI6XN
xkg0Ps8XBl9X63qc6sW+zLOO7B1YbEVuQ8ypsRv6QRt7RqqndjBrr73mVVDPOulrnOQsPqlh0per
F5WfCyjHp0Hg9tB6gu95Ns3upxwG0l91qp4mfO3ddsbyXcIOV3HXNT/iKJ4/MSLQlGLTHlz6E/OW
ez/RjSP6I1pqOhRO68vqK+pxW/3zaeOI027uwa6MNVTIoRdDRB9cNufmvm7Pn+iKawKFZtd7gkok
T5IpvzdohtNBJ4g97BnCwX7rNl574yUsLwi2gPN+Mk/zp2EWEc5RqaCwh3X8ovS7HG9lPiY5z52V
T+yeTnUdYRXsqzFd7zE8Mnb2ru/uq9opvYCxTr3PCARMyBzt+qqaiIvw/Ov8pu+xfxzCvZeJ3cNr
WGamfiKQRognapxFQC4iPXn2Ont7pSbxrBn58cKenQMRQSQXvkNZ4AeQjH0qChe+Rdves5d0Gvm6
o0LBrTNyH7kajVORRpu4SKe+ejKr1uz9duiz09Yawjol1Wq+1g2iTrjY3UXao6X6dl/Vl1M/t6eh
dtTDIlx1aXlJvo96AeDnxoW/1dt8t1U9H4jHousbzjC8npM4X1yrmOkzd/pQDG11AahTYAJCQHhR
a10BTyhUQ4ip1wHTffQZgclxyI5xiC4Y3q2v0yRJb4qozV9rT+prDmytdYjaamwpNfWKKw+c5d3b
0gXSS78Jq2gOq86XUBkWj3NsbaHXNdaTkZn5BfGUAtLPbPqzYtE7z5kexmrXwOIfEqyi9yoW84ti
6YSyUl1z8sBRdkhYQgA8quWoliK51Gk9XqxQwDs1tJr5Wei4o5kwgSbLwEgIFH2sam0zP6UgLChM
J393CT8NWGqme+wi4d6YKzhW2Eox/Yrs3tuN5GU7DkY70ZwdGLP/rNLGPc4zj/9IL8kJmvzJWpki
OXvTo3Qw+Ds8+MNk0cLhO5PLipVNtjjAzYOw10VcPKY8Jq8t4hlgMqGDdMZh3kkasx8UEvZyOULP
ZEE9NkO8q0xlvYFyr98bxwWaW1nVUYcLj1U9K6N+PNLUF525LQ46Ii6cPuDXTGdLNNo9y3ZTvKet
nvkQvQkXVbF9HqJMyWBLxvwuW2l58TE3o7BG273TdfpUiNi5i1MresLod4yAvKZ5MVrzGDKFZYlY
DGvjV2OX4mnIM1AMCpGwHOKOG3tikS2ezKeZQTV85HuGj/pN2dvXfSnEVSlma0dCx4S6x0pzINEv
Solv4mD53vXu0IRYwzdOmcobAPQIY1LM91Fbp1f5Vsg9Y3WMJBgke6w/R5ToBk47O+EU1Wo/ll52
I8kEXKF8zPnOYPZYeWQQ33DdbRwW4Qxs/WJPdkEQZqgTM1RrZehTywHxhSHDGk51seKXlrWOHWy1
H5hTgPhtjpwS97KtionBKC6+oo1X95zhNdyAdCd3sTMYmrdiXU0WsWW7RLJo33ot9bNb6BXq3omw
KatJA7DU9j2LHTMVylYk77zAYm+uc8UR2jBLdtOiekTAjq+b3O5YUYeatM/WuJeKH/zL01M5hMkc
O3C3nDcvMIuxUIoNmyywnKEXx6Yc1J7RRH1yLAtMRlbNVRrh2NsRMZ5CocttouS3NMSxGVhj76Q7
xzWZfgxda3yeKZbHKo7QpgfO7CEB3fJ2c4rxvXbO5hGzNavrEcKgtaDqgh6CjkGYFBrfukQE3vt8
4YaWWFlW3oIlC4J2bVvYoZ1YyNceDMQSymmZo0BUSW8eadXDbat5lI/RpLzXiBhZ5JOj8ko/J8cI
Vj62fX1pYBUyn6g6c0yUB732PXjXYdDCPaE+QP9nKk6fawN+/76su3XcW1ltffUMI6oPTVt26z4S
g4NF4bjxgN3Gw3E7mBZXjqIA6fXdRG5segWDjZS7PvDOEP5jMPQCa75x1mD1Pw3JdOwIy51AW61X
liX7QTNhAuwt8k7VtA6Py5r3Oaep7XWG8DR8ukhhgbc6G4IuwQDzWZI2/d8jflynPwjN1V/DX9WP
Pwkm/6MkEnWO0/5zeeT02VUIM/nnn+WR33/qb9KI436zbaVd4WlPMUr9PIz6b9KIY30j3mFDakgh
bFR/ZMI/xBHpfrNs+qkEAo10HMfkX/0hjkj5jeyfRGdR0uIfaLf7F8SRc13In6QRGx4Eht7U7J1g
Ded//w9Kpe5to0GfHHYcliAq1luAvC/pVvsJVMeIhvupzr9aa/i/FTm4v9sa//SVSZNRRCBdQU6G
n0X9+SvHiW1y8C7GnY68jiFWjvChACwikPYk4wslmGKGkWVpBJfU2B6WvlmKi2JKtptU9s2XZXvr
QoiXXK1fUS/0VrtrfcqUpciEpJiRYRyzv8FVrO6dVbS8JKOYkr1pRypIOiZcbXpyLo14QATmbrkR
/mUJLdaYWhXd3TJyVofaNH9k3I7DMae/AVwtGIwETritHtaSkSZDLHbaUIL3dhG+tXTZg7lIoiIL
SiRhQENCAsn8xukxL3w2+fkG2vIp9ly+XrQu/WHBa79f7XqXN9kVd7v+Om/4KBZvk1sQLYLUb5rD
TZCCS/OgrNvph6kN63lwehK//Sjj29Txuiu7AnSS6Rr5Cky2pARiJTwBJ060Iotf0ll6D5rwzi7a
kibE6zvIWY33cMNWGMGWvMFdmXGQd5ZBRCsHyzMnw72dsUO/okUxsKuqkVmDOBu8n0MzI1ARwjP8
uPPE8yK2nn8kGKnDqDGThx4cuUCwXXP8Vo5T8H35OkO3uclJmWI+zbaBNc4JJjANW98saWndQjul
yU7lq33XGjkhBqsXV2m/jMHYLNXdEs/xeO5pHlBgWmcA7ipJHzRNVB1qa1yupswdGJQS0eXeZd4+
Y0jdqVqm5rmtXAdqrumNOHSYGfiiOCURMjBcmNQce/oAO+XVdzFAWcYIxLwEb1rHIQqnqi0Dq2+8
wZ/Ivh61ECm6RCK2F5h2Co+QdOJhwIaSsLsNo6Fv+e/m1ldzJX/ZhmOLXcyNaTfZg3eX6BkGQhAt
sYPxPCvIlqRdwBEsDWZXZ9MhngTh914o82BRNduENS3sL/Y6Odtuy6iVD/VURX60DK57zu0x6ax2
mvUiKnvnHLqwm+txTIaPtlI8SHkr3mJRJ7+iwWl+8MmkD31eebc0+hFHa9dirXapNSZvmJ5ci9Ix
jSHUKpMriZDTnVYjX2VTiTxSH+sNwVo41gdTrPpLvWVoeBFqQ+SnU5ZUYWLKdYcrpvZZX6yPqt7M
hwp5qA1nqYYtzDiLlP753PmjLR3N/T6em/spkt5H79bJK3eYwt1ZbldfoxTkIJRerF8m+vl9Zxzl
gkmfLp9lPfTPUNEcr1TV6c82zdrKbxw2bik7bQe6yDoRtLKVv4w+lY+EccqXyc6ie72YzhtkmJr8
hIucAYNqiqeYwABcm5xyqL/KLh8ZCmrt+hWl1o/buOH6TVIGAc0c0UHTxB0yPvfCkKFeKLaNE9IM
u0Qo9yAT4GcST5skHOeKI4zANB2SPOke0GNabh2xKE4bl2rpcxBmFWFMSzz7ZTEbtytlNiXtLW7+
kq0GdpEQdXYmn5z6hxAwRaHmpHDkiobmII3MIeuCEHYxYs5OqJ8ldFWTudmdQeryTg2ODfmKvJ4H
WyXn+xQl7YVfqe3XjcaR0m6jdxGTRR6JAyShBfm7s027vC9kmu22hksfysbSvhGUqEmvsgy9z8j+
Hyzm/EZd8nToMeRM7MByS8ML2ok6BwCZBgqDAxKJQ17ygfPdwndqNMPlGGsEcr5Dj/viVLEsTIRS
6zA3tulmHvT8UhB840hsFdDk0eSp5iiUp97ToZ/sIB5tu9kJadDSASudXVO4Mt5BGTTP7rrYECXR
5Li7aK6st7ncmp9tvHVFWCYodpRIeAy/5HYZb0FTJJvtx263xhcyMpTjO6aZ33ACFcldzYCbZHe2
Ey5rUPnk0Bfkky9XQLOY0ITk7erqMiWY2mbG5xx1SxSscUTRV0UR+76vejpVZqCXvWVS+RHC6KNx
Eq0zLCQiIuphCxII8VkbJRncWXhhG9UAIKTge/4TaduJv3TueEVEk9HVBIgvvWwi7q3c6Jonqftg
JpW8NvLOeRmzrryk2Do/bRkkFPucLo46WdlB82pcX+kXYdEj/jrfWAOBg12Zs1KD/JJ9I7HWtr5p
W87PutL6cTljOCmyWEkBgcgbXjmn+1rHKbnvtNkkQVplVPcJb75xy1nu+UEnoJq6fK24kV3GjI9J
g8xh24lp4c59XW2nUlGjajjkIRxevZ3Jd/65EVwY5yTyR0ecbQ2p1Xfs4+KGCWT9vAM+g+jM6dlM
A4YHOOIY4cngMIxu9CnilTvkqKk8var1WkAm6yl5FYQy+UWfU1CBuywugTfJz7ZEyfpGY4x+Yvlt
gMuUPsRgJO81+/OVVvGCakfc/x3CHktH9pujCbJpdP0pc9Bc1Ygr7/crbQKBBq36mEd7uMNcmG6i
JVJ3wuntX9yqjMCN0u3Z5kX64Wkj4tIjdIqsVRwUEHiD7jJEdGEUQ/dzSyey+3bbOzYkHJT3+Zem
7lOrHR/rWo4Xo1B5cdVOk/NugzJ/bXlEg6dM2glSrchJwY1ZQmbcH+iXsC62xZpaeiXwQlbZ6E92
l/ReS5ksLFuUMiy+Gol4hvXQGINALcmdWzLodRtY02YtJFmIMAWG2VnYXqMdLmbR8xKQJ196AzcG
sOSmnurXqeySsOq4VyWZJD5X9oC8HAzaLRgHw5lOa2LpR72Z5xLV1SZTW0ZoYE1CVDhEYj7IMlq7
3QgHRhZcuT9aNZinKtGu7S+OjDu8FK8/tiDbV6MlgQWj9jlfTOu7myuvODqCx2znqZ4gi1QcEnyL
+/KXy4RZNKDRobLDSm33AfYwxmqZTK5cLqN1+zBZxoy30xwRlMkXdTw0E60wdD9kObHWcTHq0zhZ
5DEpF5Z+KauKg1BhsekLtr2uEOSsXMSq3GeDl19dHkU163QRv6XMj90QSq3lllaKXoWC5pZdkq4x
mkOC63WVL+V6iThqfI/SDqAzRSrO/bxzRdAQmf44txtyNxxT4yM2dK0Dk1ESn+SYWQU8VSLjMJ1S
PjJw27KO8USoiI1qm59nggBsxoRt+wu0dKbK8ghw3c2zbI2vCZebD4J2BXdf4OBxdaTapAtGlL6L
QSvnZxlBCixWFLheXoRd23iBOUi9tycreZ0BBH3b2DixdZSr+3nZI2cL4tY0zGCJMkEbQX6Qxo9V
xs27sAMMyioA1TqHtOHY48Et91ZqrD6lAlzNt4Yv1sTqlkBwzPJgJ2FpToKQwMpIjKU6Qnovmb9m
rnWfNYaBclO5eyCwYud4kcWWO0V34Pjw+M7obnumy/+glUW+8iSaX+CL2a4DWuYNqx3vzhm77ipL
FmjfNSuch02uab0Tg5c8GsyevUZJ5fPjpXghfcVyBaDOIDa3z9bXyHL7J+i1RITpZi9rSPK1l8DQ
zfhFimX8YSVTpRF6+6RErIpEH5Tcbr5Mt5+6YDOS5MlqVsLQNX7x9dxDD6eKfEcQK55CP8epTUI5
rvNXajhL2Gxt+ThvLCp+U9FGG8KTOyAuNBZzqByGRR1HijNwo/JlvbR4EDn0FnQDzSs7rcgTbAbb
Ws2EbaxqixsAorEMc0RAcWFjW+xiqdPHJm+Nh3qlo2hzSEptpbO5zFfunN2scPdqLzORmlr0ZeIm
2rjMi4hc67KClPAQa++pRjk0SeSsnATZKIs2jLupoOBLwu5TQqATdHi8vz40rJWP1rHqZ8mwx31D
XkXvxrwRJ8LVyYRZcBaQYsTtVwRbr78E505+5U7cJT4tVZyKKubrlNgZcPkEmlX9IkazeJp74f5U
ZVwfEcKW5mKEXX6ruBkTQmSy+Gdm1bHYc421b+c1h/w0jYr6AxULeSLMyvHQgx7p+JRd1yRGElks
DpbEULTqur3v3JkIzlDyGPpdunHAHkkfBb3ViTvlYH+dChcOf0/HgHhyKlRFov6/MMgWxydSmVCj
I51I+1NpZPHR1jGhk44sTI33MZPbJTl5mRJuusT14YEjApRfDJnd3fVmzIB7klSIQBbxKn9aGsxh
eI2L2Y3tJjDq7Kd2egwq00mJE3idfa+zCtdmo/Chram7odZmSfLnZAMxGLh87cjtHCpQSXwoYwgV
7dX+rPRtzwtwmxqRu1v10AROgcFeOxw/upoiIn91hpzMy8bFYkuzMBkLyqmmWexhUNND1crqHvez
vCvXrg4HyakRGXHtIr7MahVXdSXTnUFM1Udh5XCxZPqWUWf9nl7b48jGRk3OvIv7fL6rdCdeBLke
pERcsbDs+tcqmsZgSJV+mOBKdlg+696ullsnMZYZF2fURyJA3kXkMKiU84mKJ1YoT4T4B+lJyhy5
u0vdbSc6OnQSt/Yut6mbraCOvCjYWLx/ub1zYDJ6/9WsSX4XT5TKDFN1zplO7qWTKPNNtTr+6bKB
Bg4f0NgVULSDNYqWpqkosXf8jblxt2nTcYIFtpcTb9I3TyVxpaOiTgn4GOr46cwRnIqoGv0JCvbo
6GR6boBsP6JRbDAWYjW+ptGp+g8z5xrEASCFRa8iV2yHLstnl5VULeGQEiyFpWuKn4YcuqtVJpws
p8RjA8sWKTgNNGs+74lTUpJE0wKzeSw321PvMe5He0aCT0Rjwnukso64ZnJSCPPzntm4TWrTnemy
ULkzjWshZ6T+kmF6LDsD39o7zanbRGQ1jUS4LAYPxSTUZh/tkmsCcWaTsjdV91ZOs8Bojr5ZSf0x
kAP/1dipisgDeDkDpnrXu/Amb/GOFEz0cWCixbIHm4X+5dKPE6YoOad+7uebNVs2JyBbzMF0pIbz
B71UQ+1bhFHvkQXq4zCa5oM1CNyL2BUsiQxXm0P043gFDu9p8UpLBroBVkRczrOimhSemhJXY9c0
R3pOOD0NLnTiHiR1+DGsmzscfot+/6/hsP//9FEhSdpbIIj/XCINzvRYGn92yZ800r//yT9kUv0N
QEt51n8gyBz9zQFcFAJ98s8ImSm+UVsi4MQsl2OOe266/0Ml5V9p15EeY/ZcFj4BE/YvqKS/h/L+
o1iJZO954GMoshqYTf2FPx6Js7A3ZetBz137XLa189ZycL12VUShQ+Z1y/tgiO9RLrtfMBcVtwWa
5rifJBxN+7neOVPd7RyWrbdOTnipYLMhcavip13E4+v/Poz/JZ7xb48UxPY/fxjDX0WS/ifPIX/o
j+fQgVf0bGlrl6zS+f//LtfzhEqLkYU8Vv8u5P87y+jy8KIcehpqkGuyAif+40FUKPnIdTw92pSS
v1H9Kw/i74Ggf3oQXeXwklgS7smm2OEveHpa2dzrPGoe0o5kPiVc7fA0TvH8lkzDdEvx4RPHF+Oh
MgciPhT4NCcKu2hoom8zD+0548Kbd9MnKZH0Ak1v3JEDs9kkEcGISA77lAK8+0WL5YG/Ho0nmxtM
2rL4RabqOw81/Y2bZ+zaDHtA11Z913hz9NQq+l5AJfpXs7bKz9rVmAeE5LkD5Pkdh+KHvC6mEwOv
qY4zEXvMTIudyNhcYkonQo8CKW7A3htxYSuQM6pJlbcL0roxH0TFoWJRKoXEbNgi1vZRlKCbFI/W
7GSD99As6H/jOLSPVmkZuz4mWxSjUMN1D/aRVq72QH/D/EpYgAoxFRVftAFUVxN00ndXI/aSkB6+
jxUXgGxU5YG6QiR8nAdQoYnDF+LlYkj6NiL5ASPIi20x6VS0rnc1y2Um4r+RTgz6lpIxs8xSXASW
rNSnClS819LxfBE1MwYgMzNqv5vsa3uYiPOuTu6+uEbRn5JWluQm3K2Z0EhRkP/Xv/svIc6m0uch
R/98PXj6LNPi/9x8/hz/cVH444/9wTaLbyYFm2APnu2yyZxL8f8w8PQ3JdmzgLgE9t0/0s3S/GZ5
gu1CmJ52FC18f18R3G9sJNDN2rIcxzZZGP6lFeEvBp7jQTZ7/I/NV1PirztT15ruqPGrdmnc3MmI
C2JutB+lhZfTbYNvDPml1S/bkYLS5G8PFV7tfw5Ws4D95Yszs8MBI1J8JuSC+EH/7OHxUohsdpqC
eIaxHaNBnxv1eD+6pV98+o0oPysyhYczJYexEenVUEvxo6JkiGP+kpSQNeyODNTclpvJdnufq6J9
qrptobwrNS/bzqtoIeq9a5Ouz3Ds1qmmdIaD3zESTRh1jUMqWdg5HURuGrRaP5kJx16mDvIX0nwC
87rM8taqZSG40PfXrGVgYGk+BDUFGvsCdXPw7aI3bxxrM56kIP8DS2Ju9yjE6kq5vfHkoJUFmnvF
7UzNnn92a6/jXDBN3DDW5yzFMOACW/iSgyxrrqYvbhX2ycsn72Cn6XKx4WuawdIZFBYrrjX50XJa
dXWOdZPJNNJxvjBauzbhVo22OVik9w5xigvQGZFGKE5W98NFUTPBtxr1wEBjZETi4gPnWoNPDa3h
uE5ZfzXEnXGkSygp70sznn4hu4n3yup7bFAMtzUQGzOiaECc57c5juHWDHcuH+nxeCU/a+8IdZ6l
p+HkVtbJq6rmiHXXH6fOTQ9Za3zoUdD+gOSlw2JcMMnGflR+nmdjetIZcd3jVi7Lzdi0G7+sPD9N
7lIeikQzRNSN0Waz1q2vKra4i6RYyqM5JfNTjOl28KI5ZtjwuO373jV228ivu5e5+ESWwGKtmj4K
PKdcDrkBkwiifeXluFV50zXXppEfasWMcd+mXNd3jN49Sog2FEOXGgFCxPJqTeekQbApHfKQjMLd
N0bBr5/ixb03NtZFTD0dAoTy9pOlqBAcxv6Vu7z7SoJZXFOHwDMdU4khW5OGJJ7zIWYIVou/f20C
Ej9NIE2ggeMQzlxIdqaAf7ZLr8FraBOgwZW9xVEM9PVtu8sfXRxnGU62ttFTVw9SJMzrlla9vk/n
j8wdTblvaHZDlhkF5e95T9vZLpEzHRLWdg4VmbOyGBGRptuNWznm98qKBgTQ6ow30mNKK4+7Ps5m
5PzaYtU9OnPvPQ9Dr1ofgtX4yFK1XOETW08M5hQyXOqldW4s2qjKHZ5p3YXRZEfzXhpGe6B3MiPv
KejeZEhXG9cXQx7P35t1oZBpypS6yjrZyQ/X7dfD5tAqxQHLBfjadPa9X7ribi6zPGzjsXjqU2Uf
q7q9ILdkH91i/toG6qbKbpn3eWWaXzGG5k+Qluy4xnZ63YJXXmwMbQpl1BBIjVtzuoF4bU7CThte
6kUOz3pW3o8sMqMLo9ZbaNiFEVT9PMOr9aV9zEXLuDuogf56k12yW82qe2XoQLsrxlne0Bptf0bb
VO1Hune/FAr6bq7m6qFCHnisZ09+ErPWd1DA4yFKyPiui9s/UxzDePgJj3pgfNxbktntC9dj85m7
hHWR9PPZm14xke18ymeY5Xw+NERASaBX4PEBt1XZ/ShSVcWnxOzi3i+zwoXjrtMaO44/+dZtERTd
mnxFkamdo7WKcdvJxK63o5opPvAHCsJ3ta7peEkQHD17I+ifjd0iqMZuKw5+y6r9XhpeFy5UcH7y
pC2rX+GOsCA5HhFoI2U1pkIG0YuO4CjbU4WzVqGJ4bkj1O94V0Ozlpebucp+31qMVPRdQ7kXUevK
D2hT7w45dboAB49ee1N1UZgZ02zQ8ndGhKMI5Pg0oT19UrlSOEibHj06qz1jYNHveIEYzRTINsu3
+3NNfh+Qypl2UYzZC4bf3Axd0qvLhGTYbjLWdwyXSoVrzAdDA5/xWNG696uN1gmutE52swMGvhMj
Zzl/hZZqQ72W1RsPPxJouSGXBIiEnnnIowE5nYjMii8yI9UFpQMFi5/BFDjfmhv5vjQTeuGQ5JJJ
LIJuAj22w7tRzZRgOVTuvyKIiLc2jVMU1U39SMdBUbuzeaE3bN1eFHF/Oy/a+9mbW30j2sXLDoDM
guiR3qItKCjkP6zxgr3Jf5bCCLZ0u8WNYz5BhuiE/DMvvV8T/T+uWcc3UOYbpdhlss3oYDLDa43z
rDQI1edNw5oJve5zbGeIeJ2v4KYRwaAyUNqkadH9zTmUDE01fMSuPuSyXb+w9ZAKQLrDKqzPqER+
hibyMz7Brwxd/4xUWHmxXLVnzCKN0VJ9cYYvJpRDCgkT0xigUsrqrgUSDewzstGc4Q15xjho20yS
nVc6Jv2vk76RZ+AjZmr1FVLizGq6JafSa8FG85ESPYdZPYDK2vKIH5wxEoPrFjeO33SJhSB5ftEN
DgkDIZJYeO7PjAKGOGBuOnwKDcv9V7cK93b7za+IYTH2/W+qxTsDLqU1WaEr6uHeyOuDOejlLpmh
YrZ8jl/kmZSpz8wM0RF02iZRVE6emRpClt1Vn8QJrQNn5Ead6ZvizOFMZyIn+Q3nKNzJhQQpo7uI
zJjC5/bWXbtbQu1btSu6iQ0ZyPBgiRrwhx7Fp+nMAk24Iw7ASZvfUGMOK5QW5o31GyAicJk+LAO2
3Yr0daJtfbediaOJUNh4ZpCMepMBZ7I9ZZJVyAH2hzX9G3vntSQ3s2bXV9ELYAIJkwAuVUD5qq72
3eQNgqYJn7AJ9/RaRR0p/hmZCd0rzt35SRbZBWR+Zu+1SVWbkC4Vdw1TdVczOXnD5/EbAceD0zwN
9YTuqZCknjdNunPgCeF+zZX/OKUsAzayFzZbhL8iqho30/ke3PbJLQdvu+ahog6iEPpT3VVYy19B
Fuja9VmCE2XXY6N835CmYCLfIg+o21gFg+YMMsEX02WGbmB0hl/67yiu+juWG+8TOu8+qyv+ju1a
9riM8P6O88rRVT3xAVU8HVUmoY7DD6BaKyqtXhxnac/9Mqw6ZB0BB95LgDPtGp3pj8HtrQ/oBGyQ
En9lyUOpAqBcahcnkQ+aa5tjAfq1NoX35HTx9C4QosGbG7PilPh2c5elUn1tu96s39oEgeZWTCPv
U0USziOMjvWhMDt0mspzXnMAJCgVrBxCmPQ/575AfzJjTkXb4Ev2FRhdHLZ+leRvAiNPg0dHvkJz
CPT7Kyhgu+5GbB4sWaZ8eUGFwfaPit1yQrXkpnsw57q7aCNIiVlL6vqS5lXzB5kpH5PAIxrv34vD
udqnXRkK6XCIZePk9peuncrphq1IQn9MDCwArI/GdeskxhLfWIb7KsoTwbfeLGiXN3kRZGVUUBC7
Oxckx8vYxZ1x0iicTPg4mA5OgWwBgDByp+hAUHvSo1f6lD3mTAUsEf+KxSlODZoa5OF0Ra/NOlkf
oDbkBy91Pp6E09nnigX1ZeXQgZXOUfG2NPGI4JVwhZZ5+NSy8J+JPIj8LOgoWQnaOq+qNH74BvSx
KL5DzTboBzoSFyzVIxWgcxh3rN3R3/CdBN0JMmr8UZYjCPWlHLPLmpIpeXQJFTiWdad3adcaX6bI
41MRCxjSJrfKccEq6OI5S/NPe2L9S5dgDB98282VtWsO66iyhyOqRVqQvrTOq8PiOiC881KRC5CF
EK1Y2fJP36J2DzQoZmd+aJCCp5GXsoxG/YKuiKzJ1n0dCCKAov2PzvVfxtd/Gl3/A6HBc+gyAyad
KFboVIXj/AdTu7L0oMsMTkssgMPUQ/JTZeqlFc2nHVQvxFlwsXppwBwl+95DPHr6v38+09Z/pyW9
fzwCON+husOiad7/+z+0pEXcW1UxGcO2izFbkrGnLvzwy/8k4/1vR/vPEdj9Y+4DOFSzfA7pBf/+
Y5Z+Ha1pJd5tTO7WwlE3SegZtuEfnJR0hbAYG/J1rUClvxXXk4XQi8XpRozl9CnArRwXQ+mLRMT+
DB0/uN5/ZEx0TOvBmJrl07JoFLJCYpbR3IvDI4CT+l/xzv9/X/CfWc7de9L3/3kc81/V77T78V8e
ux+/v/p/vy/4+zv/NZFx/u0+dmAc76KB/g8TGU8iqGYO+z9N5f9DUh38m+By8kwhWCfco+n/NaEV
1r/J+4A24I+TlEjB/8s45n95B+8fgePurs+WaLrv06d/vgSyL41R6HzYdZoR5EuKhPJ19QzVRG4d
yJvjpT67cgHyS3Gy7xxzyImdTtzoHz+2/81ZwBbmzoH453vCX+O+tWAsbTOq9P/+Tf/xOpruKJFh
BNa2pvF5L3zOnlgG8XFMKutVF1lwmZH5rWAcqhjIZFNr2jFmu4wx3AP/V7YzBIVSXaTVdzcloEUh
bqHnR+0SVai2Hs2B0IIVQFbEvagf0jxLQZ5xr20dYFxPad+hDaDYO/rw4UKjNVb4nEkZb42umCLb
9ZatoqAkvkbzZlqOB5VLugoU7RKcJaxmGhqLBKWcX79sCIEQxy6W84+aFoB303kAUmUcqBld7Gf9
YP8wXbO8uog7WWW2pcadZLbcK0OYQXv8adsD9ouic18DHoI9IUzjaSim/jGDYZ9vcio5JAVT/XPw
/P6o5djdUmcQJ7MWViQJJNrJwBkeE2mz5FTWwvzaPpV1c4BMg6wJucgbs/ayBUZIMqGTC/kp8LeT
F2Rab+kUGDsN1OmIvjbGxWhblzZNjB2/BNMWCoKontLu0DtmcEkMezqO/p2qtJQ7tSRL1KIROxP6
kgEXdJJtM7XN1tOEdYa6VfZuwdK4jQdnIdBUDq9uy3QsyGo78hg/vBBx5H6i/Ii33QJdye5MPDx0
JfzT2se1QC1VSWO6JlWRv+ppNj6mCRw1IoX4YDlUcF1tZdu2bvLQXrvxd1vl/lZWhXpyKkKxN7E0
9HVqqg63ne1EiPp2/TxdnbQ9+Mo4Y+lEYT8blKCmd/NsBujoVxKsYSYA10pZaIGAu3ook/eFvWAC
7uWdILfc5YxGhOCowANUbXvZPyKWkjQdtOAIC1U0kWXPEMlJo2boSGYoiuEzy5MBDcRQIxVPkEkp
w/jprSwT/FEtDxX+NPJeeZ5wkBJqes9tauweyRK7jd9JNwT7CbnSxwrxHROjGJdr4sBYKNNaPJmz
LR51Nc43szFWBOXjzDqEzTzkxhsRLHDaK73uGxThT2XpYni8m3CdIQbWvhoZBAPInCPorcdiydSN
kWqyta3M3ZKWII8EYDmhm7ZkECjTCkeECNiAm+a9ZCzCt4n6UZUFmUtB9ccGn0VRGlSvGCeQ6kBd
i/gz6lCnrTyMuAcuM/kVR4ac/l6pxNraTF1xQaE5wAUWBNsuMf1wJvkk6hI7O3QMErcFast577k1
YiPCptydtt0RTKyUvGt9ISOjmcGuq2qpDjn4ldOSekgS7VneCMaxnzFd4bnqH+ZmXffBWLtXv3aW
/X0jzyJFimvip7eAQwbfNXJ/etMyxVeVmEqfR2Fnv5a6S/9UCYr/oIT4III1RvswmbjD7PYz4dQ/
QNuXp24cm6tCk3Jc1ejuDM9D48JfO2wBfj8nYPB/WI2fnWTO/meYtP6FWbJ95mT2ET3W3Xer1Tm+
2JyhYiKRWDYQFxkfQmYujiBEQvA63R2arfWyd1FqTVHKUglNW4PAIk6RXmDa9JsHNZoT5pAuya8a
YmSUdka+yxMQdilCMaghcYJ+E/Q4YpzWtMkVRZ044O+cZDRm8TtxF/HNIalspYoNaou+8+5pDkBu
EZAifP0EpJ763TL77r1vmxXuQpzc5ID2V7pyvMY2MQucacue2lKdpqVKvzVCjWPoJx3vdTpi45zt
oNitzaSSEGPRbF9SnH8nD9yas7Wb4Gsh3Cw5Nkq120kP6uSTgvLpZGTOrHlNGtA4EFGAh0Lu0V0x
4w5IyfmT0Q42uEm64Y/XM4RGKDZ8spvUh0bWN5UaWE+n/qAMU9DEkQjmAypa8UgIfHdgdgfe/9X5
Bi1XBhuZJvWnU4ESDQj+gz0wMRmaAH/jslFHevGpZKF4z7iDI1c+kkc2ij2NISJWmS9jcGkqsn2+
pOH2+lnklfOSNCh9dwhfmx89r8KPOLbUe12mxpVYO5VuYvoAXqGOT6sCRJVN7nRwQ9rYeUcf9FlU
gXHG8T/HZ9NB/SjltMrQHVAG//e4PHl//oGf4nL4m5kH3wQ0arbIP2Kx3Geuwt4/Tl5e5k9D3zMx
9UT2osGLvaQCy1IEcNxyH0amH3/oMG0T5agnP1Q727+WyV+OAEzc/ZKN8iyX0f9ihoKfM7bM/GCg
E7/EuUOUpMH+9wWHqryq+e5mLEpvP4rWoYE0WvlcxLL9Rv/XPjuc1i9L1bYHojNH/E4JuDFo2L7c
wFCfr/Ya2wfHzZKt11O7/M0IH8bJe++xFPq3XsRefhqLZwPoIB4rJPoOMW9bk4Eh7Xpgtibm7C77
Nrk5C4GuyWD+VWUy2Fus0u53Cf9Z3XJYvfV2yNQd6UBq0bYURoesEdvQk1B2zXFrJE/p5E6fZdeI
N9uY7Jd6ENUpED0sLXuub3FpJG+K+e+Rqgahuhz5I6i1Jjy0CoF9OWcTGXKsMAT9Eipr33hyFwu3
U6v7UE1rDRMYkwqsZIO9bRKPb90sVB4VGElwUqhifliKyhq2K4R/e7OmIzOgpKrnQy7wJrM1OYIb
mH+mnjFFuEDTjwR6xxV1ZQUsPxUhDbcdwpyxQgITwZqQEWEEs39McUXc9ICprGuDvgltwh6oxfz9
PBNZxqGK1LYPC7xY85lZG+b1TQnq/MDQaZ1OfZ2nJ8oZMiwtEMqvlA3ylQyzlPSfhvt9HwDaeSxa
/J/Tgoy/WGvZ44OyO9z67c7Nl2zf6fuuunJVJEvTO09Jv2zTGr1ypPqu/2xYrOF2cRdyQaxhFxPn
xHVkQ2Vpoc6wxi73cb0mtxHb8m5weEadtPMvkqS6TZYgSs+cTeN8peZx7tQnRNYfseuB8ShOlvfZ
jZNthVBDMdtgvvpJfQmCAUcFqMx5GT+MdGkfyw73iV3ANIhKGFMPd5DwumdmIgnZLoK9bxQEuRRB
yYYeKG6eJBJaDAmWcMHG9oFssDT0XY1oV1fNdo5NsTz2s2nVp5oRP0D7ikhzNzW6zYgp7pwVQfE6
6jjdWKB79+7Yl8ecfMRHZDs2SOCmXr5Gq4LpndRT/uEPQRwpwyUYgqwyzw5z9OZQZ0DYV9u68i1C
ylRv5vHGHVnz1+M9edLvMRqgCJiI1IsrBKIzpnXCPZudbDt1UYDTH1ihtug0dfE+4xi3TmMyMj6f
kJUegjhuywO2GXXBWaobFOEo8RiSoC0SxmG0R/FT94n96ExWT13dL+YLp01KJFOqNeiameF6N8Tb
aozHU5EElw4jI0ACQJR91ewT9MaXycXCb2kmLAyWh35PvoRxAif1A4xGQLANG8vNslrll1ZewnDR
d7n9Ucxuutm5Z2xAEIoY9KkrRAqqN2M039n1Bo9ccO25xo1/xuwA6dghCtOB6ISEsY7/YBMot4Ww
vduMbpAC2tOwEyby1easMd4NuXKGLDNubkgDytwXOPy3Xum2z+skEYLOg2U/wFIIwixY5x8u0YxP
C6f43koMpp8gSu9y/jLUZf/VOdhpJBuRyHNFw82ZxBSdq4hcMT3EHUVBNtlnm29omy+Ftx0lk78G
4dtWctFsyqbNt1UWe9cFSc270N1DS1rcDhZ3vy9ri2V3T3Nz6dykOEvMORwkVqkPNT1GFCSpdTRR
+D45M9BPp1Tnsi7fpFV9Ici9DaNfbwqRFmE7FyZyd8UyGBqK6PI+rAGBbaQY1lvZthUD507faqov
BPhxckkJtT3AjJxOnvhZwCoZhsFBs1sAaJiXg204Kb3UOkVLulQ7wYVEbluyIElnkXfAJbqEsYV4
Nj3ClWJmJontSs7Fmslr4iXirHxm8rAXJlxkjdtEpRgJGJsrdLItcaP9OL02vEw7RyU1+3G8LibY
gQjeR/GULFS0cZc4Z3/QzpMjKv80mg0ycIHs1zNYKMe87We93PMX7brDbDEo8/4YwltYeDQM9oZR
7c6HmNCdPelCJ78Y9kTyoJtL96Y38kwv4aRc3D/E5p2gxIPQsPL53KGViECA1PRZNaQO4VVil8P/
2AAVASiMAsqJkBwcnAxCmkkNsTqjH2LixkIp8/IYrxXnH7LRd3aOtRGm1UK4Uo+0N03a4NN0G2fP
akN8kKflhEGblKdmXgFXGEgCS8MlphJKx2FlNfrdZ5D1Ib21eaYCzuHRZON7oeL6aKvGeBZQ2p6L
tS04K10ClRzVpZduyNNrWrUominafgkhaKFFg3YKXexvOCPuxnCGy9zm576K3Wgx45/mzN1nL/gQ
CrylmfEKpxg69jJi5Jvw1hjs3o6zpYMrnpDghYC7IVJAesIaSFc0esreEp3mR67XXMxUEXKY1ZE0
Sci0HbpIs3rOx7mgTlDdD8iPTgRKIg4dWvwjS78DiHvjZNrsqLEbDmStDv3JC4pnFz+X62ObsJzu
obY+WnO+ahLXVhuPxyC/FSkT6skUB1JYX8hd2SUGUQlVd0BJeb+W8InGRKqGlIYfXRJ8VlUQWawx
OwYbYdnhRUx8BSN51tUhGBAQc82oi1NMFs9xVx8Dvzj7bloRx+isZ9mlBiJMv4TY4e8xJ9d35FuJ
lkRl5IKWyd4e9ct9iY4iTI2hhb46WkdCfHg4ankECSUPsDWLX7aV11DrPRyL+DokK1fOSLJNDykb
4MgdSnNP2G28qwsvPs8leUSk0PSHQNDpb1Sbe5csYcHkz160Ah0/dmWBmN47Cp2eRWUdVpvYsUZk
7luDPf9iIgl5y3KHkXE3DsHWtRYuxoJ9kNwUeDN06Ofa3a191rwbU1Cy3KNFWSVoU2CEzZkkifGl
8arHwjWJIsAc6oPoh7p9Gqr2S83sqvBnG9j3fBOKvk8+b+NHbSeqHSOm5nhH+YWtPReRVXTLFfvN
GEnPMn/Z/PuwHWv0NB6o6E9t+O0RH7b/OOOmhYcxQs9C/9YnZbPFBGvu5DjgRWJVQIbvp42z7hlY
YU+HMwdgNUwXU61vyG43wAzYT5mCQDiZ/OhByYfeOAXbySD4ddN07qUCGB3JRk4XIHY+cr4aeQ/W
+VV8ObaDeHH1TkHwMpsFwGD7kb3osRqyn7jIvxZQLPbGbGoKcaudyw3GjfbQI8/bcW0a4eSWc5Rb
hrnFqjk96GIUdNlGduDmOhTCPQivhwc8spv0ydMFLeL7NS+UV225bb/kxDBZucG+99aDa4izCwNp
Q621w9v3TVsTm4MZO82x5Tp46YS5PNhx+k3bFhFWtfFuZ4F7q/J5+GG4dnPgv6OHpGzxaCCOdks3
RolivOBcvNZ2GzU5+34Pa++lZf++yV3rkwM8wcXduu+2XYnIYPke+Yt4x3pNAJ/0cSwRAUwNHXZN
ES41+SsmgsmRq3kTeMRMFtrHylHJPwViHZlmx6qYw3SqXlvJUroAGJm1413zaXu7Cs8/w419qZZP
o/Ed3h6j2GYTzLFNSbzJC012vyud7JrHZIUHYnicupJSDxjXI4iWtxxke+jNNtkjpUm9yCJ15wkL
c0GPlbLN4AtmVskoTzgP83xfXpejAgWZI65Qcmv1SIQARnY4HcaTU1xwh5ybKYPAWasX0sk2WPBP
cdAHB5aRD3IN5i7qtQ4iXYvqNWnr+TNQw4lommJT0nBsqmY+yLac90ODPmNbzkt9xImsd0YhxdEQ
qXUoeizy7Tom3xNU35BxbHSv/avNFm56BKWnRfvbY871iketPgpK32PKZOiurrkYEvQLxtt1Z85A
yxyrzOlN9C2pGLdoXTfvtsiJic4XnWwyw7e3omH/qYaR9LhmaS6Wx8SMtiHeoXKTL0TkZmFsrvO1
RqvGLNOS7VHKXKMum7NIBfPFAJawCaZ85osyk31jxTB5LG8JNm1jZ2+jOzsPPGdbSy8XOAP9hbio
FcCoydTrSAKgv+X39mTyOcbRolPEamQuEZ/p/WrWGI1YML0Ecf5SWXW696Af7rugKd4NRGRRi90J
/yF/r8zMtgU6WtAiht4m3PPUySNMy9SBPF82z+SioIClTlhWz8EeY0AMY1HbhO00fXNr4sMWTvGj
hOt1LXHLErKAng7TR9G0WEb4zg7TbPsXD24CjkFPNl7k5vw6XNhjlKqUCVXr/vYYdQEUXCwcSfn8
lPdJK6LiPg/HBUBuDhGuhWUlH0QpFxf4BOoEmnJutj0cHgKO4nucLyKNfD8RYPIdRdmwHwrb3dVU
mhRUhY4qhxs5WzG1bzqvsQzOBTzLVzz5Y3IZ5XLGemu8k7dKNkxD67HtDSFeA9cFeEAUR0E0fV3l
l7mnJAPtJA7jJLDSeQn0PdzqK0bxRXoPno1yJE769sBvsbcmrL8Lvbz1ngWlexSDbP/0aUPpGDv9
ZepomJRhm0+WcpMbnlN736ZdvidNkAJIyFZsk0xz87JCcy/mOICSLEIbwTlpy0wpLnjQrBddWckJ
HJf1ysGvbhpy7X5MWrAcZte2e4so5nZHVK7lbsoWqxTNf8PVB/BqcdqRMVuLry+sFyv94UvOC4yx
U/FmCf+qCThmmDmpx7zFDytm5ysOTPunaYs6JUfIjn/HZVYBo1Tf8sCFYVF0T5buX/EcjdF4H3hp
4jdA+zW7gtr5DLmAx9Vl8OVLNR6wM6kf2JS8g08Ecgi63NyONdqyhPFglGD2fjT1OIfsEQDqLZ7P
2KywBl4thwGdhLJb1TDos7x58At4q007e/shHd7GBTGraXUfmQB+Rf4kabVQdx5WZIJEP/Xtdyfx
YSaYsTchAtJOG2rHTjcNxDaMyq/kpgdHP7iXOxogpq/Pc5bnHHhzflos709G+b+xc8BcBSMoToIZ
g+CIjfJVlORmhv0K8E4PQl2QFj1qb32UiQyeUlSN4BbKZlcP1i+V+jyM6Gqvc0VtDG7BPuN8NX7c
YwG3cR18DwbhH2RzJ9xAUibbsqQIg5ZnsCIq8yORgOLArUtrbJ3wh6m3vBTugyV4/AhsTU569o0D
jR0BFl35NGRgCWYWUzukVRdBoQ58bdzbK1PJ7Wit/bHolfEAzuyecui8pg02RlVUrFc6YilSQ46R
JhVnUR3/+LK5M9luxtqaFwEVeOPHbn6CPUhTXBQBkyFZnAc1PwsLGCRuS9AO0yROVhy8LPNwJxuq
F5OXCCnstOtGL9jOAwDfMn9ARmKGqSQHdCb2UWzWAiZT6OrVPEjVDTvcDSyTakajznYIRs7kySvq
c1DbQ8oUoMNquEzsi4XkQBbQBt+QdMrftesxtSRxL6SwWPl63f5Y8xhGi9/UuC7XAhkqx+J1SPv4
sVvX9bSgU7j6wVCG4ICACsgn2aPF0sRhyxwrKolJPtPuveNipiOS7CmgLjpnKbSPNouyqntfdP7p
jjWD1h5uA0YlUrGeYgTY0cqC5aUDIwLqGRGRbdbdGe4Z0WqJTN9dJDyHAlJJNM09Lk9CjECZeFGb
NsjdSLzbVwNRv/ppZtd0hZORn3LetR8VIOg4LD2W/VCimL2gqWvDRLkXoS32YrChCViGAJKQqBPN
ojvCoQK/7bjE95HETDWYUS1AQl64Tiq8k6HpOiYjR1DAdlsFfI1+Zb2bbYqgyNOE0/hzqX4KZg28
P8SmXfhD8xNy17fBZ0RVGtau5ny7Bgsw7dAgr/zXCmoFFGsOCWVCq5g0CjF8gHfz080645W+3yYp
SLjvMwC+cGbGjh5Xp/2NcwEpQ6Kd8rucg/EXETH0dQwNgpGlUFG4ROEqNyuY3jr63R367DYaM6/x
UvAlsGOa0oeY9CtYF0NGmQktL3gtheyP6Vzj36k6c4Ss4rlvOhUpycEecyqVuLVikuk4RL3WVnlL
yM7BHVLOAbDapJpQkPkZfGQHg/KbLqfuyDqKMk5pK9vRUTsHUBzZupF1Qza0R1I7qbLT+AnY91da
EQ44LNggtQO3t83IRjZb61dJwcfCbWVgBcaSkQgoXh/Y8pBxUtT8L9KN6q+LrFNKStP9VHnBu8R/
NvurgYf0p42qiSglK66RYY3u75yCfEccmjz6cQLGs2S0quGnMB5jJwzscsAkXrpPGu0Fb7uX8KC0
Ht8ebjv7YBhxx/4JM0Hus/Zh0qU2lIrjFz8dvVP440NP5BnyqO5Zzg5rSGK6IT85rhHmcV5e4SXO
L0zW0l2LN2dd8QmEKIgqZJGFlBAuscqDg5Iz8hwRuz8xgw/jFqN9e+qNsnqzMFRHCFqqA/Gq9g1K
T9GHXuxPrKJhBtoopvTogHMiGZKLb852bBT37cQDnKz+D8CEyc4nXRK7MfkVqxHoY23V1g0G2Y+g
Z6K3yahpN3oavznNoHGcJ+22cNZHTYJkZDVVsMEzrDdxamE4Gqo1apfPJkMKjinZtuoHNoKweXQr
3pKmjcal6Mg09td3Ag5x7ib4DXWuJzy8AnVY2Z1s5dJ1eGt3oAtMd71txDAIyaHztPw+x/g2tggB
261JDuk1B+i2nRmBPTtFXJSbnESpV5ZN6y5NgSkhj8526Cvnb/EgvsqVoUMBreGmuq56Vxl3B8JB
EyRtkD1pmPl7pO5lFXZBC/yXLYpcQ8xfwTljLEnXAbniNdXm8OxZLHy2VpUlY1hZZnYG8kZJkGDY
h3fNnewiLQUcOd8xiOKQuXrc4w2nQcOvzQbxSLAaq1N79Lb3m9qj8QAjgbWqQRCwgQxjvs8aE9mM
PZNpyljeF7MiAqM/boFnvdKZUaUMTrf368a+5rABdhUofygM1nf2b/GZQiS/lFSTYdXS0EBKkGcX
LSXYmBx2PLu/a5mn7odnrNsqMScwZPZy6IfBOyDS7c7NKrJdoXvzOZ2scc+SgTEnPLWG2c1Cms6g
pvglHWf5wLiSf0rOUhDcnHNmNS0e+anCspTO0lxFrIFvkAeH8nX1LGQUjb9e1Dp7f5ZFVeWe7Qs9
IFu3+TR1pBf7zsrTwyz1NUE9dbN182gka6SY5l3beZBHkivBFYPrq8+JShjGtSb50YBfRr0jpKYI
g7X+005SqM0kWal4ta1/l0gHdoNRxgc7Kfm8um+svaBQOJPLdSirBXjiiIxnG4zG5G0SV2XvfL8A
ctt8PzNE4Opir75JKkHbNsNfyHsgvnm6T6GlgFNC7t5tHMZ0DHfY35kRXhqCAFdby+1USFaKnYBA
s84y9IECfxsWewE4y/3YtB6okpTGoLPrM6yb/i+vm8uGnTn1f7uk2fNAyBjj4ry3EXByQg+1+ciu
YZdNPL8VuamidIvfq1Flr33Qeb/ZwAUXV4tTpnO72dBvo+X0ralTnIWixCZi1J8GC9kbiIxu4yol
eCqgo5ooK79PQQ7LlJzUwrrTihkFUzP8YgZK52G19i2xyP5FGERKsQ8UlcX/TGSvgnzfz455TioE
+3M+sGAy7jDywQAmPnffg5R6I5T1aKLd9rhtcBfmv2KGlbQJaHf3NnLxA5odrKC1bj8YDH3L0vXn
NAcl17js3myLzMOsdcENc51mnwQarx/DYrLW0aa5HKaOOp1eA1dLbpaoA+hZoiTIxjslXD35SwWt
UPnyBvvD21qgTQ+gpgDkMOkjIqNPamenGpIgIZ7lMZavaTDgyWFCuDc4BWOJ3ep1T2y8BBiOWjDF
SPr5gNMgYJVh+Hujna2n2jHHiwdH/DRwHj0j8jDClUk/KkDCCeDBOwdrGJJPEIH2W1sMABMNVCts
e1Ddg50d972+z8cBaImH3JqYO5ld5bPwQjU7dUVUZy5iIpB+4zYDfI5iNyuQDuJNGghovJi6VOGg
AL1v1Cot8Hy+l0eylaTNe/2fXGRDNNQxmPI+R87QFeW6tWzx6jHbDzNTEDHKabplv1tdjNJ6dEeF
4Qle78ZyV++BpERstNk8/xxLm9Dv3p/8J4fld0eLBAnYzET1zJI2eIFtPT+ywJY/LT9VZ2OR7NWU
OZ7yzlsISE1KQu/q1H9xFraMiz189syhi02HVwMv3VzsUNJ0e65S9C5kjt6wvT7jhS4uMzXXARGr
HTmT/w7VNo16QPaUkv6cv5FUoB6ncXbnDTaw/H1uV3YEhr8ibsruoDJ7vXY8EKEq4vGe7Ocd+7TY
p9WUntwqYxwZ+/4pd92HJi6qSNuVjxloUUdmGWO4Zk3FGzFPJxLx1icgRMw3O8+rwthfzM9YYfbi
lbA/DGk/+138FszN9IhzRUVeTBdXdH0SVdMdMTTnTyl7wgw11MHxoXn3QbCcl7xh8lrO6qGogfao
rjjalLNPikTXw0QTBUy8An9F82RfG4DqB+Z+v3xAH465nBPCYKjE3BNQSJY2pp/oQw6i8xM5sbfr
ywq7n+NUb0J7HFwDO+mjytVJ1FKfmQmgCXHcGRuS1b6XBT8oEliIfa0sUv86FtXgdGR/P9KB1YHS
LnfwB/ODZWTIOmqNbMdsyfItBgYAs16wejQJe9nUMcsnjmmwPazk5y03R71jJ2metTV+NZ1g1tMn
BCVlE6O9klXkA+eWG6L/Wk7oCYi+DZL5dRySGSNZPB0CKEvPSCzL7ZrFjKQCoZ5biovnaVhwXaRV
8w1NdZ4CM5/H81zBQUoDOEhytuP3ETgzFhSaUibSINt589f2xnop+FBZuURNVjM1SGsjKpRVbF0y
UI85NP5jlXrWk8hk9mCrnkH5muIUCSZ7eGQ2kP6CZGVqQEPKCW0GkcgdhDwDjXc+wb/MnGdrz9QQ
76hel6ALYSaV6LYy9gmY6H+1ceAQLSySXwwJqSHy+ygKQt9TRhNe0Qho9+QPn/dR0IcZo8oCVW4O
39ZYWu9MN7Jv6NPWG7MNe5sEMe7ELsi/UsMRz/h02BzEdfka53G6ZS1Ae6+AX9lB4724pjD3qW7d
0PJl+jwmrM/DxtHlaUjz4g8B3uOL4nplMYMivw1aFwZRUwIUH3Jna2BDP+nKtndtz11D86zMx7Jc
pm+MWeSVlVW59WtfFzzyTn9jY+C8VJoG3KiX4qWojZ953/k72XF/Qrw+pcncs85xu1vSzuIHanDG
igXvDGRXbCaOlxkIg7oKic1qHfuChAXGM+MzYasUgNaku6hUXrNbOwYZTR5MYRP8N+7OZEdyI83W
r9KodVMwkkYjuaiNT3T3CI+IjDlyQ0RmZHCejDOf/n4s9b2QUmoJBfTmdgFaFFIpd6fTaWbnP+c7
lvlppV54hUOnhsNp9MCc5rCP7xSbgwPDuPBcVPwOR92QXZk46nN0Ri1gGmXdj1Ub3qe+X8GqYu9V
hskDqyt7HoezNMuvfdSF6zJLi7OrNssn0j/xcpw76uukkXfMrNnW7tgjZy8U1syI0UYYvw7SRXPz
83REdkDfpiSUuRBM9+zgCltetZZa3ss6UYEXM71ru8LeEiFmjpfCs2O6Mz+ghnVHx4HSNS6r9l6L
vv3EXDMD84uch4US39Mw9/mW7w2qMGGRc53B7h8Y0W/5qTagg+hkmyneQ1eYFewAbHkJtyUT7IJk
ctJ9KRazwxkHWar3Q++Am4w9Z5QYQcno5qEFBsWJGSazkLTBbFuP6CeHytn7XAzlsFIs5VMWcw2U
bOGS5qo6VbCtbnTa61sZttk5prWYIzxGQUCj0uOSmz944BiXIYR2sFf5Sr91KGXpNv+JVyxNUyun
E4joiLnNveqH01ThfnLC/C3vZuARCZbhJ5Uz/3BwX92BoU2/krgabhyboQs6LWbYbDBynkhp+Wuy
4H/aLv//EVgch/paf/ffO+FffrTdf2w4zb7nvyMT/Pr3fvXB++IXoaRH1sJ1f++D95xfwBXYABRp
MVvZBGQx/i+rxP3FsoULLQD/vPU7tLgFWlwCUcEk73qe48p/i1Xy+65OwNy+Z/sWsFR29wjtcMp/
54R3pRE1uae8gFaP7NCwb8Z9oJIdcgm14+V8+s3l+RPHu/mz353Xk6ZpAVXgisDX+AmNklpTCGzB
dwMza6MgsrL0B2PA5stglpiB5mHcFeGytoDxb+E6w1XnM3dw+ucFktl2HCz7iTYIb/gbJ775MyRh
fV/0CHlSrNQHx4UE8dtEgE/aRpJT9ILRyr92Je/DHA1vg9LDZlUyoVww2ee2PoTsTHbxfHF0L85/
fXHW6M1vswDre7BNB4iSpUxYET+9h8xj5jKlvRfUydQEYdaGZ48J/+Nfv8qffOOwkTwHFI4Pl8Jf
//w3iQOXiwyeNPUCu8KllI0vHovKcUxyirsgff3Nhf2Tz+TYgk8jwWlIbqTfv5q2mJtOqecHfsnp
YUIV3KQ9/Vx//ZnWvMZPV87nF0E8RAnuYeunu8rCiNCMTugGuAj4GFDMcWH390ORfP/rF/qTiwc7
SJkuCCzHU+qnF4K5yRVdb98woWwGmuDnmCwNNNzyzk6zvyny/NMXU/+qZFwLCMRPLzb1sA/dVrpB
ZUvB4x5vaTwwJSsWxaqGEvzXn81av4ufryIDHNuWPBGghfz0XSUm4oN2IzdoDMKQeqgg57ihuM+Z
9J4qasDo3WjUAVwi3ocqrQ6mKMJvKreRGsqpoQSb5ZHm+GEHroDydJwY1LrZNAk57H3vOuQyesk4
KDcnYuUJm8TC69hLYd/cVGPDVoWO8l3vpHB9RKpoZir036Tf/ux3ToRIAaUWZJL+cD+OoLhHZ07c
ICpxfKUUi5/mwWEwPzhPxlwe6jRsT6WOPl2bci1pZdbjGLEw//Wl/rP71efJLRmosUuXP11pnRI4
ZtH2yR708jTJ5KYUGKxN8Hrbf/eVwNuwfjB2I+f0h+80rlfEQep7gRsmxXZaWfGou19xDFv7v34l
4FZ/vGFXug2wHRt5x/31z3/zaGkK0zZcq2Xy4Q/Wnn0GkQWe+HeWUNO9MrgRLEhYFBri4Ou7Odt1
nmi2IeAQ0qTVxLGmrYFiuAQzaSty1APHVefdGRo6lkgJ5Oi5/fzgt5287rqhuiL0BPlSY5xDNezT
6ZAzviFeYDZbgVPxJPzZO9Zgjw++plTRaNpmp3VDzsLRvsm/KMAJOwD5adPsLAYi9GpeehgRt6Vj
0vXUxq3aR8Nk4b3yktsQuNw7jVHFSTJI34vcZ6Prr7bboXFPWdO5r4m9yFvi78lxaWW7NUJkGIey
uLMnrPBipvNK0bL3OeDnU8xYA0CMiQsVufNRWrp+tajHe/dIfYDcoh5gg+E23JbVyJaUXplDSf/e
MSGN9mCIurn1RAHAY4IFwal6WlBMR7t5pdM+vOghDp9jCreCoWi872pcOVyhsN8yI30paSNnwwmG
4yrtNBhQbdO0FO8aQVBHGsWxJOhR8wSIrHvT9GA32rHy8Njb7e1CPBp+MI1abaOzgI8DPXsgnwyp
A/jXUnFwGqqEog2eUvO135M6I6TbFz1jwrB3t5RsJkHejMMPtkxck9ULFsdrK2DemzdNFwLpcWyr
PzWVbF9MtvnPDtjMZlc4dauYGQr/mW0bESSn9LsnLy/kqac0ZDs2jUE9lyNhcyvMvo0gzptEa5F2
s7D0b4gzFUhWuaz6XTZ4ydGKfH0oPb5vi7JQpEujhTGiyL1FfLc8hKi828vacd5imjquKHKWbzj7
UOM92L63jNMFiYmBTO3Gw5njMdNoJ56cZBGwfBWj/zy22MyebRueyCBE+r1ZW9A3buhwx/vAgB5y
yUYIBP5Y72GGcxBrqb6lUuZziewZIBAg3WgnKCdNA8+iZ48AON4Pi/KL86I6VYHoxC4eYpvdxOGk
AmthgwMu3yq+KXJBDAMrWhR8iSVJE0/Y2FHWH4cQh59aDBqjUhmRsqsMGncFVrUd6sJN1k94oO0K
IudUmrzfeESb3VCrwPGosFTsI9MlyzV6KhxvsznHvqOvIjSPB7scu22WzIepduNHEnzTPqH37tDy
3o7U0UcHv+n8o+eIgu93ov6FiV1PbxUYJqhMPY6iKjKfB9tzr+y5+VGZKKhJD+BWA8P/6oe+orkh
oq7RMLXewBa3wC0NzPzxXI+BAZZi1+QZVx/L18XrS38LSiU+xaX2+KzA3DErFe+CLNBNigvy6Nk6
/EDnccJNlo7jlyEllJfzFT+ELpW4aWLk+3GGjGVMrMJsRfV3CgW7L5bfzkd/NIpAt723h61nHjgM
M4OHTjQNbBBxuMkrrLvpfnJBxWmykJuB86KTeFdt5TUQOZYRhFkbeVt0iadoHuQVbj4sH1herjSj
hPfEU/YTXNduj2pvozuEmu49IO9HSzjVMcYpx+kPPzeKV0Qr5Or4q9kc4+qIr6J6ePU83Z69SmSY
5UgQErLqqbZbykuXOxyDqZRYdtQbS1QtnaKpGnicZJ9WuwmWC90Dy01Lq+ce2v7yYDVue6mXLPlG
ggZIg8HUn2U+CZomm+7aoRpPmPHC1zoS0abPFv+Jlo4FkwEdvSVFG5fIT1975augagv84mUIaVrd
hXlxL0SG7S8u1GnsEUDDNUGwUMyRo5QcKluNPyD9dECs6oxRgtcb5uvkN/aFwe9lDGOsZnUabadR
kBaRs3mddza+JOXF+UGTXdo5eTUeKrkq9CYDclKfMMe0Hu7Dti6Tg5Y4uPNugY5eGp9Y1zbF6DqP
bJKWoG8AHpAKfmakIgKTjNR+HCvzQufzlzrR13ZaQrMyjZpWDEtTM1i+m6vJLeaT23gccHFTdSQp
nmlxI8bJwsTOGilm6Ef7phn78L4UONpdShSuwKtfZIVpjkAMuVjMTIdx7JuvIJJhZ8xQqNSMacRp
qDnC0Dpu1DSq19KNYV/k0YyUEiJgeiIK8eKVxsi2ai7rJ/ZlE2aixD5CUgsDnYwwKHjY3CQFLWpm
Y/gPMZ/3Tfsj1jVUOdSmXBVq4nHepBBT8r5ydy5Sg4B4pLNhjxhe4Rf1Fxc9v8QfFvHwehli3X4j
khkS8QPw0J+idJ7QtkpGe127fM5WwpQwodZ1dPv3YsmrE/85utC8qT2kEoeGSRflrp3ze579O8HD
B+uUaIIlBSxGOjx7Y/LSnAkERaRHlgWSxQh2K4/iQ5KQFsW0wM941FcgmUBT5/J5sJjFRL7xRBcs
aR4W+TtlVCg5S5hm2yw2MaCEauTOzVrYEa4kqaXEg5sgfxGlpbgN18kRTGd6nuZWgknuKYAAKrWq
9CXQLYebYmgsK4iqXAU8UqAp6Rb0d23l13NXWHfwoTH3Ydd+o3603TeSDDAcbgB6PC2m1q8+WZCg
nZRjflxw1j1FpmBGnkzO+EPniyM3FSzuXapbGDGLL9gzOvPBMLyKJHhVnHAuflYW8RnK9MwHbGDN
QYv5LtFDdp4XB1iGb4O2N01jeB6yLPpkfKT3JCXn2wbB/gTgLjwYpa/vFzC3B8zqH0yA+xuzNKJD
nvjlWXnpWomQ9tlxGsiejmk1U1JO3KIrxJdmIcLV2rF1gOswHRZCPwke/qhkgsCd4E2WOJh2T8DR
SpdDNSXZlQQFxBCPHvERH0cHdgssx3drwj0aojh3OAe4Ij4u/yAsfZMIU+URulRXmexfZz1VF0ho
N1NetR9OUfdgj2zassx8BQBaN70N280P2/bdpjM9QJEfTswIA8TW5zKcM7o6lzraN2VYnquwSPdx
PUW7qFfF09RO3Y3vgt8RLIKUEkbnci70k6xjj2S9Rxkoc/ePhogaKzebgo2VUKqCmjjuaotnc1ap
6AabTfSF/pxy24qa0qjCYpppC2AzCBnD3RTrl3olP1VGfx1bQ74t5nHPHGjYLR0NR5BwQL5PHizx
agkGvxu2ax9Su9TuxVrwvVpJknxhY49kHGGuBQmP5byk1W5TTOVzmxrJoXZps8qgOKrkCD2tO+X9
jDEHStfRrtxo75kDq7A9yWPH0CrIDRJCPuMR3FCHWc1zsqlrwzv71ZTuLKpejjD+8egUu6an9Ykj
1K5sIpJJ2ZTtvQg2mcJwEMQDDa02r7/RhfO9a5zw1S0U3QmCX/M4K9qxlmNXN09z13pEU+ZzZ/TP
XmqR+BpogB30m98ZrNGx8d1LaACzswtQoYdoYIVKCvMWnv+PKPuhR28IMBz3kGiiR5hBMSWa9bl2
mBs55sWA9IrZqW+vc20Ql/HNawL7WRCOtve9mlwGDlZBoDna0toxBLZqipfF/kCKyw+e1RCrGFNS
z02NccOZEdiLNnnsq4Rca1s+6cV7Vk3KP817Vodfp8q5jqmQl5bTEfWQtHjkmm7hIn6KLR8ie/E4
eulbaTWnupP51mnLG8qzee8W5iNVD1TqDOjiXQqYxjL6dEcMiVKCxjqV5dgcRpXfY8NwTjgW6CgR
VHfPOxz85EssE4TCQGFRGodHZVrDbelHDj1Vbvujy3Mf0cw5ZaFBNpMZG3CpcQkoK/6W2S4Hc477
j12DBX895POTpeLtO1Oh+lBQcxSFhXOgNS4/z1lO0U444pCLJ9XsJcO4bZx7/a6diGTi+9GUN5QX
wiPTti0n9io1QAWbeUdgRBwR2jEB/OsY7GH4wORSmV5bPbkKKcvdUvF9c24lQWC4D56iHN3GJq0s
/XUA+0jXbYcHm91nkeE0d0Ke+RhCiTn4sI/ti52GL91c3hQqpCuYeM82MoBgpG6uqY1esFTK8kl0
oEE1k05rSuvX1ByqHalyKqeqb64hX8hZEnPGPLWd65YvTWfPtWX3dwzQiucJMXQzM28+6jEyj3Kx
qj0Vu4wbmjZ9T4a+wwIBUaNHEDm7pcCO7zbGjjA6e1tXf6WVHPOLUnxSKKxYGIZbx2xmGAR2tV/s
vP9059i+Teju3pB2yA8zpWIHPBYdbhZxKTmzwHiQ3nksQzZHwAMcS9/pjgOGU3vNa1wbTlDGYU8C
fnlo+qg6hHWzdYboBqBHd9s2WLgnnh176YfqUvkWU8904twM17C5WSxm7nodNQvF4dhbkYtZuux7
zxYHK9EU48EC3Lqjmh4tg4iQW2JhGzW1EyAgq+8TH+rsaiyUauIrtcy+Plqx0Qest+KmbsiZRlVW
ngu8p3i5YIRW1kXMTU7TRJ9eMvgwzy2z12dvcn5QLwIHyCopZMtt8ZIPeXcszdR4qOtBfxu5t+9w
PCrsPDZ5Zts2gpom1mAqpnhLCXJ74/RtsZfIOLCcYvxeTUJGYmQ3X7Lva90navvoAooo8RVUqFHh
h8a3zclY0moZ1/2pLahLoanqbW7YKkYoXtgzYur3GnOmjZKtUMcROfBTx0arTtkrpaI/qqZ0ACkq
da6xj78x3KSYV6t9zs/3IFoao1YqLM58Z9xpuAl3iaDQaZFZfXbdeFgDVF9ihKjtUPCNMxr1j9bg
mIcJLQXL5djDTW2Ti5y0PmHrAC0xTgefHzpnqUJfVSn+jjTR7CuxjV78sWeDW+ZEujJz3A1LGJ/q
ZdBBP9GuVeSdc8XrzPs+yeJgcayBFNfonUPPD9FcqmZnJ+zmOYA9jK1lf83K1NyqqfsgxgL/JYu+
0omcY0WKYXclywfHcX3vjw3h6Egb/Tahhu0Av2W4MkT7ZFnOCy/bnkvtn2LVU9oHQ2DTUre71bBL
n6ypxW8gGh3fWMJAGyo1BvmiF2hBhWGiOiaKerSS26eq6oMTV2F04NAnX+hpNnfcgvXLkLJMh6u3
zCt7zJIxHsEtycbyC1pF+VSTtcLTFtfvtEnZ9wnkuztrnRLH80rZBPSh7yiw+gZ+yr9Hj1Pb2oD+
ADey2o70KG076D0ITL17jRNaX4NFzfbKn7LTMJVIok2o9o1RFYFhxFjYGABTBWMmYDfwzW4cjbnX
M6txm5bL17GV4hhBRn6NKz0x6E81Cof65k4YPGNsdFsGBNG+Lez6NrcpscrAF16rgZOW59sEExvx
xZeqxn5DLvA4RXZ8HQ0lbYBVlVxZAyAvnMQoqpiQeziesreHL3Mq5MeQjo11NuDIBBADbG9rq8V9
NctJAAIa3cnZ6z5OPituMndr13gwruOomx8XvL3uNheGDvcexRxyJzOdv44Ktroxj5z0lm55FFYk
g3rIWR3nTO6YmjyksBeO2tfZ9yLE3ok/dNp50xTtRUnmPWtr5ynMyqusG2irM/WZ1kpamTLWDn6r
+XLBTu7vUwqp+RTu0vabuCTC3rl59cwL6aciL6vXbH12mlVxU5VddkhLjCMOPodDbo5YGMFilm81
FsFz5xTWfpFuNe8kpadH0wEpMDbz8oADpnlMMmDRovAFuTVIOmL1BsxGisre5nV+NGuiSLx00u8a
mKBQCmeTZ2IhWH8xaXtrYybu3cgdjT12z5XsEBvpNu/68NC4EVr63GThLstYDPBx9pB0VdPmByMc
63eV+ZazfifZo8vz56YvvP6HLh1yfiGHyaDnUnvXrN9xdkgsfR9S2SPM7F55fgG+BbSAg365qX0R
XUanv5OM6XcoOcPatgg5ajBuENxd2uXHbTuEPHiZIxwMB7uSJo4TkHTB8AE6GYfv1jeoXDWmzKk3
g99kFyeiuy1r2meXDs94hz0GWGdBiZ3iKHUEM0FZuA67/eiDOXWXrr/nSIm7PivSgJIdtZ+amncF
15NCLHY3Tj/t4VWJAOnjY2kteSJohWl/GZ/7OT42YzcGKLWwSLwQhx/gwD2NIkCteuJDOT3Dx7Ij
LU4/UHO2veRedWW/J5t0DvExGlvuFio/UYWhJ4X9BUqG9W2qXNL1RVoUJnvwmSQIbm4HKbTurjAh
9IHrOgZIKU2BlUoHP8C1U78gf9RfqBro7qMR0wnE+fSWK8+5GOnuYA7avWUvR8C/ibxDwa9vJwbr
RxdHGleMOd06C/DbjfDz8BsaLDt89PL6qrSjDmApzzyxwXbgugeiOYTwxqjBAJdVftd9ktGnR1WY
4UKd6DgxdoQFEfPMhAHzxFraO9hDctQsZ+45BpOfJrXQ+XNNZ0FBZizyMOAulVtcOidLnzI1hHsz
9prrNqKPJxTrxCWkzG6u6+2UU+ULNIn/ej+29w6tsUFRm+IWWcTlP936yBctip7jYn48+OxlaRGd
GtzuQLL2RYy/iUnPhEcLuGktB/Id+Q6od7sZ7XTPCSjcwv7+7Bf9hBncfyqnkUxWS+4ck2nZFpi6
l9einF4IxZKr7jILb0OyM1YMPnGEiMhGkpyjCk2Igc4pyhPjuR0N2A4AfVfZHcNevCTALKddQZf9
oas4dTWRkx494XOYHaSB8EKR9IkdLOb0BLMaeb6OVRETrFe3SDsjdDO9VsZCuSc1QgKIHAlTFeOm
wn5VHYRRoOOgaMQPNhw37NB9dSKIsVJS4vpBDXNBiK1TJsbVomVKjeChSLX3VnfX2qU0eYDZ6lFg
AD/qLOIQqTmtVDs7lPps2JboNjMN0ofMa/WmiZA1xeiqVz7XcujmgrYrgEnVs70MWEo5seR3oYiA
5ptLY3/g0GXTa9SGD7OyNC3QmM1at7o+LLNhlZAzO7Q/pcrWckXPM4KUGQLLG3rJizNl7ms3x+41
E6nqkmMRuGfw6Z6UZdtPwomieqecf9XjGRIGbZe3/tswexUbGQPkj2CFE9zb1C2j9iPaAW/lt5UO
FTR0w5REfEtpP/X8hJ9DkdbEVOlk23R+i2u2EeQvdZMSEmp8mX00hiPgsM7TUTAZeUgKB+hxFhst
606lvhKYcG+dOs2/Eb8IUUyj6LafqjXNbJNGbPuoeE8dfznXheT/l6OPDJHTpgzotdBkK+rKefAr
ymi30JLM95a6w+Oou6HAwRmru0xgvsOc3EZ3MLvRdmPjYMVh8ixav/usSpruGCKFLwWYmTeD3/7e
aLnyKZczOyl2kse5TJYXijvjV1Be/DTnJOzeLG2od1Rg+TVvAc4NNdDp0E6ol23Zwi+rB77kFjnX
hpQsKRUIC/rZPq3FG7cGus22FIQuwe3Tdjlj33k2nCI+2ZOYL3oc/bfUhC4nXPofxbyytJCZqbkz
OkJLlQ7fF0QWfgBV3rx5ZReeF/babKqXXAcZG8BN1xZtfIgG55HFq/wxlH11R5pKBAwbDHvjODra
s80Dw5UZXxPknmrDHJ5ECY/5HQ3wOZnCLL3Bx0GwkMd+s7erurhjXAage4rQuxzKaigZt4r6YW6x
uG+yOQdxAVsczIbVpherG/OTHGfvRB1sd05kVZNKSRgMVmZnN9sUps1C2jLJ8XaPQuy6rKguPDA8
+HMJ35xV03gXcEwmbTJYDafoqnBA0eFlzNhn417/bqZ6/IJgPd4JETYP8NJW61SfX0pRZucFTM+n
Lx3vEgJ0uo6kaxhbyxzsT6fvqh+ZlY1yY1AZ/lZiPXlNtW5dSildraDfNiB75xFK12YmfYqtj+g2
XXXysXUakzaZigjVBq+XuDd0J58jtyg+ykg/A9jCgNuyIxnmGtaSSwX9hOLeZHdLP87vRevH1CCg
nfbsp8DfukjvCxkFZD3weMDwOAZwkft6YINhqHoR5zQmyLWLO1MwbyDydUOkjvpmh6krz4iIyk7K
dLqrOGX9gh/twJBaCJcRVR2KHPsji40FQQ4kvmeIy9BIqB/cEtaN6F0EO7fr5q2j3Oi91ziDKZls
X6UJzmUHlj0+UUBb3cd8Ud6Blk751DIghL9YNO4HWyM5bPykmL+nUTkiruS1mx6BHaw9IFY7zwfu
5rQNYOKuyqBuCQq4fqm+9vA4MTKy5b+KQnt8Ut26svlqDKLFQLU3StM/R+78TeuMFJXLRdlwtOZ3
wh6JT8AwwbTUtmpYctGxJ+Y47luUL/mHjsYQybIDHq5mrCKmeU3ZCGha7UmtAlsqiIXY9CcLX7dm
4GHzB49mNwz9pp6lWe7ryIav05tu1e1lnCCdtSaGfpodT65MHEhKUUdrgyvIU5OZa77r2YW/MkmT
5Z/RzXyVZUa+FWOnXmE7s3ykEYe3QodFdgQ2YX9gPRRXs5YlB9xlNoN5ILNqZ4Pa5kQUDipnCMQt
WZ7AJTAocxmm3SlKW4gdgkrUNDu13xdSIWzxLEO/pG5c7MaB3UQV159gifwrx5A+4QLbvxsXG18g
H7s9z7rVl3nujR2zWs74M30WShgbg2lfwNmGmC+n5vqz8Qbisbg4k7vYc25z5r6AfZroMS4KG+Rz
awDkAiQ9HJjbxxRSy3f4f/O9oVL53VBIO2YprmfLrD56x06fgBjl4riMlY/4K5tXn9X82ogq8yaH
8HIf0WjwN0aM1Wjxe8uLD5bDt1m4ycNLuRo1fuNYiDPhEgtqvPVMz/CUE/OdS3juNgcpwLrNVvUW
hFP6ROCdpfSvDRPyz+wSWFCYglquhfHmJ3/PYhkKevbkBbOKultf1ZoSl5YpgmBsb4/gIjDpsrRW
Ih0+xoUlRfc9pa1DRoCTbzarcaJ7XoHYWYtki++3hdOl7AP0jXYthDTvyoh2kY1VKIiQrKjLUStZ
nUeZLhdikDetNTCqcNAGbZxaYJjGjKqVkR0waz31HETHraCYMhCxuIN2iubRTa97yQ7FeaS1mcnY
OJt3TaK+p2WFS93Fk9sYPPDTqnTpvo1Xq9Tk2X9z6aw/2gh9H81WkiOwUAfd9dL+5nsruJW4fJLd
Oh5Kzg3iTkrwD9s+nU+liWVpnPFm2D5zd3Pu56uk7eeDn1NoxM3UYGDahSQ03C0hZ0oo+kLtU98e
TgJ+0LaajKtJ9Jx384wNsJ2mR2KU7t8Yc1Yj6c+3HghuTJ8gYvEzeKtz7jcfIWEtqQdf+4HQdcoR
xx8WyJO08F4tRncPMx74JIvzdp7b+GwK0f9g4tWftFjdeghujllm/MRGgeyBb+Nv7s0/e3MSSjLI
Yh9n6k/XlzZkQ5mKrERmIlQxigRKJoh2/M3LmHCl/3ARfHDO60+AR7v50+vUDIxlG9Z+wPhzzli+
XaqRRt0TiMzX2EyHQpABlijpT96F/aDuEzah4OjGJrvCs+Pf5rOXYZvhx1I7hLE6u8cLnoWLsZeJ
eKy7rH3+60tj/mxp5HktTMcRWCelh/bzk02zyZsFQYJ7b2gtHgoLMeatKxAH0zCrQQTG8tnPbiuR
VG/5gnrG/AeD+ZDH51nOaoeZYf5wUmgf/3pf/9P26/917abrQsxj/b83aT913bv+M1r5f/3N/4cr
93BVC4GrU4GuX29V3BfdP//hur8I37bWn6rFEM0z+cL/y6ZNgakkcMWPl+eQ5To2f6kFMRD/8x+W
/QsDDG5soOXyX3WT/w6xfMXl/3adAt7h4PrB3CpYK7DT/v5h0ZVseXTvDEGddv4DKY/5tqxSwIa2
n+hvhr/waxA+dsvfXKi7X1/gP2i0vquSsmv/+Q+TTsQ/vLLE72piNOeDY1X/6ZX7VmUkyfBiKImc
lWjbqd8La8QElgwm+MuezGm8TfTYv+Y0cOF6YAOfbT03B72BtCxUIPKag2mr7fwtbELcKjO6I4vr
DPnZ02zxRctIZQtTou2PowWJd/XwgcSFUkZkvK68+Zs9kqfuZl0GHE1deKnF9D5Xlv9ciLSI98zS
hi9zO7s17A1gK0mcM+fA+rUGC02rf4WJmxx4EA87ryiuJFPbYIwO88qLbZfyG71p27gDbbRUZrVr
mUajMZrXrR7TL36fuS+0ZDWBHRrptUYhIcfrSGYxRqTCJ2PIIWIukVGdZviSW2bMP9zKyQIKMAHU
pdapY/C0o+jqzot79zBMeFhYHZlFmOVzkiDVjTUCozlaDwPgiE3iW+DVmnILLnHtA6k4wvk2uW18
fh5HXqwQgoH12PMXdeMQ2USpNNbOIrYQ4PUm653iNKwWvrwSTrtr4xyHhq2DMswPZETRyNeFnBla
oJRut62zQP2I0aitsB1vefw2hChruM0hYkSYQ1TqKnrr4eb0W9LZdC5EqBLdmLj7DDsxg8AQtI4T
9ScQyOZBJrZzksJVHJqsZm+yazkDIFj3NDHAVQr4GPiXwJnCFE5zHRU0R2Uq8J0cDCbNSMEyaoOc
Dp3xaMFRzhzUkB+1OUTHXgpj5xrKuAEMUJ5M9vX385K32a6UFN4zVEo4c60HyU0K+TOFaxcX0Y5w
ofTXqheYJqMt2/fZhTy4rReb7x0FiSNBL72LOyfmN4qpi4/ORaLaelntMDWMx/4e5e0aibHKd6MW
CbFUTMwd7TaRkMYZub4+x0tRvRQY0LjWqYbGIpYOE5B2cIhvOcwZasNoTym4jqq6K5huWZBmHJq6
JBMyIAaQhmWbATmZTDu/znGGBpNJ0Iw2PTKihWNoRBXElh1J1sXaO4ZJIGxxYZEIbcfjpm3m4Ytl
cC6QUTxHZ9QbxJZGNO5b23kEJkOLSpjGJXKKPweuAAhjcRIgL8pVxyxoe6msE1tgKolicpNHOPny
scKIxqyWnSpnP2/FdNmzHG28NnVOnK0anv2ooQ2HlXJ8yNRk2VeRIfW49xxkzfM8gh6oGoRmBeLs
OcM+2QddYcpP/Euhf5C2hTHBbhtbWMQ9HOPeU914UH5DwxUAhgzR2NLoXg0WMfgyUHWJclHdnjTG
la4FDXz8z946UeLe94tTjry/Ao7ZYtyGcv5QUfatLeJrc0iDWhjygLxL5HWw8uMQ+/atkpBiG9lf
Jx3GEA8g5bXf4XZZzLUGUtR4M9mOHdO6uSnV0t6hV31QNkbitSKEF4IjPIrUJfHquhkIGj6ROxf1
ISpczkSh0QVwdD0Cj5O178h2fluUHg7EfdWNAENAR8McjtckwabPoggjXA6jlVz5OE1ibmDPCrdL
SZ3mRs+O+c1Nx+ScA9+8YiZzOxFSA9OEoc3eAZ9s1Y+mmgGubJhyyC1M/4LfpfEKApYIOtDiUpkO
abSZU2o59F982wRRESehtyObPSCCLD9qu+H50VZSUr5Thzvfmt3LYAO8l9lib/zJiPbj/2HvTJob
x9rs/F+8RwXmwWF7QYKzSIrUrA1CSmViHu/FcPHr/aD9fe7qju4Ie9+bjMqqUEkiiTu855znlHF6
qGVSPmoMqVGard5a6/UY3fFb5dbzgJWUwKzK5SGP6d+SWtlfGKyC8EeYqwnUS3X1sSdDcKgRUDJr
8vhkRdRQaEP87WOKDaHy+XvLn/jFHMJ5cF95NSgXxuxbJyeH9xGnC72BuMsYCo/5ZQFnrcc42vcF
zg7GP0dZJN65wat67F3nD7sTFvs6aHZFR1535fJJEQeoxzRqEICNN3B9ODamIjaqUFNt90MpB/H+
OO/0B8+tBHcoYJxik3QaBz0fef08JcM9JXP3JlNKjgo0td861HBw4NbUrgMemJ3TDv6wbxquu5th
GHxuHnmJloJ9aiDAT9ovqn441NoAkNvoWxU4f59EW7LMyrlKZFhLS58YWmPODBtOBwt9O+42eUNA
PE5n6Ma9/t1QNbh1SoGNh6HVyUuDcGE7a5jKSywbwpzAkWD54ObvWsYuLXvyVXbj+wY0g1Q+j7mJ
CSQyMvviCW+cNsrtzFUxjO2j8qtbBMeLGHEKjK8ptcdC2tFl0hbfHaY8ICJI3F0aGgwxQ7ON6baI
DyX2CvLzdnfKWnYmpxtWFkWg/ArJORj0n9abfinW98MoAEZijVeHdA6StYa0sDBlXGQHXMsmFrrG
LyZK8zpn5w8ETiMmq+GcgPGuaU44ZU78GlvYj7jS8QFYAPRjjHg7SlvAJtHm5F5ODeWLGT0pY7SB
A2IwU+/NB5jL0Hs0aeBj9dKfKV4AYv0gz4XgtprCEcCVDw9AidZcxSLqdg2zm5B3aISICFpGMLoI
h2l+iQrgw2ZZN5sSCwUwtSo61/5Q7xBRXoi5a8+MMbq9DAB6ctQArOx2cle7vrFjBfJPsYMZzc8x
DOg94R6nst09Na1kfbLgUWiKx7c07evE+66PhZBrsxsmrDW5C6UP1Nyu87E+WlZHJxwhNufEcQFw
BNBb0t+BQz8EEvujmzbIqQa+q01NgPwj8PTi7mFuPDFwy/+IyXEPGlvOAWPY+JY1ENB7c6qH7ejo
OGPsqa/ws+jRHz2ZsTw4CrO7LIArsM1GOyo4ITnXqZE8xhqQ83UeD/rRje1ph+vP+grwmjwwkJiu
9OHm40prKlgnUW+6Rwis9NENQwb+1ezTJ6Lszkn3B+OZpEX0uxARRvym8sud38VpzsJkRIdM6s4x
5qXW1/OUBZvY0tIjj4pIV3T8DfGuxv6N8880KG/AyMzoZ1ia4WCYJWYR/yC7ERgo3MCreRMqkKso
I8+m52b7NBEYcads3lW6Gt5tR5anvqWgZDVzfLgoGgS2puixRUpcy1BeE2t+hgGpfjN5L3lMwQLe
Oy8Y7kFSN0TDUhdMVRn165Gj/ZY7onj1Va1fIlBnx4SB506ZA9ybWcE7WfE5iN9Tu4XdW+rFyYHe
8zyMpb0fqnS4aYElOU260aOFhfxcGL4BTc333rUCBGALI/PdsqODwDa/cmV86fzMpR45BnODvAJN
1s9tzC5pAg+AFc9YueacYo6zcBt7XberNZMDzxil09pruVmseoEdZgX/hA9T7kTlJQq8ZMdYpV2Z
Q8WBEXQMKqw2HwihwLbyK+PFcochX9WdpCIzGt0YrJKZGY9sEexvfewNigWMxshS0AZdFEKEwVwF
W9cCs7GM/eAEgf3ziuALDoKxweWGyueT3zGHzN22bZP8cGiBPe02MgXjVKBs9ZOqEEoXyFY7iA8e
2vmuBYLTpjNB+ev4Joy0zcVQANCgrOO1S/fyI3YH8zIKfaCvyDKn9kZZbls8ae4Ye6FkLI/TjNlo
sI6MGP0a5/1ErJ2hGbtsL8mHuv6g7Zymzu6lPcbPU2OkZL8ZmgXM9DB4jXa86ztd3BqmnB8Ms+1n
+P4QpVRnBu/9HAcz3h363+JSS35wc2dHjWjeV2ubMgYplKa8HQ3pKZ0D6m9SGPOR8iPLR78jcKc6
g7Vipr2JA5sAfZI4so13cExYsjHS9G8ub/dXHnn2i0Nysnv2S9uVlwiPgoUZk2a+jSEobY3LrNss
aiHTCiemgyooMa+t0t5Q6aEx+BCGfaxFGed2qolkqUhhFDlPr60wdgAAH+JTDTOc3IXVNpe4w38V
jmib51ZrPFwSjWcq9NomJvXRW8xFxmTH5L55hU7Qf5lcidat3bT3zrFvqQa0ZipEiJfGPxFrtzDn
AjwrCH9+McIeP+MqyKCLOulrhr/h3UDao+soUPaHm6rpOMhRbYfAr6/mbLk34nsITkY8RXsb+lOr
mvzAiTp5mEx73Leip3edl/Br8OKB7nPNfcTZ221LjZCyrL1righwlK5JNHHos3tla/Y5YM6Uk+xi
vr9umxRakN/ipfcKFZ3qjiiR7XjROU78zz5OfrShnG59wwBtNbUdDTUWfVwr4Q7Bn95vcFMCgtva
phuHw2gmr50f9G9jxpODL1e+ZWQ/QvIz1rmCoHVMC7u85bX9J7YTjJmNDO4tx9lHeiPJgpG2+U2g
emYHHc19hZrzDFRNHudY1zfGLMdXaP40e2h5chGwGR/rubM2MG1EtSmNBmB5ZC/qbtwcXAxwt4EB
QGhBBEGrzcbmkXRm8d0q074lZSW3al6ien7dXQcQIIfaa996fYJKPvnQMtZpaeE+rAN/3TFUhqgl
56+EWNjKmHp9nZOnhhSRme9IEuaZ2sv8BB8yeE8JMnxGKWu+E3NOY1sd7tRqqk8oEdWlkvG8maEk
nEG45E+SUx6JgkK3tzM6+JFsYnOOBB/5QbDee03df6ZpV9GCI9MvhUMchTrgSk0Bj3f2PS5rKzgR
9u+UXSXEfuBj52FP8UdnWGeKO5YVLcU8SQbWZoheC98RR4f6zFeCBFxQE7fkJkhow29INJaJZTx6
xCSPkUeIXBto055UY54TBPM/9jiRJkn1ynxe4O4XvWTPQziMrB8/Jja17jscfXosAuaKSNx7jQ+a
sbGKATqFlHn/1gNMisNas5s3OTVtwL1rMp5oYWuevc4UXxkmtGnl5RSOhURkKljARfQ1Sh0aUhCz
vpA96txHWjJj3MFV7j7gFUR+LF2cy1uSItFXLEfuV06fWt+DW7mvtQk2ClBr/TWNRhMS7/DeIGTC
cS5l/RBzUgMAxtrBD5RRS1v5xTYdPPseaKzeBmSTPa+kuHaGGM7kvOQXWcDhZAxtuhImdWeihuuj
ektt50TUgHxZMOo4bd47T0+3cV5qd6eAXZehOa8Mb42BfKgJRdbVDz4Dd7oEWpw4e7ooxiUSSMyp
x6r7ik8PfmeTT+mfQbf9bdABTlboeWQI5zHG/wE76i3nDhmSl3H2ArQKJkY5xpwJ7IgLtZkIu9xy
CugeFEDADzNIjWcvq/gApcbMz6CJ+q7gSU8MguLq1S7h+OZpSxzMU9UXCRv1h2Qd6TNHYxmiEzWk
MAA9llqbnTul3/CNv4HmIuJ66quYHBXiKNHXo8ToAbtTXw5jrywy9aLIPenRSMyE2oBTnEmfd7PW
MO0XTggiGMw9xjl6DO8yFfaVkvXyQY9tepgtm6ANMLP84MiqOo125R7SSfFx0Bj6Heey6+uQhuhl
myq3uCjbMPAwvtf4aUGXzScwRv45pZEC1HrQ7Ywg0r9xL8ffGIUQ5vOqLvn6oj25ie6cB25Q6JKW
vGfKe1RzYmA8VSMtR0CmacSwsMdjPiNxENgEMq3u6pg0hzET+tDxcDershkNK8y1KrtyskNf1Vmv
zjByXaZdwknA/iQ2bdJ4cDHTTbPN/G2WoTUlxateeAVw6LFzbxwNCpuATx5docViWIBos5c2+eqs
sNLQEsT3/UjxXBZRgNhFMnQriV9gEepBrtods0SScGb01sYDVXldIz4yZennDE0MoEuisYDbg3Oz
0r49t3w3NOY2ekwM3TrrjVYxOAtq70T8lfBETX7ITJU4NVJvTqmd+nfXAPhbQUyKQ7PiOVVikFeG
a1BfHEtwpPG9Mt+01KmPq9lusk1sq1/B3M6hNGMLRJup/2hzjAs1mqMnl5Vp5Xo9rBz6x0xcrVCR
46yPt52jz9cFb7FLTLyJK3q3/DOhm+Y2a5g/V/3iaE40q9q79Th/TUPhEaSAa0vMjFVwqkXLvBE4
T8PwCmOe1ogrdwLz1U3AOIa6PnDmwphnCTYzWQ8rxHh8DLlB0NzUXmAJ06mrRnwjqoQ8qDeE1bKp
mG5eZBbrVvnagbql5qjVer2m9LX91EGdhai+pInLLGUxFnuu6yhRZXsd9JrSTkgZ7GUTGyl/dQ7S
9ssHoiHj1irYTsMqyQA1Kh9jIvhmnnEcggnRIBXt+rztDDYec7gYOMZfobsbr/5IxpaADLgsJlfQ
n+gAgbteVDn35DFtnnPBYXybOmJS4ewNWbXV6CKqT/D9TUayTY1eWjL8wKSax9pbldmELvUkY/bM
IZr6cRwX91klXXqqPTd9SrwZhwY1ngx7Z8fFF561af8n88p5h/nD/czN2b37U1AbW49S5XaTZa5b
bMnksm5lbULkoihcqIxYq6w75iCOyGOQkhLK/aB5620r+x407FnrwB91CAOCTs7jHNj2c2rP1Xtr
RYRlswrqF33gMcDHVtwIoQAWNJXpPzYjgzhrsMsr282HY6RNGPkiJ0QWBJ9abSXbRtFsliKrH4Vv
lq8ZhWRoX/7Ubns3MTeqMqAqK3ngVZg3xKCmC1hCD9diHdRPhPenUI/UTOmqC9ULeNKjpVxGDNno
Y8DpZ/Rr2Vr+D1MDl2avCnQ4EECkA22aNDvUvLHbM0OGBdXF9AKQk2WDYISqzrK0vU2f3NIGp20Y
00L2nMuoeojpXLBzF3ygWXjTOTLZCfaCbaZcpTRPf/tJJmo4UEBHV1NNB/eKqbNz8xvojqtmVEUQ
pp6C+iYtJrXhUPuYvy2rJumjINQXdiBvFpzQNwbn401ze2KhgQHcrrLFTorGerGAMF6tRtqb1NcI
UNSpqUJRONlV9KiYm3r03U9J39tHOrnFCZbh8NhpJvUpYKgSssH+hOpiGAV/JtTLXVTKKWstPW14
x4hHyZPL4XqbOBDv9SSdrpCIFxqznWNwzHkhbnXWzdo6bsz4JzISD7e+bRhPccSgF3eAXj5lqWdu
Ji3iAh24s8N2isOAHjcuUlNpOZeOLop7G9f63SS2f1WaA6RNRWn7MZNXo7Mha7nLt7571oWmM8ap
RFbtUwn+ltS4eUrbwIWRhxknwbHH/JNaewrvwZtHv2A4zl94GJmVYd7m7jnocHoJMCRUoSmLa9zc
DcUbnzZ6Eyucq5zpKzFdhW5Fvyi0XhY4HiLKJYo3D9X2YFHJdNbNyjsmCfWtcVuKE2s7G5AI9B9h
g0ELA7q8dmOjaS+ulja3ye2844Tp+cEe5XCYraT/I3o73bl8bFv8k4uTupXT9NvNojLsij7kDkFm
WuJE3lc2XSZwdyDzA/19olvAOVJQSj9drvqfKmuJrcyuwikP6XKf2ZQqgQAu2y+j0UWyiXuvvnNF
YvoNxBnMkeXfIBAXvwj+eU+z2fEHFt+tiIf2PZZUEHT0GyF3pJ7QKMnVCZLxGj5Vo5C/2IFKnxzU
GDxrs0ELUFV29MPib3jsS0/c6aOnZWZmbYHy3du0f+lSPpaWV5wagy8yqBZexZjnHl1iuM5KV2X/
OTNWWzbkwSRaL8Q2whUMFJbk6p1aeMx2SZCZzVNEA91typHYEg43D9if3BviVnUodCO5CxMqvplP
znoYWq4aNgzkrjMSCKJjdC0H5UJFq+MrT7f2PRkQBvnrewKNdYPzaPriyuxfgOfPj4qWqxa3e5kD
XiT24a/NLFBnF9PsE1VhWMnJh6yzBLR8KuCRYJdiZ2R0eZCCCM4Kiw25W1N3n62R3ytwPR4e1cjQ
LniuV50mxu3A9RWFpmfCoaVlRDVUJj+9pCa3jkugXNnW1N2pVWPD5lGG1e337HLDBBkOdgm5EUWl
0Ac5ye4BdfVX3eEmXDVSONckNr3z6Nb2bWKcQazGJwCxFIdKrrvIN7iQvSMBiz2rarQIuP4SWaw3
edebf5oqopBD6Iv70KgFtbWM3QnEUPmiyrXDEeHUa171Bi2XNFIZcGRJmHDmhjniRkRtqfGtNa/o
qZLcvVFvklbWe5Kpfqh70G0JBvuEYC3HZjeNMeOlUpafpMfFGe2w3xQukLtBVOIEcZtWBrb7D91L
lvhbX/jaOteH4NhHDgdZL0O3suaeGwyVMeNJYPfbmWVr0Q+TJYx7G+ercTAKEyqU2iHSaGS1mZGA
oGaOcZaTwyIXeG1D+kokT06F5mMFxvicepP9U49q+k45tj63U99DhMinZf2PlvL4ICNWOFvT9Nnm
6Je4A7n0MCLlaDLTuMRKlbEYD73vocOAZWGjyWVyHjVd/y4sxy83YxPha8W253NJC+hKqz39xC9F
rzB7MFU7DaYh5ciYnYt+tUMncMGHOIvBmWRRod5aPzfRbZJga5oNez62bLmJKK6L1nUELCEkVTKf
+xQGDkdUM6ePC/8dDMgS822uvF+BnqXM8nQUv1U+4a0l/dtE2soAuX1pyjQhxiEtmp1geiF6luAx
6bVze6t9CCZ6kNZ5bsd7yjDrYF26tvFSDB06ilnlp2kgdrSSkaYdGLKXVLBgu+RfjDx0NFyk5gua
rVWsRgRRnFKV4/y0Q1pdGhTUG5sXZ5eC7XIVOWztB6mXRh565jy9M282Nx1oyud4uV0BeZq3fUyk
cW2jD27GlK6nKS10OhQG8ydfYODkegLyMHmXrG0Sk9HWwUVA7W9QnuZSN44TnasXpaN4WxieQzzQ
NaGaztz4vmvwZIEb0rLxRlHvowXxiNu1wBhedUcVVcUBML+2kblBG5Rqh99G49AEzHHiQtiQ9WtW
fuh5OlbDoTHX0cA/zZkjk5XRC/1dxwN5EXGSnyleoKdd6olPCGIQAKwc+Z70zXzrhqF6qPPWR0aH
AAANuDwUoJ9+FQ0G77jxu4eyx1YYwVPo1k06AkMuxvkXpZDJPjYC79DN9bjnvM6YmDS5s/0vb1Al
UQqfVfP7f/63r58StSYVskt/yb+DGA2eUixl/7k3aP/Vqa/q6z/4mv/jCsL74yCF6ISAwL5BDMMM
9g9XkP2XDeGKRZ5vARNO5/v8qyvIh6AGyYQIj0WyB0/NP11B3l/uAoiDVofdbfkv/+t//Jr+e/y7
/ocbR/y7v//dneN4/94+ZxjwI43A4bvo/4EVjeU8MfOcSops0PwrwMiRnq+5Kre092bvsSv7DwIP
GCiosiJC00YmiyqjXz1vh303mMEhI7P6RPyCQ9YAWP61Jvn7bo6Vd0EfsF9ShxV/hLpxUCV3ijrV
LOoh4ulQ8efeLRd5lqQNk6vWkPZPPs3Ms0TbywupavPZ9rKUedcy+lLLEIz0bvFsoqGF/jIiq5Zh
GZsR8fBlgCaXURoPC4HwZbxWLoO2TvOjVy6N2TnLym26jON8+o05zrTBhiwnZ5xlbOd6HAednJ3C
yixio4UfYQlwWu4kbh3TwmBVu1Qwl7SnvAgtKAYb9GWOCbLz2K0ZxfWGH4RwVgDUkX5Tqas/2Msk
0UoS7Tgt00UWneHC8N/eDsvccZC6PNfLLDJbppKtaQsCSsLYeMu4skC+PdACCLK3AIpMbOsS9V1x
cVk5GND3wYfR2VzjtWrAvm4CEjbb/FosE1Fn8YDIrlGrYpmXoo9hfEgzsuwF4CozoUBJzl4BZ0Q6
x87WTYKUzZ+qkg1UBtm1KWf1HP6wnOJXOcTju0oi8RxEffQbM+dMntKnuwsDhUECQSFKpQe4zXgm
UivRP0qgnRwRuHk3K3/2ps9MtSOFpZGdPlb+ED0wlp1OgcY1vmtGn0DlPPtpWDPoCFVXYD3gM0KY
mYgMan/Tz5TiDn35x1ATfGu8WOQrkaf2nairB6u04aVMTvtUgBkI7bbU1yKlG2GCTst+Vh/pabHO
EF5Ahi+zcKiHxGOX+TjX8PS11rU4JOJ+N92sOWVMz/9QpeasMIWZE6DJlp6mLFbQb8zsJ2EaDy84
OqOec7ug5PFkss2H/UjP1oJfMAwMHctc3/MaJlnLsJ9DpUFBmFBHIOretcSpWmv5y5RUHFjHRTAA
/lJ9dYuIoLgK7OMUYaFbJAYG5RtzER1qTUBbsxYpYlxECUKOCsiGOx1b5pYfidW5/iZfhAxvkTTi
psgPVT6On+UieIwRdWoJA7eQvJp/Gq1WhGkA8M11bulktFzTEU+Cvhi+oGW3r85E0Ve3iCzNIrfM
PbLOSlnRMlRFTTrbOPMZ5VmLTCMw/nKCteOTldDfOXtdc3Um1GKyNc1bFDhkEpJS7/dmaxJo1cuG
kC14NrZIla0jYlR48ksjXuesDlfTcqa9nJKan1cvl55C0xhf3TL1jj0lu6RYtPocebJFmszMa0qL
zbmpemNDN1d3FIPXGQy9Mgf6A5aJc57EBNujAv8Q5wLjt09e4DdmjvZsGh7VgCPdqwY0BOpBCBo2
LTl6wZGMidr4knakhXfggPRiXTn498KAyC5mm8xtV5GVOafWouUk7KvBOXNDJEQKcWAL04Z1sPZQ
l8PGrnx/XWVQIKXlDSnNB5p/kb7R0mWBK/gDvCMmOnQZcAO50+HpU3gAubAWBF5hKuClPHboXA8Y
rBZZdjEtYPnpb5M2VD8CiOdEGUNsftqdA/yhgj3xMdU+wj8LIgFkr8o8dFT8Pt6HqmwJEkSz/Bfo
i84lb43xnQDdXB0JEFgu8IxaHRgqOBXmKt8yGAyl2jejEZMDndN4733ilP4mKPzuUW96/2yRrGTR
HiN0UwxgBRcIarm24OhVT/hLh9/H0EX7cJMJnxpwRnKUyhAT3DiX5POeWpymox5day/cf0GETZO0
pk1sGgydhDZm3U5VSOGr0XTqp9Qd4N2MBIwoqYaP9K13y/m77103IU/pmPKpSXTt5HVzuaUWXHYb
r09o/8haSN96TM8WsmvefwB0YB5UUuearcZ+tLFACIV1tNfAzOjCiXC5FcSuYqiqA12FuXFUWeEe
DEOS9RSUKvzpNLd6o+JI7JjcK2JPNkY1ztZtcU8pSn3raeI9F4H9p1Va9+Wkwd2eJnJvM8UV3gro
kLvtyYofe8LMn8ofiNvaeHg+7X8hAMawFQ66G9O4mjKM3sXG4N2j3J/9x3iZga+UXRpkqr1u3KIy
8QuglcpdXgTSXrmecsc1+l72QhHydOJ6H7/qdora3hc2gigxgHE1ut34mzQJxZtLBGztohlskmR0
zlo+kEyTtkH0h+Cfc9C0guceldh/b5zCfaa5DKNw6aELULvNB7BO7Frt5igaiF7FxktPWf05L3El
MoLn6rGp3IqqMg/KH+KmXx4hmS/UFloHUG+SQBzromjffDeDwrgIpc068ih3wJdsFdSW6tQR5hVv
nGYVNNLAhOAHRC0uflpss/AF22y+VNrAEyMjo3hj3NGfWEONL92Q6o3iVmq/K3ARq8ibM9beCjfa
yP+amWU99R8BX38Tg8UMP8mDcec5jvYByWGiVdnXX5Ao2fTwL++itApe43nSXvQmKG5c22NuAxib
ictBzQDQGHUrstTjbxZdeaVX0yCwliXydRhsJcM5tepPLa+bA9ZxDCvMcqwnJwXahGKRa99VKxVk
OlfvIIgE+FXx0vocFYJeFl/EhOcGk8yAyk5ui1lmltZdu8vMUseg1/VPNUHE317CIPvNoJHV5s45
evfMypJ4640ER7sho2ZK5nX+GCQGxZKS3gOxtmNnPEXQ8RmkZcltlEmKEdRnbtZxx6AepvjmvQJl
ynyugUaJ36keJPu7bcx3blugCHKrLgFJtQYPSN5U9U3zlqyw2Wr6a5Mx1F7Pve09DMnsUg4QeV4M
M6oLeto7TfJ9eU94KYxwHlx1isX5eHrQShjwJNF75E5g/QJwiCuue/IaIyu/IuW7N7zDQVg0Ke97
1lXikS6K+TxPBJ9o7LDFvUcduY9+hLqMzcbcup1BLeIYp+UhhdX/kFE42a5tdjg+GY7y9lrWG1uj
Nnos8UPOWGfW6czzjIRBY9ZlV8yPEIkhiZhfM4G9V60NKDkzXKFf3G7iFcEFhetZn3iFGrtJ98YU
+195Wli/MP7zY8WUAr1SDT3y+kIOCYkjx7+4fVLHVvTBK52p9S6ZsRMLTZoX7JLZuVAOuXTNKeYd
HVXOnp22wZXkGiUVldnCIqgzETxEweSfJlsShZxNT2Zhigfpcyxy7rhFJaw/RROUvyPaJY5OpMXf
szSVWsdiDh7MybokoHoOeKDZ5v/r0vj/dGkkBmJ6C9z4P783Xr5A/n9VP//m4vh/v+4f4H/nL/g2
XAJtnRiVS0zkn3fHwPprya2B2bZ0Lm+6BY3+n+B/9y+iHnZAjajJ0R2zwr/eHZ2/jEAHEu+itzlL
Muv/5/JoLu0Czd8yJb7u4M3HuB2YAZ9TUiX/NlPC8cvUSTWWB5VaalN5XzHWUYJ+XXlJbMVBv+i5
UGjlC3kON3TYY3etPhVfE94WqueEsZqEvyM3ifuoGR8rejapN/JfYrvk2eaMNK361FsKNUiv5vZw
Gzqn5DxgcXZr+uKJziFaAIOu2/uJ/ZENYm0K4E4Cag5uwk3C3XElh+jWc/QAqbDcWlmjIX5x/KaM
oxvgTnolDeNIR18etV67AT+eqE1cSH4wn1lSqEkZZYlWxpgcY/G+1/xxO4qBSrDM3wIuZLZb0N4S
tiXNzXTwYXPqtLAOxhtNlnvewZ+ROdfYlMxvqAgTJoATHJZdE68xK6772kRwoLtNSyLYvAiT844L
2lPKa3ut07LeDnhSdpOXvkxIHsyeH3qHFxNcivWQUT2yTq38Akp0RyuKwRmwPVtOL7hSwxNKJ8b4
ppov0asIyMGIlhkZ9vmjbSTFRWnyFRtmWLRMY+1Q4Rpu14Zf/ZH2gtJzM6CLBjYcd1Wp7LkN4kPS
lKAnMBmGQ9OsdJs9Xpuzvab6G7a/ASKXmF76dHYOFkWclHZSg5TXG9X0vDReG++xzSVP6Aj3xBq+
l1UXY6xdbKdpMYMCVbg6FqUuBWkSDnngRVSsZTsfv/Aa2KxzMINZPZMYuFv5Qp0zLLsPye5wvisi
NjQhZLOTWhZfJ/cclM6LpWcS9KdLl1VHIJ/g9Zm0xTXJ8DPn7ltcqEuxCL2yn2wW2A6JTxyQxAle
xG9jDAaU8b4C9s5bJS7EGP7k1ZPeFg37QmDtHa+BJMOVYCONDVrNWl9cmG1A82Y0zRQ3me1FDfoD
I/Vhpbxq5fv+tm4VYqr+EpWvFGEjDCalFqIa8b2zQ4svvSOK+wI4jSY/BQoDkdQU2yqpxLr0R2PX
RpyrHePLxjRzmo3gT5EFZ4vkuq2XRy9qHy0JBwysXp2b9w73xMfQ6XwNeaWNjdj7FLjVtoq4pyDU
ehyzyk67zvQFPRrjLLdpYOCrgwT/q7Hb/iS7PJVroRz3seDAcmR8j7fV7vwvp2sTLo20umlG4BOZ
hdZacLV7y0h6DmvUnRQ0JfS2JANpo+iafxbeBHCBKMHBIsP9oXLkUkYD9WOC+eDgoVN/5ipCo7LJ
u1AQn3ONq9xTgnR2aoLU3RruOG6lYcQH1JTpXCIvP2PJmp79puyPmd6UL2WnxBY3W0fUuQm6LxkN
lNsSIL/YY+DQy203D5C7x5vRV9bFMeYeF25nfBhZ0W88ToRbzGbuqcVFdugwP1/B+iW/LdzLMDRK
1f00VIXChxh41RHaqbpvgvEBEr88FZHP/R+ngP7o+5N+H62hvRiRaTyUeZ28KN6scwvn+oGPivdg
cdd6KO2abp+mS7lulQ1uwcIsLgG/IGdKqW60pSHz/W2X+ccI8O8jP0tfVuV/XbWpLCCbyEiRXcB3
GU3+S8HK32LDeS692hJzfPDpj7s0dlcPh0wM4tJaVRX2kL25JnBIwW/ahwZ5bmz/KBkYieONLfsX
dxDalsMCZaRehl9agt8LSc/oWxRaWsLsNP6QzIqIHVCjBAxEz07M9i9e5JJOaYP5sVm6Je3IL86K
MskVn6QXzjlkVOh72YtpKEncCShFynnuOs5ffT+WV7ePfTJwMIuem3E0NdJeCvVeeDNGtaTif0x5
VRKApfQatatmiIZMgph97PDIJbCEIhvsipHAmG8HVDBnNqqFF+B/4JU5CuDNW+gA996jmymVzLUs
l7YKRRuA9Bgd61zF0pIJvxXbe1Uakp/KujeTXMq0nqLO89cNbWJMhZBsC+zPM0VXm9wgCUSP5QwA
MVNrIylPYraHU9TVD17K45+mytkOIt4uvRKEMTgPl7iLVy2251/J4IxHmmSgbcWQhOk/cS61ItHU
4gvYekme3ZsZz2cDuuZCS7O3C6KSj9Ls8amadQaQYwPRlK5oAdZUC849jbAviR6bD0CU20vuBPq9
Nlz9ES6XaazpeZQn3uvpgUBgeh51GZwNFw7nyh8T8ePF1WCvcGwkv8uirtZTF03/m70z2Y4bybLt
r+QPIBZggKEZPneHd3Q66RRJUZpg0SkRjaHvga+vDUZkpqTIiqiavFFNcmWuFL0DYHbt3nP2gY7N
kzItz4y7PD1ieY6YjBhfsEF0qNOpL5FijZeyipmJg267nSLSpNBoIbPBO/haYbZCfu1ZzVYtT7C3
PMvMM8fHwFH5I26g8VYa7D5lbw5bNOX2Nl5WhGke7JsS59u6r/LlPqjcT+6yhsTLajIv68q8rDDW
stbIZdVpl/WHFlX4GC9rEkIk/aBcIz7loc2SNbZ19rl25w6Uc+YdSnR8NxDYiHxtbfc1SeH3Mzcr
j7qtnHsmoiyMHv/6hgLEfrMdN9rRW2yZ98b2Pf9au+uqkHB7vFQQ7G3a3GAEGLbqQe0C1Jk9KhTF
WKDZup4iRUJIZ8kyiwnw2TCqtLO1gbht2mdWlPXn3EnctS4rYitnx2vmjfBG6e0ZtAeEYs9NWH4W
nlMz3JOqZJZHvFi7L0ICGE4i1UPCYxlbosZvaaWiBs3RhNHn9XLcDmCWVm6E348W11iFfjZL5Jwj
iSv6urbsbAltSYqdW7Vkp+LHvHXDUdKDcqDkeWbj1wldvAZQrFqbc5Dpu8rGLuprHLgGKEuFB5Sv
DK5mbzOsd72UBlrtEPbpdxnplETfzkSsOSybL3OaxnS0aY0uQceAkbjFjMo41bDiHhS6wor4GGRf
NIiYTpCf0dAtaEW+b6SrbxOnfWr7k40lE+aofusgZLqF76OvRKsFa2pUHAg1Kea6wyjXCCYoNWQi
bjDeYPmznGGl98nXkibAFtTcm5FzPsRcDDcRdU6AlORctDyjdlNfY+eaVpp3nAScdHouxHu0bAMm
qngUE/qO8f6F5JaHpHCwUqXuvREMwT7KHFCUZIH7XWU5N61NogFBa9k6jk3wmdoDbDb2vNgwTxr7
v6/P5Vva0PDiGoVI4EpzVUfDPdv502yU8bu0huhA37hHu1zMN4miwzcORftMa2faJEBi39F/cQ/C
dMXg2NStDlPQi53w/8553/8n5zxU2CbwlR824M1r+/qP3//2/JoxWNwVP40G//UXfwwHrd+EZ0ud
tBGPrqdn/xsZYP5mS9OCafH7Ic4EUPDHAc8g9I1RIhNAh0fatE3QJn8MBw3rNxfWBk080zJ4OQKY
fpkG/tV0kPPqD4WCYy0fTF/QBLTpKRM+CokfCgXhwLuT6TD4kNKwXZLKuEW7ItaGQV9By5Lxb9LL
fgUF/P5+vKGUkFmYfv58nExDE7NBighpthrU61b43s8cqqaB49sP1+A/FEGckv/83VgTyFvxLFM6
Uufn/ZGdwhQACgAtT58pq+KhlEiKGKYYBFCI8lYFYX/b0YHBENliW6tq7xuZiP09dGpFP8piAak0
WsP6hPSL2VwD4kR5Yf3ZSlFMrVATyrNth8ax00VzBRIgA/x+VEC4UF0GjSiqR06FZvFdCzpzZbvK
eMzcmphI02GsdtNatX4fp6IJqWFmRB6JY31v7ahgdEVY+dpt4D53oxZ9hy4NGDR3mO4E6XzvVQJB
VVtNmHgYP9HXbvtLYs/aTUVUYL/HqIxCWUWgnFedEwSfXXdpmYmI4RSOj5S1IXQnB1pZiHsFe3sN
3CtNUC123sA20lg1AwHGGfV7lmj10WnsgxNyPxh9h4LCyU/5ZD/mhP/BUUhMeHFYx25iIfN7gCyn
EQ2RbwVY5xZ5vpZFYGl1cUmQlO7ypVQZUeBAL4hWVVlX9IA1lPMRKGK9Q7kRgJhepYaXRijWoeTG
SiLp0kZ11KbmJfY4ZmajpTjKxnDRmbasqLTPbZ4kW7iDiGjhwJjGiD5a86gHMYSpUFzIwcZGoD0g
7ACJAxHMNsZo5zoolwD6HkRl9GuFTGcd1BxOdSN8zxPaHLJL+C9wvB19KPbUj94a5XMOGKthmmzx
5sLOMHi6+oW0a/JDi5pHhyBIUHe3WU7UJnad6xBwqxtN6nIw0nbxoF8KVW/c5RfF6e5tAiv61BpE
k+ij+Ca74GQoBwdUkpLxk+1QxboYvkPkcI2JzxY3cpEZ37ARbk2lV+sMuDiH4Hcdg4tP7+NF8j/A
fZ1NM3lXXnzKWlz+pULQ3AfVqo+qTyHkMk0SRzT1N1GgdkiVToT0xn7pTdx36EWhLQZVFZ4S0xr0
TQKZ7q5q5TkmED3vk5LmuoV8e0jxhaJy7IC7oV2ztwpz66omvw/fAXUHFivPRzqMUd5FQhPTh19B
UDiLKQrPZjBeGTl/HkNh+1IM9JWx/5IVoz0GZniCrIBtE58iAQhLrodTgDpfrFF2CONNFTu7Fi9K
9/gCgQsigbdLh5iGA6f8HCpIapuYQKBLQWjG5Kvz1jYnClyPbb9BgTUsUzvsSRO2PeRhKw2P4SrI
eFAVtsDHVmv6Ff6gR4TRI1V5dupzroOll1csFYX/sVb9H5Xn75Q3NkGCmEXZ3f77Lurjd3qo4a/6
m3//5R9kHuM3k/6pCdia10NrwpH4X2QehsqO5Qo2zYXDw570z23W+w2alOPREpCCVXCRAf1zm2UH
NiVZkfj+6I1L2/7fbLO84p82I2ka7HuOQduWTf+XjS9WbtyYCTSZRscLayTxPmtHQKyh7Laelg3f
E3di9EVJsO+KbFo7eBu3PV0TrJsQYrwiyXUfCIBO78wY5KWxh3ZrzEF+aInqIxVLjZy+Q/vWdEPn
oGEr2bZuIL/VIii27ETYrTkatVeOy3pzC+wbvGA9xvaLLY3ouUVLfFsV4Co2AGnjAIac7t5gnHEP
8TAQSzSG0kv32LiZStI0W3edhYwVkMZbEM81Sn73xlVD/2IjvIY1XbKC8HPEM6Y5bB9oF+Jtpc0g
fzLU5jj6i+QpzxwLZldlD4A7U2To+CrQ4K0h+Gd3CDQtVLmWUXLw1+jqdIEb57tRd+QT5NH+i6e7
M4ZKJ24PpZcEj8tpkmhrOkoQGjidnMk5x09CW9hGthGZ8R2suv65XrYt1LGxDr0N/2s/TGdjMvp9
bDTDW6Fn2VeGkDj0GyzHd61i+90Medqvp9SQ4GkH89SSKfAYKUd/0YocOioLDfLOqicWLAhzvzbD
8Js7USOQWzUuHzw1t6Xis3cRJI7CrfdFJ4qTnsa0wrnM+ZUFVB4IW+TwBtJU8CGRca105BY7pSfG
nci8AHG+M02boEjCFHGT2a5DFJU7YbsF42KjJv4GWVLfDEfSQHVfdGgxVuEQPXRjrK2GJOzpxFfo
bDJNYliOaSW8kh6YHAcc5dC3L12CN8gt8ZzRc/OpEpxNVHvAC5pio1Bz47+u7b2jZfFzySK6YUpa
3Riwbh4wqGQ0LsfqjoYUpoAMcoXWDuZd5CndT10cinaX6Tdc0eAgtKZCfab0r9U8z0dcWsiWzTy5
nRJu1LoYnCv+qnGrm2NzUIWI9lnuPlbkfg5eXXDWJJEciwSmcq8un0qzCLZh51qvsbEA/HTioThR
F1uMMFQwdfNZ18svWYT3FjkIHdqqp03eA3DOuza3fIcT+icoIft6TO5L2iMoII42ZBYHm6DK02HV
jZDbq67s9vQXaFfrQihnVeIJeeQ5cG4bI7MfPMV8Y69jbTymEeFmjaO7jxZiIbUpTMN0d/yjGEbV
uKBAY/RPnwTEnT0tAXnW+fkwk7Twc4TrxVSeJuVmVtjWc07U1xlFhrk36gpQPwjpgBH3EL/rPb6w
emByvZrGAKVEmoXLQ+l6j05ukHvRxiwUIYPmAduOPd3TsYsuVsVUwUkCLP2gg8P7klaA2ExtGD+M
rss5e5gWKrpn918W2Ps5jq3hOOk5UpLQxGtBt3PmlVByp31nPHhkve1d+NLeKihl/4jJVDzhGxj2
9jBOVy+NM7QEoqj3CK+sK/d3/B7ZvckYmnQTopImEb0aQUrcTTW6cLeDCGJNYlW5P+nYZ5jiZGaF
2zCpdlCC0FhDe452JdXtHX0x87HP6OoFtRSfVIaEoNYqwYdE3XwfYUrPKL4qw9frltiBTu/Cu3lI
DOZLIfDMIW5PLbOOt4RbmKsamOK5KZr2lCqiJQKo2QQfgQijZ+ye8zxj9JDWU4483Az0Gzsojb1X
0TySIINOBhIWqikpF7eFZhiPhOQsYZx2qvk8v87ZUW12gUyhP1hixAZW0nGLjiXdvKcwzXRz3UEn
fhvmYkY+BXXB0cukWteyWtude0yqiZaQmxRVC12nr0kGKxSNyqFqfIWS7EhqVLQfvPysJ3WL6luT
2qY0x2QVea2xH10juxCMOqwlDy42K2Jdav5jxTAgJ56ekTCUz2ZtxN4dcrnwVsG1f1Mw426B5ait
IeAJVJxbbkI7E3unlfpVzXD/+16OdKGgekVIPBcdCtdQhDaz6kphlUu6NWtRfoP1KZnXhewG38my
K5Vw4aeGVu9NbKaftaja2m73mSAFJjsqjw6GsnEaCA4Aieq/EXv2PYE079tgTlD/G7STCszEKRlv
sWZVO9lJEgKM+E5oFvL0wNYuhpY7e4RW+QGt1VEPa2mvCnvU/TbVppeJNL8FZRPWFxHA7NuEoVb6
tSU2c56SZeGM20z2jHGi8iXVJ3FIy5bEgDq+Jlo/pEfBkd6kr9SpDam/g7fSITdt28DqH4zeSm7H
Xiu3Li26cy3EjePKr91Y7q08Q2faYJ5rxqYjzWs0zm4hToYFT5gTBWe0lU0CCWIoj1y7wumSG2Ei
L1s1Ja5AmnUBPrFI5792hZXtKjM51oqB/5ohW4XlMNIJ0DJcfC005YcSSmz6mk0papzU7r6Yacnx
iEwixhlT25MGhI10nZta9VC1gL5pprop3XmXOqEfu5sswlO9FVmNdHIC64Q1w/zOUaKPfbZ4zmRW
2UYUM1qYrkvAST14+YZ9IBYN0r5J4PpYz2liv+VF0905djvcgRJnEJJzDnIGNjEiXydydcRtUbh3
fC38+aFkCmliWDHXgdcOxZqe2vgcBNE3qNDDF1yQpB20tzJyu61qquSVBbF6iG1sIFg8MxOqHTbr
nB4d0dAc+yCEz1/IriegyEnHY2ISXrjCjwxMcIBSTaTtQAtRyWsjVPA15I1XodGOPjEq9irLNGdb
m2X9VDh9vg/t1E9JZzzaddbdkwAdPiuZlTtCKuS7qTvEnfRWuUUGIpkCpnkW71MsH/sh95agjLIu
Xb48JF0Aw/k9e8Cw61LVn8lgn4+Cguw5nh11HMEhHytoLOiPK/1QZrJlQ3Lkae5zLBCuiN1DVPNb
4fie30Ql9b0bts2GFM5g22SMPTaZgQ82kjuMyk+gyohOlPHGkUO1Lpmqi0ZuOM4GnPPyqiO2jF7+
UDP+YoApC25FNdo+didOTgxdsnbINpatbWwxXTSzMo9FMVgHVU5yj9OpeJWsZ+vGoqSQTcYREszs
Flt1wQ4jFtmO617oTBinMKiGbVY2wW0+IL2Lp0BsyzRnzBrACIhNcQ777kaI6d0wGmJZerYpUkuo
9r91aeNbs5ywnVJqnT2wFluQxdVNO4dErs5Q7ZuBXcWrjf6xRfD8NFm0m8d4BExkjGc9xP9CQ73Z
kJydbBgXkfQEAYrTMri9ySq9rclSFq0xcX7hj/pTnDnzlTHB6AeJnmxRZeYnnTCLz/zebrmy8G2q
dVnGzraMlOXLUNf25KNGDGcd51L27OVBV+o3EVGbdzT9GcTjv77QI3RPGTB5dFLgXxBEKHnPE+ox
Ii6j+sQ5JLsg9pTfZ30M1xaO1DtzFAaRVVBUEIbL714UeLc2M15aAlH8yayr6kbqtjUggsxjZl9Z
e8uymR6qmYDipnLewo4QP2Si6Sa0ku6M7s/9Yllt6+dJjtmeiCtk3pOZlLcl8gAq/9gE3ZYx51+h
cZ9YPdA9oYnL6a8U3d6rHRhQ0pkegiRhRoHR7FjEToAGBNqROarpeTCb/G7MopfCdoJ7PSjVFyR6
1Z5wk5hDvLkza2rwCQMloxDb8LOaZMUJf9m5Rtibrsog9EvqJj/XWZw7z47p+Sj5mXDsgp/ZxW8M
a4mUnRnHXx7Lr2RVqKPB5IogpcY6ucg4sR2FXUeSaxxGl1BAqc46u/NFOY9vwZQuLXj2vcAVvDOm
+m2DUvw0IlvDe1092SjiP7sk7+AWtvVNR0FU18ikQ4RZqDIORobApadXyI6KBhZtHB53JBkECmuY
3UGAccxCoFIOb3E8dI+KgdcxgW7Cbd33B1MaxtEhe8kHpK+ToquC/YBfyNNR15VVmhyc9NvQ6963
EGfxIVlCqyhh0cQPaf02adF0k/Z22KysOIUnOBTaLsgG3Xfxn2LqGPj5rMG606SLajNS9f3QEXjC
jL1EUlst6CSDcbBglBCLhJag0VBOVJ62b52pvSXhKFqPYTxh0Ywb6oUkfVWGN/NVytTPmLq+cRgT
h15iJUwCjcBir62eNG0G4NDPTrkigcL4ArtU+5oR0r7FyFvu5bgoGkn0LBGwjRmHHlTS97WbQVTr
oY+6qmAk7Hlq65YTVAVvKGz4NFUfr8uG64XtRb1MRMNwZw32ovHEJxd0t6aGaR9LFSxVbJtL9B12
j3e8JnSfvNNI+Pc6YFg29jl6F0Y7lKf6EYe37mdO9r0axv0Qeo9u5/IyRh/fx2yJK8XwbA9iBPar
VVeH3izgFPItv1R60b/OvVH7Ho1eYjaEdyqmInjTqJkQtHR5t0bABPUZrJlP3pNza85pebJbK/vi
uEFHbSTlAVZ7tetMhLcr5nEaubwi1skEkmO9Ihx2PFV5zhJfxbC1hRkxJh9gmFLqE0ob1In7RmY9
g/agkaj208D56tma7SCcddVzSYm0NPK8czvM6QtOkniHtyPeIxgbX+08ytg7CJm6h2UAjMjK50uo
af1RyXm8aE1DIw5ID1EoHi7vQDnzYaZT8eBlKC1CXNw03obypWR/Y4lvzIMzWZlPGnp967YCuXHV
lrbfkS4BA6YqLq1sbQgkRV9/R3HTP2oQPZ1V01vNrS0L2x+6CZupgifANNkkaaoR77HKvaOFH5sE
EEZ69y5ht2T3mfEzC0e76IW7aEOkYXc7OrM41oEQW22ashdkU1Su2F7ucx73VdSmxTmoe3lO6xq9
0dyQuldEREtgXRHNvXLa8o7iOilXZlhM+zoRLDUVm+hDWDAPAIEm00NpZy5cibn+lJTUsIx1VbYn
wNvaeJxiTmR64ytGgvlk60REFSZJaFOjwmcrAe4Y1AEcLmLikwNZzBirmmE+ZpRnx6qah5eebJdH
jyr00glcWbDEzOdMjPHR643kGjodexF5nGc5SyaDqtTDU20lxm3e9GA5EWevMJDIg172Y7UC+yGK
NcBn+dpbWlSuPGXqryhJFYA5Zx4/W6p36LUkXkPjobV0Zqhe0d1oM34ks3A57VbgZ7aTo8pb9vHy
SzQG5XPvVNKfS4uDgYvmAHpxcWciQXmyHeUcXXwJK8yYEpKXyM6ymiixErKQkYIncf9iOC2yQD3B
1miNYlc3BkMIMSj7y2wEGkUDiJUWfuONpiRVZ5zQstU6i5iKKkjuk8YmyW9yX8uBDkiUaNj7xxja
DmdwvoexFhVBNoAW7cBldVX4jGGYLr0HAw3P3mg9A0xVmj2ZqV4dC9V0vZ9DQbhqFueLETwwE3Fl
k97paFXW0rMqSSOOYUjyrSlvNXv8FAdJegsykQ8rgOAu1rj4//NwdWk0vxWcEdnNWsZ/fzSel0nl
T//D/5h4XoiGmx6+w4to/zk5XP7l//T//GP2+TetXQcJk2H9ZWP3/+XfXrPX/B8oZP9xjt+KKwD2
Q7MIZpsfFbP/eqU/BLPmb57UmR0yrTSXOIB/mS098Rt1qYmUFl+ls6DI/93oZdTqsBhDBrQsRxdL
zsIfjV77N6Y8jFrpzAIR4l8Y/5tGr/ELgx3tPo5dPpnBJ0M7y6v9NHRsmqqxi3isd9GA3j6R2TUH
9uizKlBPBTX+vDl9Bz4O5MFTV0gZ0HIKDT4cJ4MpLsxV5+YNIDfcEcEQP/cFE5kfuuf/YTBq/DIX
XT6iu9hLmfjyizBK/vkjAgFiKKzCeudmCLjIsRI+nUBzNUUeRrXqFdvD2W5I7g0FFQ0pxn8zmf1v
PoBlEufAJUTb/PMHEMoo3cHi0BmEfABzRlZZGqmJfzHg4I+7uiPUELlQe+xQsq4Sg8/x17/BL934
j5/Appw2LIpj2v6/dOMbKybIJEurXd3hDWAK/0jj7xxX+e9xCz+ZcX9U4lnLC/1biAdvit8aDR5v
Q4AMSu5fvqo9B4QTT0W1y4u+2LdhC/q5LV+KKvO27NHonm0CPCu7MWlFE0FKyDL6s1FcZG7Qq0Ux
4puaGbw25ML6NSnp6GKZVS7PBeK4sT50OdacGq6Qr5VMqjDyO760ke7WcGp9pwwZ6HfivtKilPuP
H3Kq7C8k/hz0umEgGVfBMcwZZGoCRR2M9+h2QnoyWIunb34soH9trXEYz2Oj3g1zVn7Tp1f03i7i
7eA8u973PsoezNn5/NdXaBnO//zD8Ujorq4bzDQsy12u4A/CBGfO9TSMq3InzcD1YZF9SYJgAy2Y
ek6IeM2ZzAN92Xvbv37fD0H7z29sSROhhgv95WMZ+fmNMW86dEpcNMkQ8X1yEqnG3bndoxkQG+QL
GCuduV8z6ZU3iEXBczUMRB0XOKlHuBhJieG2c+m1SIdn6gNE4AWgIYpqmHaoZ0kzQLtJ2qeWC/9v
Prv4049GCoNLl5272kNu9sttraOwY94SpTuc5fmm0qS8AUmwmF0IrR06sCBOm+5arEBnpsrUtcZh
UOGxA3LF7NNG478sQNa4Ja3cdmwY1k3HuZqqcONMfBubGmw9mvPbX3/uP19ri+IT8wOpFYziPHaN
H691K2JNh/Wd7gatNnEdsShgF1e//9C1zYkBr7i3mIXF3z2f/+EHo12HW4sxl45S9ud37kQWDJ1X
pzvOIOW6X87VaP6azV9/v189FLYOBEAgkXZ1vhwLzs/vkqdlRp8tTXdw1fOdU1eKmjW6/vWbuNaf
13ULrwGWDxRFDBl/HTFi0CIpOunTXSHS98AJ6nRlN8zFw9xsADzxkHvawN7SL4d/Y1bHTKbvRmjN
F+pOX+YU1SQremvD6sGAtGSxRwBB9ylYu60CA0vhDUKGluSjZmvTVredsxinmglh5zL/R5nRg0vb
aubQ+ji5wG4UcqePrG/SYNS5nDD9IuafNZE0Tgh3cszXqY6fnr+3Kjqd04wMiNGEu6ogeO0/NEml
iL1t3mGKRPhrbYVonsfWbVaiHJJV0CbXbI6vMjEvWTkHR6I8ADmjfKhFh2Kji+jOevleGz2d7Frd
26ZF/F6HSAY6cjsx6KHm4GTHDWdwf+chDKu+TK/koZI9osKnai7nbZ96jxE3B1MtQEWOecljDstD
BE/EFO0LgClvPSyrN+lEzedyRFphaUByxjEXa4UIGopbYr0aNAbA3Tn0xlEqNOHoLj0+wZgwreib
yq95TYRz2GXioS8Giod4ZiOebQ3KXPJOPCtxXWHrwnzm84Zt+1AL9R2UDchDoiDCYejXPbY4LK8l
gwE2kA3AxJaJK55xOgsbK6i9tReZ7gbPT7DuLEIdWcsgH8v4alpcDlnZWHwbduB0aglAsLKTTMtP
ieE9VtDteAzrdqMCZLAUP8SWdL1FB5dLkzf1A9NeHZtjd0eBsQuc/Mo5rUa7WCI0cmjheWOIzmhi
sSTP01676YJpTt9zD468XfU3FROGOVPvCGy83dhMDQ0rvmgzZJLJ0y25frQ/897dCN05q4BmqFGx
B5DKjMymq/RNUHKfF8uWORXUV8rgraZevSNz4o7lyk5O+C4Nxj3oZuRzr0hzzTH7rYSVNZsxCN/B
WXITRKzWejy4Gy0q6Akh3sE1CoR6zq50etK7Dp3B2oal8akR6XZOoqtt6sU+mvSayZDDKDrlO1Ke
nuwEwdTHhaEyODcg3VGLs3l83LvTwG2jgzYmgI+s1TKKr26wEH1C82K6qbdrp/TqolddKe5wo+XR
+Lhx65nPHTAihWwEmTmzQYO7j8hcp1VE/sXvj0DGHWYY5gUaSgNKlOLTskryskcuVocSYQVdFMFw
xqnSjbiD4IfQFNV5XMquQE0r+ug0MJr0MZrSgXG5aVHGXj8+OB+XKqYDxJ1o7Gmex/cWdL8+Ix/z
tl2rs16XI4+aE5W3hedVIDi4dg4NIH+unINhj3ymDHtx3HrJOhn7UzEA206IetmOND1XGQuY1iwL
lsOkATLZhVtX/X6BM11eRFq9FCXPlT0m7wz7GUBWyfVjuYD2+96ObGNkRHirPAl5gwZVUruIt0ob
i1cN337VDfyIHAaoh2bqKapkCB/S2LtSJKe0cNVGVaxKLFTEuM/li2Ri/7E7kaBNvznkF4AFExyZ
bL5PehDci6TYZhRJ69ieLb9ucnLoR7FhPf2WpywmpuDOzSm6sDDFT9iYWPI0XrdnrVV2wQ+C/7h2
0mtLfbUsZ/B+WfJS+/yxKHWS5YWz3wvaQjbGzj4L+mP7KpUXzju48w0eFdtNrpMWo7f7sFj1XNyP
0wQkyX5peGr+su3YhXP++IbDpN6XR6KK5WXZChxbXNqSD/ZxDUrhneNMY16SYy1Sw8kNE4m4bblt
AO2TEyMzvzDqFx2VxknWiM3KMCUjg1ulhq//+0rnWiwmzGsei4k+gcUowGc1Ge4ad2phCPL8JjyZ
JKrP/JVraXvmr8ERPx7qdGJ513IuTszx9I0EHrkaad8eP1bieFwKMTskyiFGbsYejyRwdh+dtAS9
wF/YfBJ33DaLGM1tuABd3JXbuOiwgKgsPhcefClXQp7ymgUipaP7+9hXTMWHok/Aowo8wyDRniDx
iVQnYG9q4odc7jCEMRTIJWU6Kw32PS7VUHDT1R4LT1pyW2WLTM6FErUzPQqK5epiMX6JsSiuHKab
eJ+NfFeFvGBFp3L7sf7iQMQaD15ilyvDXGleUeyrBNjrssfVHm+Ay2WRJfIAObM62UR+rARmtTXx
nXC1lnKYbKN0meioWy1Ipyc9qoq9k/F0mxHFlT6q68e9krfZNXGj93zGhKEnWLRxe5GwwE+97DaB
x7qoWh4B5imKPputNvQYAdUsiUQWnrGVBKS46lDrb50eP53FgPQ8LNQuaSz1uSTGoKqiPaGcbHhT
W51ZJSuwtiBvrAE5YCMzm8zACGq8MXtgvwfoloUXgDmFclA0wzSgCGC+VZdzeI3ol+PrNKx42xtM
LFr0VDtiBig1YDdDcX4JwNTh7KqyN81T8ydSgMobZi3jJizbT1BMwx3nnJiupGG8IH+CGZtNORUx
oN+oM4KNac76PkyrrZw5JvVFuJQGZQ+vTUbOvdHRqSZeVaytAbKamqri4C4HOBVRJ1dzfTbBb24d
a0Qx7IXXTkvHTeLgvu9VYK7FMON9GfT5BuAztsGcxX455hVOqTYRDqIN23uzlXKIMK1k1TmGZr0Z
UaGC+kpRs4LoXzcAKWBLhBY1StVzQEPmm0/8YnjhviczBVvbM2s0qjzdM3ZpfeFYpL5XL6mXOSsP
BtmqN+2BsB4IvGRyNbvSIMonRt/J2ye8WMuLLWi1VTQv6UmG0W3rTh6RRX/FxTV8V22NIKdyA6gI
hLFxgHornUU8Pr11I8Uz3isWLQAOa8JNCBxmtLzmbqhXicpjRLc6okpIbmSWitheidjEko8+2GyY
XvShtaF4vteIiCAFmTJR77YhPS/fDbmmYXSr4dbEb8Zksh+eDH041nbqQrZksO552vfS5uZz4OP5
YjQgOXbaq2xZdZPKMA/tbF0IoRaMJHWUItCkcmBzjIm7ZlPHhravmK1vmjHjqV1OPjM0ETyiLEtx
F78bOAa3EXooJtKsNEUeTU9ma1XLFZ5pTbMDoWUI3odEK9bCcNNnZqvWjTXrL71gqdCM5oVcNUoq
VdVvIYxdlre882fbAetRUARHiLO2g6Ji0jnDwX7QYBN9rOOWpk6LwJdIIoQqhmx9UqbJNC1r/mo5
0UuP4s4xeUzxSBLuqhsXc3SB/+axWtcZ9y3ah1XFgXlnDcMV+RP97Ly/RC53TODBdYAvxaLJVrB8
zkXNbNB92DW2wbGQ3XrlUWZ3RnRVsnjRVUeNLPVLQ6gK3AW82xjHxuOHYyDGd0OAT3iPdOpUTsZX
DpDVVmdUdNPoon7qNPUF0so5bJ1dJSbvONQsamJI1G0CTdgnKAO9g9dSXS/L6dwCfFAdO17vElY+
SPcRNfG1nLITBcZ4D3mqpgo0gTVR12BSPSGstDk3khnSLhBLiIWfPDEQE4exoRUp3zWubXyiSXSP
ga38gudPJw53bv1FdJ1a3GEl2pTFA15QYPGbZikK6Mhy3GdkajWxZfHwmIG9WLU1t5tYmldwz/Gu
Y2AnCclkKkOdo6poPGtkW3Qr21sW6YzTSt+X1N4NwNlkoMYUc1/iQ2TigPByT7L3LtC75mB4iM61
6J2p/ktdsw81CLBCGtiortjR25FD2FLuVMu9GnKbnAMLyUFITcDhmvQSc9J8pDColZc9M5+KNFst
p5Z5pEGEvxCQWli/FBlbTw8e5y4seaSE1LnYeQsaqJuC40RncuXp6Xin7FY9VB1zOBCLvhai6x8d
UJUpJ3r/Y5erWyBdcY963rOAJIaux7i/5G1SwT08En3zFWRs9K2OSVqga4HE3OvkmtEDhHaNu8mb
guA1HRpepc7e9RmyZhbASkzZ9T7ufs6bfss44chh9Z0mBN8qXdDXDKM8wcScbbIJ2LmSUvu+NKqk
hX4LmGR/K5lFria17IGL3r4rRL9uqKFYFMLyUnsouqzWK6HHgq4SOrLRmGWMZqRiPijstUJ+gbUT
zVFZ3gBunn0L4Q1DN5d61eJyxJq4S+ueiEsLU4gWDcbGi9iGudvZ4nD8YtS2Lh97rzfynEZW8PjX
B3/5n9oL9BgFZAkH1KD9i8+FkbLTh8mkdqAsOYibNGxl275UJU3BRM/mLfoL7BM4xEDCpfM2ElnH
UlM+S5g8Vfmou3iTB+gz6DLja+fomg+z8FH14b0uiGE0M/J2RfpfzJ3Jct1ItmV/pX4Az9A309s3
7ElRFCcwShTRA+4OR/v1tcBKexYio0R7k7IaZFqGKUMXFxdwP37O3muTt5sOxDqKob/xK6PdELxL
AayTb++NzPczElan10xX6Zs/anTA2r+1SJlhNKQX/iapK74Yq4vRYDro9UtRGnAG0vhhOC8VNudr
j9rLQJ/4fgjrkE7edeFrbsTqXLcygmSzVIHpYv3gzIsjOYzJIrTG/3mLnImAw6AA7xVdgUWg/s+O
VA44ukp4U4jn4kwZBkN8arHiMEOl6EKL8Ji9L7z08XHf8LpZDJG/aFH/S1NskRkF4FYB1dLP/fMS
nDCUXgbNap8HLb50e04PLTysXepjQCwMCKFoKU38KJnzRbtqiar90Ht1Ob5HIdo3Fgx6SX9+NG+2
1WVFBOKL6fHKY1Hf5ISd3WWDjxhoFuK5M/N4G5tIb5olHaav+vtI2HsA3NbT35/upQP3oR3LLxBY
gRMGAY/3hz5wZ3dwHZuh2LvLIrA0DFzNKx20WHzUkgMEU+GLO/+5Z49vE1UOMj7azxTef359p9b4
d2lK7Vtmt9tSQl2XCf/LKpuHsSWmDvXOQLi0Kg9Z0leHv3/hf3mbmRNwAdgE3kdZf356xU11NA6W
vQwpxgoaOmuc2u0XT/i/3Fa6zLbneyF9z09jKnZT22NKBjrDylzc5JrjVz4+47G6aqPyx6Rhvf39
e31MxGYUQvPTi3hwgV8x91meun909GWtEsqSSu+TLG/BUdEwz/DAHVkSaOUM4UPK9rkSJt2zxTVV
jeW070dL4D2QhNf32etcPv79mj64H98viTkipkQedprAHx4u8m9VhuiGd6zInxvhTb//T/Fb5NR4
5Siv/v5xy5Txw8PsQXYPXLr+ITEKwYdGcGcTShvXRbuHxr6IQyNUU169bcBmrk2q5pXV+y/YC78J
EzSwGXxTGeKJPhsuCf171eGAhsEDBf33y1qmsp8uC54QXlSePEwqHweC4SimJEhaxE09fZqS4tmX
LDWdWbNl2vaxa+RFSpPsu6OF2LUNP5GRVrR08YNZaqQxRR23KoVtIz0l0iDwnavB0vDl8vyX3x48
DXBidilBdHB0WufWpsYh84pAjKTLt4ZOAPnQqQkQ9K11zWxpmToWxJ7g6ACc71aaxFFnOVubJqmT
cV0h2TYqbg2trGVs976xgfNSx7/fG/vzvVkmyegMHaw3pH5/uDcRXDjNwVDsSW1F1+rJZB2ggsVs
VtEXC6ReT5hLaB1U7gr4jPn+NWmtrpHJgz4J4RslhBNiZlfFSZidsfWw+W37pW6eC6rStkpmmHyo
clRIJxTv+FfrmbVc459raIARFpSU4/kMpc3lO/7jzaOXwTqvKDYpSslZiUJjQ08N/VSgnjrba1Yg
dS9CsCVbKw+I/CmznRrQBv39Vn5++AP8VDxeNpN7M3A/3Mkqnx3RB4nco2M4oXaha8OTkNW9/8UH
2Z+XUEaHkHgDJryBHXxcaZiCxBKqo9jHNV3BnLrHmop5JwNdv5Uz1k3QrTy8S3cZyG6zqgvFxXTR
BK0UQcgg0p82R/hsYN4UVJz3Co6A7/7KZjkz1hze6W+DLGA275S04YyYs8vf79a//WgM8BiAeoHp
4VT+MJqqObnaIPzEPiVwc2OX8HZVPYp11VJ1jtUot87QvS7npXdfZCfTt6kKv1ixPi+QAbII5omE
lbqftwmwom0gLEvsTbf57UQTwmkbkldX4nMdpq8+zf48wQoCB1M7c1+ChYE3/PmgOo2lQ9zqgvkl
TrlCwINdxpIz9JZ1ZCUeDVwK6iVgAq+Mm1xXKECbsSku/QX17prETYXWdFm6cj70HLxXBbEmaL04
2RsxwWK5M1z//Wf6vI9yxd4yKA58VvSPQgLET0EFzUbsA4NI8qYlFwJlbwEehfMTrWzMwWb5xdDy
Xwp+Po0nwgQ6zrL98U0qKR3QA9qEx+Y0NmXjuBzER/sib9wRAoWmn5rUFSfa7tjSnjpHDo3KpWdI
v93YVnZjbjJyjvdolNuNBgdKI9SxTrRWrB08060gKJXqkmO34+kn+LF005eeSG1xcLIZP+90sKxm
8GYO5TJ+ccGc3RacqNYVsT8Hdw7cfVK06TqLnW8lflo8KQz1sL0QqsDQYZcSHLp24yHae8uEEg//
7TjQJ3mfbTSla66Yuf1aTsJ+pvm40WRCET87BPuguyZxY555DP/+U/7rsuE7LgKehaqHZuPPp0+E
M0EJLstGMmlMZhVjTIvjy872XA3XVDTsgRxysa7/pG1ON9vjh64HxKdDZ5dAUNVwCiZ6RO9rfWWT
M5pNmaBn2gLd1tr+8T7adIUVofmp1Kli3H1FDNVX8+bPBSzYA6oL1Ey2aZveh/VeJS4jWBW0+zpg
MyZKFB1/sLwSboqJR0WQoMO5+uGGcbBBUV98sWcu9MEP+01ou4HnoHlB/0L69p83MgpHACtjTTRI
yRStsdV4YxX0+8NyMSrICGeb8LCKOGlx7CzekcJlhxwN+tgET3FuLGq56cyg2iQzjyl7FxMl9L8b
YnGeTas7FVPzBC87W7/PH2htWAZ9Pqg62zROccCLZRrg0WTPaUrChlp6fOPSzp1FdqsglRMCB7zZ
jC5Uv0SIkGK0mxbNS5VEb/xnMYkY5m8QFeW+DhHYFAHjxi8et8+VBSGSIeG7eIzZlf3lLv5jV+6Z
1dX5gMdTMqR4HxBU7jIStpgIERZqbGeNIjMp5iMJbKTwLJTEOHtkeIAAfRnDzCa8BKEibC8wBcpl
fZP+g5vDeoi1+FEz0d8kE7OIwKym/d+v/vO6F9o+FQXvPZkCn85IncbtA+Cg2Ruhu7di5ovLUlHg
+6HBSzeqJFrw75/4qXiGb8864HAoQ+bAxv7hqUotDGaq4CRIaxv2vtAo15fJ/fsspn3/eTuGQj3r
C0oORCPdMgbsNU5DBwrwVkkS2D3ELCukGl8tHh83yveL86hred8W1dDy5//4MQm6yXMDhjEOLXQE
WnENE2VEt0xZy+Wu/P1m/MvHLa84SiUHQKP9adspBMLZBBfg4C1PLXiCyaCgclueHc6OX1WQ4cdn
NWCNY0VB0YmQzeLk+OfXS1XPtFFl6T5NU+8ChpjLWqiCzehGO0ZNEZh72NjbbEFeOJShh8wDhmTh
w7tyGzf4PkD7vMl7MsGd7rr1w3ErfQ1VfujlduAd3dBdac/k8tX7aJh8so9qkF1ODhyjr5huzrre
YeWgGd8rBL+GcZvRDj/mXW3twOPKjUH+6CYPQ3HgDOMSEt9kwwbuMTx6J+2PYzzs6EjKrUqku8c2
6pzQcoDh7YrrdjLdNcc2Zx+gkF+5sEIufGlgFMqL5JocT3sHdr/flHjxNl3KH6S28dMSNFOtQXa3
E4XarirjfBPAVb6MoQPSNsSN0FFzY2FgTr2pi8o5IVD10IEVUb7xKwmhUbjZqctVP6C0ICduMGJn
7wQyPESgoS4MfDD0d++Fdq+TNLM3Bt3hc+gbxGmS1vUMgtzZ66DwvnjRnI+FemCHFGE2IlpWJZPz
+p8/dpQgfTdKdnkUFOHh/dzjlKhG6tZksk0ttRCpr4WU9T4WgwsRDPyZLZYfsCncTajgh6Psoa4P
MPRssjL9VZLvvguRHkLQGRCt8wBtJwPWX8gCCRZF1TuGCO566UrsQmc2HiZsZhfR8tdjf7nWqf3g
BahNhtFHSeJ1zrZTVX2w8zb8ouH0cfNC9scLxRtMHcNCY3541Fk5Lc+RRUiG/LxXsF9oEX3x9n5c
PN8/IkBhCHsPpPRHMBGnMI9GQBIiGMjFpulpv/aq55ixhHK2GrbZZOBM+/uS8bEo4ENZO0FG0WFf
lo0PK1RigF/3UxXsJA6nLcMvIoZmLAB9AhomdBjpGQ4xyg3oMZxnRftFW8v6WNsHJKBTINsU8PRT
6bj8+VThLSv7vGoCoh+FwVw+b/m1nXkDU4IPjD1ofJEO96x2D7Qdin3p+v23v9+CdwXcPw/C79dA
ixxaPzDjaBGI/3OV5rVRga0Mf5f7hbHpJ9mC3iNsFhxBC5i3zyLCqM32BTREfMWNdK+aEdVpre3w
3sBCsUn7QK3bwc3JH5jDJ7O1uZUSRyVe8l1VpOpuwE529FSwwAXT4EJK178IxCAf7QRVwoqYvGw/
RPrGCRKxSnuj/KL48my+wx/fkQLW9X3fccBGO+zNf37HKdO+K9lCdx1v1cXgKFgKIgH8iF/t9P4l
oi4tb0zC6y/alD9g8Bivo9mcN3irYcBTgm0cehFrBwPOISKeHHNVbvBem+2R6J43grHag9H7SMhC
KMJZ4twWNuRlobL+NBPPfCilr1AAzOHeH4OeqXa7hTqRo+bwJalwekbh0ywz9trAE2rPGxV7q4TQ
112hZHs18m/uBAxSIk2SO/IjDfwdQ3kzzYI46txhEepO3oD1eXbNEip92l/aWaAXIMfr3x+ZBej9
6XbShEdTGdAKBrn25+0UUQTghHMTEdOK3klnKLLqcOUkw31VAS12OtfazRq+YuaTZW7T8VrnnggP
RQixwcjoXkEbsWDy8ZrldZ+eZZGYL3LCeGfO0Xzmb/Ev+r7pmAi79YFGUgc9KfVBf/S/ZtCzZ055
5trUSPY83bo7acsaUZ+t1kQ6PxIK2u360XioaEhvill9Vdm4n1YrUDCcNmkbeSRb0S798w7kBGz5
tFO8ndWzeYdIhJ/tcWAIxoVDPOtCe9s1od7rYTR2jgHqeJplCjlBh4fJJRQ2B9MKYKypvmXJIu/I
eO2KufUKkAm5gX9R8GD6ibFRiOM2puIZmXSTAyQI8zUcGpDaqtuPOETRErj3Q+88uQbpc1MU3Mdp
9spZp1sJ5lPnShvBIUG0cZngE73R1JPbtCQHOOpLjuN1KjYVYRh7n97A3mXkt2MwyYMOtnI7RqXz
RQ/n354dJhcuTW/Wvk9F4TSS/DAuz05fem+4DcKb5V1R4LLWgwV97u+PavBp53L5iRwUanRyoQZ+
FDNXHb0qs9OssMipcGa20RPCsvQs5tpam3M17hwzzq9SX6dnO1QseIryyxq46WMvqeBJhADV2X/v
o/hiACUUz167s1D5jP4Ju26zkRPvNXmITwzmBli4/rwxIp5LLInxhjwwY0fZ/kYY9HxrN4j5iMEh
SK9pYKo7vAOCQ+FF3pr+Fp5IskuRxH8b+lLdMfCPN8SU9bcigwvt2ug0CteixeXPmNRgcV0i5oqO
TGRvNf6YQ1RMrBxz1F1Wfh1cKNwVoGxZlltRFLt2uRwmpuVSiPffPBDjm7ZnmzFSyLfYuIIcRrfm
LYQkfmWbzRKlUZvP5B+RVd5bjLPTtDEIg69oO/eJsZPcyFUaWIAp6AVRgfJCzF9s0P/ytPCQ0ItZ
9OjLLvnne9aCrCmqBFVsCIOONYT7p4TH5tSQoB14vBB/f14+fx5TRRTplFgc1Mm0+vPz/AJIO+Z5
b1dWAIV7wduAbC46ojkKD+nsyS/eButzYcmxDQgmJ15k6gHsyj8/MUTeJu0kcXfomJxtNqEMxRHv
Y7dnEFXPZnoel6ybpPV3oukU6V8sF34hnW1D/Og6IM9n7Q5BvB45OQMmZ6Mye35qs3EVogRL74Xk
q4AOVndVy3Lt1cvm7i2EgTkrb7y6eZmWZSSpYTVmS7Kmb5Uv6BfJzvZRheZE120SepMPTchmN/vh
ZdmnxY4pw5vEXL1ZWA9FUL7YKdduAPzZESA+n+lr2VurWyK2GvXQzjzrlsHK/761QptVawXu7wlF
mYMpGMG9hcgXjQhvU0RQ7T7lETw3aWmeB+3qfeMvu2lFVG4iqEuKjH2mq7oZ/zfv6mSzfsCgmH7W
M+tb0fOcz5JHvFCqPaCKZ+8pWHbbQsjHLCsMuNPsmaXigkQAR4+OC15oI2UKMMnxP39a8rwTqW7s
VLDwiBqUIRs8qRIneI7JeNl189Ruj26G9VJR86AOG6gH9DhzE2E1pdoMLy3JAL8r+cdIJ+Ghxf59
Waf8X8yECqIG6rEB/eWv0XzrvUpadZVZqIgI4GnYF/iahmflV/Cg543orXbbTQ1IbhmDaKwy7h0R
Afty9r/5hJ5CIVlC2l37yNvZX+CpIZF24K1JvCncg+mnZMkoo99f98jn9qE05RNwxm5AzZNDXHH/
08jRHNr5Od7frv9nSL//Dy2dFq8ui8T/ndR3+fKaTi//60a9vP5u0396OP/zr/4H1Wf/F1ATF97s
0pykzU9N9d9xmZymTEA1YWiHzOD/28Bp+/9F+ggWGs4QJn68ZXP7j4HTtv7LpEBDrO3TisfZ+D8C
4jJn/1DwUOKYzPko+TgDLlvqh2UKMWA0zhQou7HsUpeCBMqI1ar02jBy85EMIwvZTBKWa7TO5QUc
icE6hbXQx3DI8vvatbNrBYdFrnB8ua/w5qKHGWUl46gmsaEj1V2XPoLbjaFOGk342MdsdzbD081o
OCayx/JO4sH8xprvrXXa9deiNh9pKo8GwlEijT1RPSRzXb92ZH5ew3LKD7YrwpNP8X1UCXiaqgAf
uCJZdGzWYEvpRsmUOGJtT8CavKmF/KPr+Rya1gAAvAun26iLe5LUMhC4J1vJuxo6+XzXI452jn46
V/cC4F7PS6r6+8pqqug0uwO8KzRirr8KsVP3RzspsaVj/xCvhhF2LBsS0ePKqcxEX3SwGKJTH1No
b+m12uoWt4x4dYn2zvaM1Yr+0bCS6LWZ5/HnbA2NdbBVJCuEXw703nzg2JZFeLU2hs9x45qOTT2c
ZsPr33Qc6OZqTCv5zMSKxdu3q5Wj4vDWdidvP+T5MeW8ZJwE7765J/fT/4mu1IXE4TOMxPWuJBEv
qQ+CKR3JZvZ7EHIQWRnLxxaxp1AazAe3bbIfXekmr5001K/RbIOrKsimYNvCTd/GKTCoNUSg4YwK
iv0siQcGUJ6q9twV11prjygz0IJ9BNhBzAevL4Y1uKHkwimNqnieeTjuyC81GJubtXnCQVQAPy3J
PZ6TaMGigH5CWJEwd+4QMpaJTzahszAA3MK2wZ4OwckQeXJBM+lXV/G0QPgpkg0JM8RzZUl+H7Y6
WYFzKuhv8727MPbXOb2kdJ24Y/NictqFmNI5b1DJwu+ugmmxtsy2cJ5TEfi0sgAhBt3407HwiERJ
j0Vr9HDQL4daM591utEw88++ru6Ek2dMjFR64XmTd0t0bgRDpcwukyFr/W05zele6iD8pSo8FDhy
jPKpV6Rz40T1Rr3yswQEDhodOBPoENJiXeblCB8/Rdd9aqF07LFlSkbyZdJekH+ZEa5d34U5SuKs
seCCuXCsV8KJHkrXhd/iBnD5Rc/zHg2hB/G/b2nyhPiFHMTS1fxCcmuXfu/MJs3W2ZgGJSI0Pyeo
zTKG4WgGOgXC3s1OCH/XzOojGo8sAQPWp0/tkMFfIONSNzsAED0AD2rOaJMWA+BCM4ThsXML35Zr
lEPWdcuBEIagr/wfGGcVLWKYnQamqapzv3MGlcYVbd1U7Uj6TLsdYmby692+tSesIoPj7Ygzn2jD
4f+BiQSfD/qcYyf1eOXKIOkuY8JPOD5JxH/3JD+69V0agvRYTUFsDd81TxcGpwBi6C6mLdSsQQmZ
kDinCEYGUDp8ymmmH+C+eEdI5Im8J2MBEVRmYNf5PfSTuOjLpuXF9gRTOAw0JWCOFCGn2+TF73LQ
kdo6MWb3lShQym4SCEjw5eBtEvsbGoq4TQT3/QZC9puKchjGvgO0Js5FgS/5PS5cLMnhVqTcW7oy
NQQ+csV9Az/dgdIyom3qeuqnE5UKVGJayCVaDqlaxh+xSIAhrJcUc+lWWNLMwnJ3ZUHAuWcK5Btp
KGCceRkRuDOpyfYm9iri0NFiEI3OAhm0a9B1iDf4itXGeg9SL1KcX6iJixope62GHxglwssek933
Jsghrg3eMF11aM9PtXIYSighxi3rEGXZ2EbDwbc0uvtIRjexEaKtCpe09xy8xK03dhNu5tq+q/o6
pcOpPVDQxRIUj4oBY64oR+toySk7a47Ya89Q8sGqbed7pf1hZ6FCWM1L7HwHJJpsd7bICmcNGtox
6cu1g0A43yaZQQRxQpTF3py66EI02mBQ0DogzRsaDqlbi2tDN92L6YzjczZY7iMh5cXR7/p8hzk3
vmO3zMK9BJ6NKzwff0qdua8gd4eHQVXDrvfq+4hlaVwNjOrabdo39zlWYmT8iBhOUgIv2YcWuYBW
JZ1N1fbenkRW/A1MV3tn7eVRlu7Csid1ty39H9TK/KwdGLlzwXTljfZVt6qzxkX4E5mHXOvqOQgq
kn0bz7SHg2nTEy574HLk6zSHquqbLeeo4cprJYAZ2UDY3k0WX1ibifVbUOlfdHHuYGKoE0tckE07
UzOTsP5NlgOtm3is2LvqXrhH4Xb9GX03EYZNELreaoI2++wZhnvbg69h7FZE17Vi7k9WYIi8v1YX
c5S0xJV5Ds/GOIqTGIvkXFlVzrVMLFSeM3JIgb+EKBe/7TXXop+rITIfC6v14Y4OzXxnBzI9Zt6E
qiD2AyBV+W9OGuU3n5jL7RBXmb7i16t/IJnmDO9pY58T97xvbJe2eyNewb0A7OSEcUXlAh4XufPT
ZJVqjRU3S491Q8JWbXWKkJKm530LRmdjmZl/axIimq4qJDG3FjlM4r5uSwPwYaOebQv31zZxEUWv
Ytw2TL9JFyI+xm/1T3yc7nMbiv52LCPfOXppXTw1Q5Ik15OrS17G3K1/NkRM/oqdElxkOzbKOLWM
9hBVm3mU7/qkD8gan1ocS14ZnESoDWiNXsN/T6lHaDR/G4uZaQQBJO8mA8lCDGW6KmKNGS4HgeMN
zIpW/LjW42i0td5qTagsQi2v4liRSLkSHtpx0mX0m8exDqZxzz8zKerevEH3R8J5xcXgq+DkGZm4
LZqGQU6LBT7deHSxv5U1s49UVu05S2Nzb/qxfwKMxl/E8Kj8nlslOHvMhWw2EzcHoGfRc4V9yh9G
DbUgqKGqzXdicuYXGdW5u5WjM70w9Y1/aWaZ7rZt+zrhjXWXEC96X8WNZeCi4IdHGWfzr9drWRHa
wvAP2hrzivmOwjTdjBm0M8BgYcJkoStnHlYjTvYI7prnqOgQrXlOPexGg0PqKi4IudOeZFjcaD9Z
Z5OqX4oJbIALgePF6boWhr7CeIU1Lz4DRbI8VBxecQy4pG3Cmjmtc3Lovuswkb9ms5ETw9YAlEbq
9QaWo8YnHXsaL1Qr6ocmQidB16kh4igkln09iKw91nLm9GW7SXPDqj9tFM3z+UCx05A/Z8bJNyJf
l3VnYJls7QjReBVZ1Uqh/2PKDxe7WjvjJJ/DLGerIfd9vlaVhOwvurF70brxttjiSQmqZFFcO5A/
3FUwVFaxTicX+pBVBuOlVlbnrlsgnN+SWUcPkRRFyCE+mq+yKTUPdTPW/WbEcvsEWKVP7/G7Rzck
1DnllgUmfNXUlnpFBvAEhpGd+aZOJu+Ukv1CLltFK9RpHEPDYUpJbU64Zwczi/o9Qn0GuJ6lgtts
zo1gFdaDfe+z62yEn3SP6ayh/GHwvRmmhLot9WR7S2CF1+9MeGEtJYlhkpWjex/HZZ/4970fZdd5
PzODAwc2XS/DrF9VMjp3UrBQM4EloA/bggd1v/eMV1a8fMf+7O8Iw81/BxMBSpRC3rdoJFlmB+HT
vzO7wX9u5hwFAv5xIP3SxgA4TDo6QZULfhQ4AG8qUxk/m7DK74F5quxst7o61/0UvKFyywQ2zhZ8
MX3f6pX0AP04D+N0KOeyPweMZrONG6Rk15iA+GpSxhSw66xmFTpIWfmHSebGNz+Zyh4Ip2j3Jlwx
GKUIQ4IpM8219ISztaZOdevaLsuTiXwnRYPZT9/nMNbbBpkNUPUpkGCtq4xBAz7wC90UuFWNJFPb
oU6yM3G/JnC/7mk0CYSMkyYj0nfquBBbPseNuRymfHHC0gIXXQlWHjdBgj4EGPQmOltgLQfcwSxe
BIKlj1g8w5WrMMHwFBI03UZvDTT01nfUcUygHErwIjtQXeOe8C3kXFAxfxM/1V67jEeorCIY3pCp
7ZWh3X1T6XQ/UCK4G3vs8VDhDr0Zay89ylzQpwUocgBiXpwl3LBfQ6HFLaK0OISvR2lEFknz4LL3
7fxwaA9DGSXPlDMY9aL0LqtZmtuOC51mMqkHWeSroG/is/Cgx5GxNyPC7tqLjsE5BQhDnyEbfnF6
0EcLrzQJm0FVELA+6NdC1qS75ENJJHOehs90/Ii6g/KuTwMPCO2XSZ2VtDXFYpGforYAqBfK11ng
XlmVbrxsp5zGRFrHR39S6jQZ9rznCJSAw0851WaTY15GGbrpFA3SWhIMjTG+t3fEatEerkyCJsFH
4MWXhQbbmYrjZAjJrNlT5jUktWRdGrlPklP8wGN/65NsD/H20ZkH98YNChyFhPGuraIAH2kN6Aen
FmtTkeC8lbj9L1NC0It1PnUllrAx/W4SLbbm9OkzuKklGDg9vmSiGG/82UZdZBJkfznh9MM9Ajq1
YdTpgMVoXZY3AA0/MPZcF6JV10Xl0iNo9QHfi6ICBNrIOc3pnqk643WNpuCpnZr+p5jbyyot5bkt
82ojLYC2LDFOgmg1Nn8mlBtEM47Njiyy8JJCbz7jF2yvcqDd91XKZztYSzYJR+WdLDG88oga3rGa
K/sKYufwoANq86ktNPbx0gB6GIfeSVs26LSqI1N6ctqfYZ0lRIMF49mL4uE+TrySc442dwPZhPD+
fZdRkOV/D2sJ9rEWSdJvmHHP5pZq5KbkaZSYx3AurxpI3VtpSK9HGtHVGlNpoNnCLbInfU5tnIYN
RzxrmtQVUQBd/xaUsQ4eUOCFIwOhuuZkom104+wmr8o2BoeuYDUe0EHVz2OiaE90jl3Gq8DIRXJT
5cJ8jLO+ofwuqpsmd+xnOzX8a2LtrNcWA6fF7KGs8pXgdzh2nG52PnMBcwVCL3ssJGiulRGCJblH
iVgzsUtkuBWJrwUCNzk/9Sk0/4AO0HHsWoDk+ejU6N9K2z8sDZKXxDOsbQ+lsMDHOvpIiHG0kEFb
a+PeQoyy0gNCB/YXcZ+WgX6xy4wFoLWqg+1lzypv0rMDP6Delh2CGHOgz8K5roRQHTfegwwmfWjr
2bEvk3GyWngtKleARu052BPR6DCjG40coiig9PAxl5lt7gW7Jm61uFxKxuRiGHDKDyrnRuiIvmnc
mjPN8T4y34Q5dlfh7MbfzbEKglU6OQz3iJvMsbZnCgprVDe7MJdo4pGElCcjyJ3qYYj1fF9r7A0X
1QjGgGb3iDN7Tqdqmw3GADFx4iV3gh9RBRoLdZBr7ZFqOkDv58wcUH96ZPU2rQL2yo61G4bMI4mi
HfBfE8cgwji8MPy5JSo4d1Zph2GZVy5TVyz5vnuWXZVfW7Hj/irzLvxOZ8Yk/ahtqKSFh9m+FFe4
aOUvVyUJL1OUOBejXLLCo7TEfiaM+CBDEoFoP6hCrawZJwtSlkp5VHw0DFaOsCFT+WLwAA5mYrgk
E71djoVdQj+ilC3DTuI34Hq3NQxJIRIAb07bBOa5TDsSjzN35HVvCRvyVrFZaefQchJjQBlMIZnF
Ac4CVXg6WLtKdE9OLJdSuW3IQM3asnzAZVdDjKNjeY31lsDNrFIs7mnFg7liny78k/Qq94VZGrOu
Lk3GdQH/gQqHLYqMWAMSaFqNpyES/k9yCcR3v7LCJ1S2NQYGlRo38CGdCdKzG7bwZtoJOY+mhCX/
WZHr2pdQEERRruOpazne1eQbrEWuRbiC/pA8u3LC6wqf9QrzRkjufV2Fxk4HHcT2jCRakpxiA2FR
WZx9t8TXnlHzPOWt0aq95XfyjLTRuakYUh/KSoOIzLVT3tVGKQ9D7Ej6+IyNAatEiS75SfwaJ7CV
oKaRFS9J5RSu2PZVo+Q+tiujT1aDjitxJNcxhn9dWfkeNiaKrhhWx4/e54DFNwnbx24KOrX2Mbfz
rQN/JtG50LNAsTzRQMPaH790ZWo9hGRD9ltXhz51AtPNs9/2BIglXp+/2OT30bfIsD3upsQyYRH3
EBROUdDN3/O649DF4+lj3UzGwLPQsY/JUwaGal/Vtn+iIRJkuzp06j3d2vK1lpV9WeO5JAmm6BxG
622g/OusS/Qj2bP5dzmYeO9x8ZJ8Msxhg4uVkQ6xKC5iW4zKc33S8KhrpqMhGIGuB4BbZYrT/Giz
/Eyk0/yMp0HTB7FtaV+wTmSoLEyyWFYtzHPrSNaHqvcYfXvnPFR9hwgkH4NfyuvUt9K3iXMtmOlV
q8KmpbfKdEASPWPnZMVZwMAczfwvXzWN5SQvJLgE59FW9EqzKA+v8jETKFZZP1mw84SwZYb6yISK
2k0wjdZ6DtZlbdGw8dMF+tNnvbjKq3IcaNIW4w8ftcRmDmT3gzdJ2RfKNLs9Due2uxCmTdjyYKAS
2hhOm7zG6F3S3Wh3OcVeXBOAxrbEujLWI8jQ3Ond0xw1aLKYqkt/TcC0B8vIj4a96xdia9gt3ple
mNPFVBtdtpwijQRF7kjC5lw2Zb6104xROBRwsQ+pjBRHpqjdSPIaum3PvOsSzQSUaWgH81aauTmg
o6xGFlQzgoHBqur0ENrHndEMZncxDV4t15DEyMQtJ0EfLVPEyJCL6rMOzGkUXpGLTnVfsrNxBPOn
GhFj3nA4d0oyv5owAeuO8odm0dRwwYkxAmRvO8ahTIGtt74wwjsVkvqZeTljbtdo9Ag1PdfgPtJS
lHiDhKq3LctmsvK1NG4Tjhrho53N0zbx+4wDTK4lm4vVI/JqMba9gbufnksKMm+bZ3Z2RxfXXYRQ
nsRPHGR3RRlOhyBkgLBLizF4FIBazvPUJ49L7ne7qkORk0xdPglAiADEgqA45mwiW7iGGvEP6e+b
bozrFwY6xis8lukhL6PO2KTNiDpoST2Cl81WqFZjWFZXnCHH8CCHpZcN+usXxZz6aeZh9b/ZO48d
OZJs236REy7MXEzuILRILZk5caQgXWs3c/H1b3mwulHdwH1ATy7eA+6kUIVikszICHM7Z6+99zOp
61RyUxXabRnW4pOBM9dfg6LwHdF27Kwc1yXQI87FL8sgzp6thbMbWSicWekAKtLKftdRGKE2Bj4I
i0SFYT44vHEf+maoH8J55BOQ0hcMQRrZj6BOnNm0P/RPGV6fkbh4ImqoLPaj3Tx4Ol7jsmYTZdWd
S4qjgKE4+Lx9yaOqtMPeMomH9IZlQzbhh7D0fFXDg7mHbpQO8kzc+0BJmW0d+yl+jAHR1mwSpw+T
zmLHgCmoTSI//GbOhy8EmYZJoLF/cicboVSzNHYfM0YTIK3Mr5fUhOipJdniibtoRE1JEHvG2kSK
Mri2Nc0r1GH1G5Mhd1GnZQ+w9ika+WWDYmTQhaTPl+7Isr9RSbOe7ZGYv4KDnhtl6xb7/1np9e9h
uv+1/1UtLZ/dJVP3q/orY/dPqu4///P/jchdYcHk/9/12fij/ejivv34uzj719f9Jc6aPwLTDkz4
EzyD/yLO2tSVgoyYFkYwSotN/qy/etRs+wdMJckDPpBp4KGg/lOdpckUxBXjHwmItutYvviP4nXN
f+cbBZ4DAYkO3oh918Jh8q8Qic1QM/a2McKI1bY+uGgk4Eud23MAit/RcmNd9+TOO5sxWJbJfkR3
9Mri8XUODM8gTYaaZbqdOLt/FpMIghutzOVXlJ395TSIw5tkdlhwCZMlkxeO1orGzJYVpJHm9b1s
k+TVEDKJWHOIobpv7DLHWQUml60rUQ4MoyTB2BuRD20L+1aTJ9GzjclWAI1hsgoKskBWgU0IOLUL
BKzTjFMSmNJH1m8LB9c2HRG7102mgmODfPJgZ7Fhk9k/a9SIeBAk/CRWk90ObT1cmU1eYNHPF+8w
usQJcUf6m1ZWOrwJCy4OHJ9kMj34mf2Tk3qyyNjkCr9qPKLO10PI1ghKjYCeeSRY/EoQCYrfnOjT
gosOwxN0MuUe1Kam8ZPwjcLdtW0PAj7Z9DuvB/qC0tsORR+FAdXFbahhMkxn4gDrfJ0fDD8aslM7
1syNFBbw9Fkkd9wbmMwpvUp9cW/3eIPWtSlQ/qREQUx9ri11ZN+ylKqurNaP70crqt86y/iSbU9v
dTdmldpw/ZZbHsZdzwyJsSwQefLK7+buIh21d1gy/epIfOFimi5ziFLsxOIhm7jEXS/ibLh2cyUC
sEsyHo7lkj25GyqXm0kIGD9fC0xuxinyrNpdm8NMNlkrg/SVWpBBkb4Thfo6bJe8TJkknb3xB1ve
leNoDevED8ky8U3WSysd5BRXVZrCKNkHolh3E0AAIT9ZXJ9pWkoYDFyHWHK69ODZR7/vN5ZT2dU2
mm3+HW1kmladEyfhbsoynR/NqeqmbVzgsmcDUrvEcUX1+NTFsUFD3+iIz9oNm2cckaQURm37XXWh
NZ5412ETNAtMNFvd9jzXiUIMVnFrqmOUL8JwM3tziw/dJ83EYLlzAs12PusAsOkQW4qtf8yCTG+a
wOYnNrVRdXKGniyupG6zqx4J8L5NvDuEG/e5w9BRrvuwMY4RyUEnfxg8VkxWUbMSSK0HQ8Xd+0yL
wTmQ2UFXNo9YNGDfflzy+uNVRTue/ZS0EbKzZWY8T8iBmB5pZ5i/C5KJr7U022Gdqyq2bglx9poV
PlCSfuxyrvVhNqPiOuB23x9G9kzNxkx18cYqpLkNUs9sNm1QT/UmJGW2gjlyxFMzxQRVmnZBdblv
+A7xb1kprxjNY5xi0cTNJp2MyDorhzNh1UWFuG5rlsYbNncTWmhaJO99UNnjlkYE3u1WBHBh1Ywx
mwr4YiV8M3wx5jzcz1ju1sUIq5zXhqJXLE52Een4r0jJZGzyyPT2VtMWb0jbfG7qoOtvowoSUIii
OpOLrJ+6yE255k3sT5I8GE+JEM5dGyz9EYQwpAeFC2pbJhbJP6mp7eLAOCaeycTvzt00RO8yg2DD
YNbn4X02JiTXeNhkwj0O32HHli/+HGuDXT4bPFtjNLNozOPa+ZTgF4EB9zAji7yktjxGj16JkKqz
71rG7ckhooTyptGfXxSNLF8N1PnCvzpjtI954gDgZh66fj4wLelouCGezjiGwoYn1lGVD4/1kMDr
AamMYhPnJeIJhsXGOrl2WJ+0W+cLCuxYjHa48umddbiLr2euueZamk33qtPJuy01MlDgJca7FWHV
fvaZJM3NMPJBoRUhICvUqOTSg8Qz7aswJmeVc+jvZTvw9oxfZwKJP3tFkQZlB+kW5q3dQc1zYe3w
33CEF1QxMzyYBNIkzcEVSxFHBwXMsZ9F/amZpgC5Y1SOIE23nrdaNOFDMRnmUzQxFK3YBHqs06SV
DNtcpOm9qUIKmZVJ7iZeWykMssPs9IMc2kofosRU2bVwwnntRxw569Ryii0bKNOll6tVd2GSRU+W
zzG30dFo9ZwXCbSiJREoVoEsWSMTUDMQ1ENHBOeVRcNnxyufLL0O7j1JF8YS+VoW5NCqsq4xWmr+
IraM64ekoUlyzdlQxeu4TtyFYeAGcUx8W6AoFolLTw8267XlJeM5o3gQy5CYjSPerOg4jlVNeBL3
g+5g03gf7noQwUOZp8m3OwbNa8kseG/oPilWY5PMX9w583aFhET/38iuptrwR/RUw6h0xvYosuzQ
Sa73qySh9QxyYLbFyveXF6EkbMtkfkrvumyeuCC0jvPB/XYJxCzLGkuR311XZj0A+GQjzITIOFoD
BVK2Yu1V3Iwk9z84DPIvw1QFuEyjwNkRgjo/pIXp48X0FSRyFszTE5tMv92QW8bjCGdAUx9GV/m/
vEFMB1ax1k04xAyHlUF636qii6lZlQNu1o2vCeay4EvCWzGlKCBCwfjfTb6r9coYPFLunDZ4cxdo
JrWp9L5wNB5EjVrQGutC2YQLcEMqRbShxBwIh7TlFSvfz3QBdJIF1bEv1A7wEQRPhO34tV+wnq7W
IVo/qM/iIIvXVYP51xyHbMUZExF6CyM00RK1Jiw8pRlp4Z/1yMxmNKV3shrPtPd6IY4IR4o3eZ62
qIERQFKzsEnqgikhWJIh0kD3j144nwzcJS2BqbBN4oI5xQvx5C7sk1vF82EsTEXoLOI/eZqDg1Fi
IabIbGAhACGIrSCOhjO5WsBVJuVv2/KCXJHz5t3ohcPSC5ElBjd+i7vpybjgWvYF3aLAvNolC89V
XNAuPPxMrS1nUcvNa7b1UZS9+4l2DJpglbltnDSomLUwY/ZCjwl7LujKSawn2qTrd2nFXXXjpI3+
DSgJfBaRWVXcgtMDpcUXQE3ac7ZGR6uLLWgdCFslsvEzsuHaBlEm+qUKh5LUssqqvhsM1O39cAHi
bFoiqby5gHJJQPv5KooCFrtiYekctsYN15sFsQsvuJ3BdW6iB3jB8MrS0Y/NBc6D9S0ehwuyV13w
PQeQT4PEVyfJPhppFnPl/eQ5JXZ6kv6puktwai44YDy2ALkXRvCCC3oiBh1cNhdIWb7b3yVzGx8L
P/JPZWokhzAYnFtTiBjvIkV9234cFUXaFEQBBEY8y7mDfLcLxShLL94qYhlxEbGQ4+D1XwyjBH4c
JhSDo0+UW/kxXQBJDtrgaSKP8lvpxqlXkWhL4pa75kWNOajaBbV0sim/6uzKox+9iaxX2xTWi8td
7abrZbQP8iVIEns9c6W8zJjmMm6OU11TNp/V4osHZL7hkcVkaviG89qH3YfNvonWK50zv0Z2Vv+G
XGperct8yxKYWVeGiguHkUzlSxOp6Gm4zMWUP8QoPKZ8HP4MzvUyRKMkNevgMln3oijZozBuW8zd
I3fyD2uc3bViJk+X4dwg6IFVz2VmR0hmfjcvs3x2meuLvFTpTXKZ94PL7G9c9gD2ZSfARqDARnTZ
FZiXvUGyrBA6mgfGs1oWC91lx5As64bksnmwBY/yGPLyoZ266IH3/nyY9Wyz64cGVZtyVuou8QmF
CjqnPpuUMu3sZdmRsPXAd8b+owZx4t7op/LYpd0UvxZNHaOQ2XUIM1K33Ahnx7Sua6dRd2IY2YbQ
sATal7DXj8eTWQTV1jHJtNKdfs/UkDQ7RatSyGbFo3WJwit504xB/4Ajdt5HiGg/CVX3j+yi22zt
uGVWHRIjMNwNklmSbE03BhEV2ILf4t5VxomNfQmHTnDd84C5h4RHGH9nXWBj/jJzH6d0yIP2JhLL
cFZ5XVbx9A6o+qFMN99VLCL5Ecr5zWHD8m7zt3A3OPVNfJK83vVGOCjQAmfdO3aGHn3fysRtEjvm
ExdcTth01lzWVRufQpznv4qwmXYQ6/mxtcI5OWj6Pa8ZGvzwhHJrf6ZV7eC9Y5zZcMlgvxljbFlM
iZBYbGTDemWXQhBYY4dbXESkINEnNRNJkTlZuuXDbDXseTP9ycfXveqyvMdZaJk83bUoo0OIakrN
YpzvBrPxSEOEd7u1TS5D27AxE+vUUSro7piITapQEyNlqmK8cTHwJfM+gC19lz0PMHJXFPMra1hB
L5fKAQxCWiim5zbsLHEwegdJIunK+Fs3rTzqWFlvxUiYE3H/7SGrOeZn22mJW5hczpqsB9AqyR0r
JMnSBGQypq8nWgQIibfd7l0YTXgbeWBirtXGAIY+bFeEqT7bUcjk3s/ETnanprJDYluD0KVyMSL1
mW0pi3E1RCkXSvC7JX26HG/92g+gXPsk+E5wTT6y/n2OF5qYAi03INEavI8CAW9HFiGcWmb6pwnx
F+6lKY81O+k7T7NtrlE2W7R+mefbKVHdQxsOFgsv5S20QtJ9pT177l1gB317IG5oAQjj/rvuZ307
It1ZfG8mwp+sInQZG4rzQ/Tki+b8HH4LYjAeNMQHN/vEvRIqdu9RLAWEYzhcgyCdIy+Q/SqnX32C
/tGHTLhfHdrBXeZGpCHY5XAeYqYk2qVJmyYxdNCu8woV/s3bjYijguW2cpNvwtSKI+l2xSZPfF7v
lBvyaJGLWhg1rRAkJOW6qu9o7uYB2rfRO3eKAtElmdxHkX2YONCw74SL4FQ6m2RCi7dEJY8ZpWGP
BA+b+9bXJLMG8Qbzl7O3ktKjxtOwDiEN3Uenzg5zSffiylVZuqnHutylRes8tpY1gTj55ifkZ3nG
pjd8qLYmkzjMimIX9JM5khBeudGWQ3L4mul0JMYqs5p1F0r/1GcNl66GrWNOtKnRfMjM9SdSdht5
NSmH5vWRO31GY/s+TevhAFLNuK/r7G7wnenGlVClKznk09Uwam6F/tDPv6a0A4fIuEGCexT+0yRd
92paTDhuR4V4POY+IFNG3x03+V+5QfdT2yNe8zD52QSdYg9M9/F153KI9m6Kj6t2pAz3RRVEh96a
9k3uZ/uyj8kTcGqWH5lb989cd2l/zidqScbLzDHW0Qancfbbd+IAhzF44ECv8psFB/5ACZAizBjM
ad3AvLM0NxVGKMlxyeZmL6v8ONgRWVK55d4qrHV8Q6NvrAn/KrnsGAVyvarCdeT1EriX+VR5ovk5
tCYw+wRlTEqVfMgD0R8aGM/7HMZlNZpx4cMpZD+b3DF/olrWtD637c3gDNaWrT8Nr3JZn3XDpi4h
4LnRyLu4WcgjL0lIQ7NXjTOpgzN6Nz7XvDX4sjhPBBPupB3MGxt2aVsCOzEj6wSGLDK2mofxjpSz
ZO25UXHFQUXoy9z7r8g3NYpG2zQUAINdgJ08TbkHY5WYenxyKR3YDRTX8/4IlLyFuPZdQCx3uh5y
Y9hy4k4rEn7zHX3oDTbmqLbPo5WSos027TiFcfdmgG09SRfXILPK3D3POuC2F9EL24ypuYeBMfmp
kiJeu/z82zKigAlGIzrBDORbc4iHjZZS1nsxZ97nWOYfrsE3MlYW+4J+Ln4BS4V7zofqgXJAVKYk
NG7oufa3RCW99ikPVmCJEnQjrqs9kfJ6DRMPYJd7N7UMC2tFMp1BSTg6CofzIJOzmbXl0TNb/xcG
4jsj5Nrdwf5xIQunO1dMLqhwP63p5DZWy+IkHY1qH49pf3THmd3UVM3ui2sX8k0Sl2F2MU+SSCVn
r+nrPWn1+daYuNjehKOcPvHYOc9ZNpq/h1ZR+jgH8g5MdE8j4dzf1MaUDdexrmPu1AYx4nP+1ZAV
jzfc6cYDV+/pNynkxV3WSfvQaLypLUL4dG9m4UqoqdwRAm2FVELSD7wd4XhsrsP09q0zmlIGCkUG
dW86BTy0LC0een/8mf9jjq7/X2UFSpmWxMj/3vb18JF+dH38Uf5dVPjrq/6ICp7/g2hiD+8WyQ/k
6uLr+mP4coMfwicK1JVLaMGy2f+npuCYPyzMWTi+XKQF4uf4X/9wfDk/GC3YGZBjgf2beLz/RFPw
3X+LTBAWgT8emx4a2jxn6Wz7V0mBlQBh7Ebf7czCLfK9ES6qKI53FNIuqNwjghyba2LeOncfXPTU
xiUVbVMsMmtHWErEYz3yz7bOnN3gjA75MUFGYPZFo/VY1M9r7pNot6kqbHUVoOiqi7abNd7Q71lU
oPySDg6iDx00rNUiDTNuICAkReke46Cr261SBX3jVJhkb3MyjgN74pFLHF6Pql0wflZldHVEV6Ov
3U+ahRSt52jVow78uxlr/XXDuLPllpNxEmfVtm5U9qBtsBdtmwYj2KJ6m3nofhZZX/60VRS1a9RM
1PFCcovcRQLRXJte+pqT44q/jXUVPPAAM7f3dDE+dovYznUA3d1cJPhp4tlNe/34RmEoCv3A/QCe
tiO5vvij4V/0fNxLSAr5Red3L5q/hkcIV7pF+lzqq+rbokXyWE2WCt7qCzeAh4VHd3LhCYasWfaT
gkcP3JB845hA2eyH2KKWIigXvtyhYYeUYkgFg0eCc/Y1gPm+K4EQjhXKCZEnpXpVqk/zFWv3jm8A
aymE3tgWuyYlR9LpVXY1k/l9ly+sRGxZ4zMPEsQMSAtgimFsylPNPqgCBhpoDs+H+qXoSuCdC4NR
SOVFpLE3LITMWcmX+AJswBnzXJ+DZIELRfVgufRib/kbjC966PO7sm7ieywBabsL4XgOOHO6vbMQ
IukfWgQozPO5fC4Yib8QJYqVfHty8fUba+cCnSgao+2DIWBR5AVLCS6IiuUxya2AIglYmtDrVwXO
TCZGDS8W+i5lVZZg2YHPv6PQvL+QMMEFirnwMSofxjds0/4VYBSQX3JhafSFq4mDCatth1spWJD4
0tkPf+CbIXXqbX+BcszK0Ji0AnXVFcK+V93gP2dpJ1nQxvypRrk0TgW6mO+wRgD7wNmRRstUekgW
FsjiqX8eNUDWPkdHL1aW5Zdv7ACzs+ctMJFVtbRT9IRXWxfYqFVOf0rCyWWRNIKntSguW2g19y2I
UiiowkJWW1fKgJyvNV1Ga6Au2L/Gbo++M/ZkBpA7ssOqrZYmEAMaqhr66IFFLevIhmKWnyaj7GvK
hPnp0sR19gaN9mMuiFW6wFai8l8J0mclVzmDAMuyxIcn2anfRtDvLsPdQm4FC8TVUOM9kTuqxKnV
YqE7cmyiO6cF/pJV3H3GaUQJT36hw9oLKWZns3IORLBBkEVAqCUcmQYPCl2g83NzIc6gJ7gwx8RP
k7fnBjW31D+E2oVWY7QcIFVHQd5ovfBsJOgw0mOR42Mem/2EbopiwtKPN+xHJYyEPeLCxtkLJjct
wFy6oHMln/CZ1Lku/mJeqm7Yu8n9aJrzSxwwfqzsBcRrFyTPv9B57EMg9aIF2jOWsMm0JD+XATag
yj2NnnlHcdemf3obXtg/HibTW6am/AYXLmxgi7bhrXA62ntpESvN7VJ/pa0Y92QaN+tpgQwxocMb
qtRSHSkhC4dI0sL8yGEji6cs8MMPPzX8GxZ14Iuu17SnLqqzn7DG4I1+T6gzKG5hvDYL/wg1Yv5W
QwwU6ac1gGTTN3AafL6vTNOuvklwCmhrvqCVWJ4y/0VckEt1wS+V7iZvT+YVHzPUXLpSsOKCa7YL
uektDKd/wTmthewsFsZTXHDP7kJ+goBGPSyos1ChvV2rj3whRdXCjNoLPcq10HgUF6SULZRHOdwF
NcVBSk4L/UUfMhgd95AsVGqQGQCqyMKa1XoPtbrwq33uqXprsYDdWrVTlYc27EXyaIpilPxaIgip
uAWHVbGf7yjOco7ZaIPLMr3W1soeTOtbhbV3i/vEeadZvLizJ6vaOUTtvuRAu8ldEfcFB4odSReP
z1C+pwuvyx5wdNZqoXjhBBEbkrbyt0h2wYhZMx+8p2ihfwHGiHqTBWZf+QcP7vBmr8M0UmsBd9Nj
3gylXkWVV2AIWxBjqScyYOQc3qkLguwlrM03fk+kJKs5KOVu4ZUHJwvZvZnmzi6CfC0WrjlbCGfb
sO1DpHT8hNkKPc7y9ZZQN3kKKUh6o6huCFdRsfiTEOiwUC6fQ2NF/E95JXXr3MKOPShMJhvHbV6r
CNcTzgKkMwJyVlUiw3PCAgEiqhPfY5yaxwiQi8mMdWWv62kjpgQCvMdt1Xi/8C199pEwGKnzatOH
mL3XqkuY52Q0itc+S5gWqhqqEatIh3vQrsTgHAVdBs56EuybjoPAqrySRoWXzjFcqZknJqdh9ssp
xxpJflpKO/zvilIlNCCrt15iAOGZaPY+kYcBXmu8mXn7fIeui61q0Fx1RAyWCSmGYi/6FB4pMNMD
yLyxtTXN9SRO6bOiX2tDGoDXbegRTY8VhrBtnKbeQyaBrKUOWcsyUn0VfmL/9pOwf8t9h2a+eeo+
DVx862x2RbIZzBQvoJChS0ZX5a7KYCiZ6tH40bdb1OerKa0M41lgt2oYg3RSrf1MNeXGbhI93zTA
61SX8IaJNkUNcbuNwt6ByW6j8VgnhnPTAFNR+DfSCk/FmXJ+2l6cpcdgdrpffhPaq8LNEU2EX+fH
okD4W3MiaJZHo+nfzjOgLMhBG1wPcx1cmbjup3VvqfizqDuHVXxrMJ3puP+s7R4DLarx9G5Cvacb
THIOwZWGz3pPkRvu7UvXwgHdmzipjhRFzvtikuFIYiqmAtgIG0Y/cxbBh4yerMAnUNsVUhXW0+6F
SxQmvSyw7K+umcj6rvr4lLNvizel7TMj81AabyKKxXiSBC1gKmHQoYV6aKW3ymOGgniTPU4kI543
FuVP7pWOWB3J1vJZsnHYAWK3y9MP4hIDALlpnO458jzOvcRek+xIXaVkWzcEc/XisHjx1pIIqaOP
e+9nSnxiemBWa+5pS4sQxyK7nbYq4be8SiqcPbdsTKPrMe3w9TisdT4IOG/u7bpwH8Ku9Wr2uC4x
85GeUQsKZfM+QWvke3ZyZe50l25aIkE2GkMz5SxcTO9lJIezCpc9dhiTr73iGJcv2cCtmCMjhlJO
KA1rtn4s/OKVAMnql41FHUyxp79wFYG8tCSh1DNWDdXnH1wUwodJj1N05eMHMOn57aeZj00QFVuK
5kidxbuEs4YDesLGmcb9SxYKiyIsntG3qprCc6k0/Ae+zF+FktbDkOm421h1kN/H82g8s80LXmxN
g5ytg+CXcrT5THjicPalNN5oH2QEphBovh+qVL1x/nJdEE1vi3XhdykQsUDmHFAwjyamtNcqmRA5
FM+YVxcWp0eyxu7AIWCm2Z6SRwxAMAQYtiPS/nNuymYmjtjzucV0SRm2Bxaxxcn1NGvnSsfOEfrF
zXeNSY3oxo15uoGSx820D504Sk5z72ZnqcTUHJVYIEz66Rpjo4I8+K1LXXx1LVUni+JIH3LHLPUi
0inG+xEPY2vtzRin7pp3byxOCRQrdglsHCklbcOgHaCnKjA+qrbzDhP0+CIXz7kk76FEKB3XMFP1
vIFcq/yfLGEs/0GC3FMcxzsN3CMbLQnXEaoPCebeTVAVu4FoW+SY3NtG+F2N/VgK9+jweeKNORt+
ccWCtx7XSPvauZkBi+XieMRQ78sn0IxmPmXhBFURcCe4y6m2K9no4Qa2rwjKwOQfF4PKtyhpamub
qCDO2im0ZlLJS9lO8Fpx0zTXMTHZ6S0uZQAT26oLcdOnThmepNXp+NYfPOXeukkYDoe0S3oAOFne
kwXaGFe+5E7C5svENRU0k3R23TjHyZFgnQSTRlS3xUG24TTtcDhO3Xsxs4QmDicjdXVSMnxnl1zC
Xo+R5XFJ6p2QyIhksFnc6w7gnzRnnPOWPSVhzD7eNt8dV3c9DHM7KIRgWrJDNMWALifyvYjBI69Z
TIWFB0V2CKKmne3pQecuYYfu+BhTRFhQPE3SAombAKyrEoUqvSY1dvDWM1Ej2Hczu9sh02pj00cD
faeFE4SgJgAWuzr1eXYFJX3HJzrXpoYKit42pxVPBjxp5Gjm3duYcd2um3EqrnMwRQ+GOpZou+jJ
fn0qTaIPDiECwYQZtvDiFx5SbnfEpFhyzTGH4UoPDklaMAedLp7hqkX6afEZru4j1U+grfUiXzch
mLzZufoubYLgLeVyh9cCTNEj9Ih43U3VJtN8sCLf0+fYEDP14qH0xGo2vH7nIUGCc/itcU6K7C2g
9KhYNRaOJRq8eSaKsH43nDFAHDDnuxTtLkWRULhNso43T0BZAbKbxsgwunW8SUJME3Zf8JgqYyP8
zTLPsI+WlzIZsWKA7ujzePqaIiCJY0ccHRdWUyOoNLjElAXurtzIWRiQqThqpzHEahD5g4o6zqYS
2945GvnEcmsJE+IXfLbihNVG+rPzfLWkhpBwxlOoRZ+cGIWpyulaNKVOT9FLR/obPw9/TtnsJpF1
O7lObl8HZkn7Al9tojKV2jQ2TVqR1Ez410h8SmuO+zFCSGg4+lkAsuZ/RnhiYsrSuv0oDLc8wksb
69z1QjI3824BQWfLJSlFotDPhXRuZR45Dw0xAvukTotjiuFhJs6El8MdXNrd+rF/4pUPDiKITL6+
8qxqO8zdsTbL8QN7aPQyEbH5OjVRn+7xmNgnkEkP2CWYLPIwrfwtwklCxTDohbn2KsssUGEkPaMl
Ftb8JlCq4Vxy/IKmbL4xxOQsINV3JkQCrBEotPTDodnUDPvEEYRus+lJAQHQBDfSG6q2Q07sJnD/
N68K3IpN33+/t1wl4NB/31n++YK/OGj/h2Oiw1AgYtrWn83kn52l7/xg7cjOcgnFdKS15EP9g4P2
fkj0O+hoMrJd2w1YdP5jZyl+8BUueaymKR2ir4L/bGe5pG7+LeZV2CawtbUEckvS4/9g0n8LHG9I
fevKoHD2NQlFT/Au8wakoDyNHtdrnY5qr5viLcZNshpt339LvKIgI00qrAz8Q+xLqlquY/iU1zSO
kxsaIN1rctG9EL6vp88S62IMZcUA/2rPyMss73LCq7KYtVvWo4pm0Jt4gPT8Gjhu9XuuvP4V9ZqQ
W+HY/S2OrvHO9CMYMTzkSDtVhgDt26ex1fYD257mLNi/nTBmcI8Lyv4YIX+MG8sGycDKZ4tzjcHs
jJeDCrYEz8hTloSzeSQOzzibKX8Qelyqy6UHzQUYLMLnsUqbfSENeXYJtHhnn4EbjLmeAQVfZPIC
l2g+h3JaaqqdiN8beR4UJk8JhY/y2f4OojDPcRYV1antxoiZxM1uAPGIDEg7lVwRteWJdYuddkWU
cUElM17ue4OK24DrZzLdBwkhlLrwymtcbktKRaZiMnq0LNRt1E/qt5UnxgPZFzCkeRIOH6QpoNtw
QmPZ6oypuWFRISdWqz41GTCBBsdqrDPaNqfp6A6y2pE4wtOGZCeuuQML51p51RXRzfKYWlY0bwps
k9gG0+BgKwRAKnZ/x8z0Dd8Wcas0J4r2gPW1USs6kJW/HntzCRZQUL08fqBYOzwqR1Qdcrp6c6FJ
LO9RVqa3047Tfk9UgyW8GvSjKSN1vurMGt4s8gdOS/bUWTIC3iO62s8AT+11JjNao6lG94wdhyDz
4Kg0pYuZSCNiMVCGTipyyQHIxoDUtLLeQo6V0VpWojhNmmxPQUnCSfa9eT/L2js7dI5vLVfJ9yLW
+VNRyv6REO94OFR2ahKiYKh6RfEC2mIqx+DGdIP4lmZYPJosYvpr2frOlQR/P5qWAUQVhpU6Qp+Q
GFYOvKR+62bFgeCHlGo5BdyaBcQ5hUP3SDNb+B4wX5KiLMSb1xbuGYN9fmBosZdWLCu4aRUv1Ep6
EPSrWiNGr0vSUDp+k5T1gFt13ryzmEjx3XSYDDrdRVBZ5BIip+v2wSBRFV9lilZIECUbgPe6LkKy
Xyp83r02Xthxj/Cw1Yk1lLHzFLGJchK3fUafLAlbuyIAHghb8Uou7naZh3ZVhTkQJ1J8JUAYv/Oi
+bJIELoh+/CxaevfQdKF65C6S5hKSuhrtlEEu90WTbTxZA2+mrp65dguVIyrilvYEd71kHSjuxts
Oys3pKBg3RMjd6eqm1nzTV5P86iSJxyZ68F0Bg4EbOdczHtapjCPbPkY6ucyEOW1QZzXqoV3J+67
V+q+d0Oum5SdthTFmFB/i0XNf1e4iJiT/d5gbYnB7SsrORM3nCbg1pU5k0Phz2Mc7x3Fi7PyJCo8
jknC4nd8kWQocyJW2CONScbVICkxXg9U2n8nTql2yiKEmHB0yduiH/dWIcXe1MLciqixjtbic9CD
ibIbCSbxaA7DZ4+Xdq167WNUkNnOj3ACb7J4YKRe6LdtmfZqN6XpfM2z23z003Z+97lTOSs7afW5
sO3qCEae3YW2H+5YZyS/6wSP9MrIJAkpc29Ou2U239LZPlD0wfphBean3mqRm4eGtXrEJi5LDhOX
r51im/9/2Duz3ciNrFu/SqPvaZAMkkECpw9wMplzppQaS9INIZWqOM9DkHz687H8o+2yDTf6/r80
yhKVTDJix95rfQsOTCvpITpUXSL14r1Xh80LlD3cxM3U+HVAoFIO9gm5cTE86JnRvGhZnx5lXk+1
byZS7tq+7ngfwvaKmJpoEVFZ/UfImHojTG8/h/YJJsJ07piMvDRm2J7CcNz3c6o99BU60qRw0/sp
rsNbB7/4rclwbIfuVlyJZ6vi7sApZ7rSQiKCW4rhyfPEsG0rVSwpLbI+ELis3egtE6ITeJDpVuFv
PCcRKzwRm55xtFT2Gnhe9yq1NH2u4768cJvTuzydrbfOLggorykRIR3SKScwoZ/O0UChvgK83vpJ
34mNcjtv3dquecFBUACxCJCkWV6PO3C2UF0NNuFnyGwa0mQw6mR8dTPtrm025/NDMHcgtwPsxF9c
OqibqRq72zyyyHWg4QFjIJurdeskyWedRv3BGNAgrXLNjh8QqPKULddG9SCuRFuY2zBPpz0HO+er
gWJn56BdAh+QQ3hDggAmLTMgq7KRFtpZtnB3kF0xSFJs91VTb6k7nS0YP3XPZNAOISSQxOK6bkqL
agp3gRWRpBME2RcypuenznLNM4q8BU8la/NYWQGBikUkjEOoi0+axmAEDJV+4NSu0w08mOppNAYK
a4vSo/C9upHnsXKTi+m2zABa1lY7yt9FW8Q8xikeRCYUt4jiBNSlOeAoAcgqfVOsp5D9Il1omyks
yjtpuUZ3UMi8H0viJzg80FA96m3jPLd1OjyNifHZ9GU57+Kg1VYyzMQtLLHwm+y7cFs4ETONaRFz
Tq1lWaSHeOOGNGDzOWnAVkiWmveA9jCLrjkkOFFTvQD1k9jVk5yS7FsmMnQtoszQA5O6XDEHeI0S
XGvQmOqlTVupzcgiOgLF27gEmx5n+CcvXhB+APPa82q5p9r1EhK0wEENWrgvauNBn/meaTiq41QH
N/S6arAeNZLzXs2wlDGAPKQNL8m+h1lyItHdeRgKFA0avBWYjR4K2Cih6LDntP3gTHJTTkDKDAxW
B7PS7F2dsJmu6obckYzWiV/YprqjNdhS7+lsrZyFtxV7ylNJ0PPWmBuanYXRXDPs7E8kSmiI3T1Y
CVnhrKs2szaytLVHd5Sbkc7yqtFN904B5blpVEi9R2P2izFN5mFocjJzhqL6ZFJB0EzaFhvMvvAu
ZOG9OCKfbskGLz/BEuKbameFx8BxpofGwhHRM7HbVma7Ry0YnaOyn7Y0tWrgDe2MqqZ0vktCiddV
YN8yaIpPucZ2D2TH+JiKaSjpEbnMDxm4cwKdBi0+ZXnAkZFj5/g9CHR1nqckxPfHoe8GJjkLiRrL
j3xozI3SWvcUBgSoqlzFV2eijsIE4m0lRrMtDKPq0geeRvA20A0jgA5St+MnPoL2Glf1DW6Abm/o
ZHJNhkY50CGCkZOTnmt8wsge1ZmiE9akV1i32WBm+6BiWS91zdpWgmwiGZ9JD/sAYPZZGd6tDMN2
y1CCcx1WEXlfVlUFs6bSjW1UayfWROh7JqQcMsVZV1ewsgqyQJHfU0agID5Jp1NbMXXavasDvnml
UelKMKot0y2HdAJI2Zn1nSKr7HfA5oxnNql6N6rO+CZttSiZ8praD5ao9zlwPiWsoGE3aq1BPYBT
luT59vNFb7VLaiT2PcXkdEw8zEUCB8GZg7ZHNbdIAAA7xUw8Q2KYVqqxxWOWGuE+bzvEZhmcbtUl
J2FXzg0rAjikGnGWE+L/xysg0O/yE2fIC1OLTjidb5rOnVImCrV8zaisH8rGbM68r3ZP7dVN26ae
hrtUq2nbMiJ0L4xpENqCm5zNTUCFS5sgNRp/RLb/wBGfGI4Kz+BrkUb5WWD/0NdGbto3oqRCSVNk
uiuK1dxcRSg5rimSMloReRs4q9ZWEOfTuln4iADMNDhyFUyfNDJOQByJUop0a7EBUmJYPfkosGVu
Bt12Mr9r84s5OPLORRKLwlyKWK4Bs+Wf7hQbH2HVuxfHS+VrHxn9gVhczF6OE+M4y8OItPigCPoR
RhX+E5/xfeFrZQWJPJiV+9jS8OxWsEamzbgMHwHculurtne4lzLfYcIDtyryjPWUBM2OVet9iDuU
X2Zf+pFrRTuylPI14QM7rOZXs7a/M9NAC4xn6zASDbBOc+0AG2mPyPdmLhnTD06FHDQJuwcd0AGe
nibeBXZGBLEeiHVmES++HDGkzPfcCLyf5ZbZ+bDiLzk6dvFdn7glcUhSuDPqaDIpuDkiIwvIPM33
yuiL16iMmPHwsYMaB3UtfNIoO1YcB9W2SbpbTucFE3X3QqO/9nNd24sYwDqHkQ+Ckc6pnfhFbLtr
tBLsDXr41pXmKURPurLbxvS7Xjr+rDCtpWXUHWSaz5scDMHKdoKZliSWLVEMENisnr9zAI6Cd5Tp
VdYQ3mT6eja+50Ptt3207zxAf3h5b+deplcl8nLjRPp84d2zdpUIPJ+tx1gphXAHRYIpjklBPy6o
0HHSprPXIU00eA59z4wodpoVcnSxnfM2pSjVpmFH2zm4Qz9rBKjW0kmsNVxINRmDXXN2ph4oJuIK
MDpNJmnnaZLGnjXsLU0GuOrM/qVNCuSnSNw4sCSEkJ9GRsqVP5vDgDQTbMLGCSvvOWNk+96JMDgx
sFU2g9xqRUFjv4Sq6sNNp9kemNiZA85RF0Z871ThmG8gJc/7atTHFRuH/iUE/fgAN6xigAJLSd9p
adYewftjGBpc8Cy6HKovDJzB1PEo6p372HWpfWKBSVd5TBLKmNXvBO+JVU2PDacI6H5Gk5vK0Idv
5tRHJtWp7jL/Fy7z16DoeOUqMqiJ8Fmjf4d3WDbB8MabBZjXrmJIu3m0y53RwQnIVm3HHOHwM4bH
ZDbHfQeRHztUZHib2GyqkxGy5rMK6eo5tNPstcy8eBc7XV9sctnKJ5fCxUIxAUNkYUamvwby/K9s
8HGqvv3rn++feVz4cYu992v3+2YaTbO/hcX/v7Z9z//8A7923zznF0Dw5JjqAk8JSRGEYfxP9837
hYMsv9sBBG+RlMG//NZ98wjuQssHGADSgKAx91v3DS0hQbaOQdIF7Tfjv+m+OcbPikF36bh5XIku
H7QDrkWf7/dBUmUklR7hG8dcweKJSkyLjA1MY5Hs9LLvi7VbztmVETaDLA46brEeCBUFKouIN19H
nSTbqKH32PgzYFpWBX1mjIRErNyPGi6LXTnhN3e9ZtiY9AC/TUZHXrOG9+1o2VmPPaxHRWR5Q3xw
wIQmdtFeLSiFd16LjD80J2edm1pxHk0vPrRhMF5603pwLY733MFpB98Vaz+u60vSwpXFlptYKtnY
DqcZVFey6nt/btS8xghaIIirgvXcuOVWkqPMvLA3N7BOqAZq7wJC2iCxoQ1RNUdvGBPj08Qgzk9I
iFrPeuttS1t8VqBBUAq0X4scsWBaxUARWpsx5BhMh4Rz6d3seeqYxnr06dVA0RZgy7Ewunc5aiwL
SJi3SY+VT8FQvrix8y0YpHHT1ePn3Pf2Vh/xYFuJduPUclUm8wdL+EELhY/S5MtYixPTuLNFGh09
uGMOXCyOgIqvZK19RZWltsEoPrOs2rUgrBHgT3tylfC/KfEYenC/yxhAD07AwM/DEgW5gQQyskfY
9PKFydU5YSCOb9dXrWqw0BKFCDbbpUjRhpOhGHpS2h7znCTRKbZ2o4YIqs+6a9pUi7RrbHOaDbm5
V5X1MSmNAwoH+btZOOYtIzmsuY3Vv+WtmSNRd4bwK5MzfJzJyG9AarIrDIWeCsn1Lutr9zbPQ/pk
ozN9b7wOybgVCya1TAFPaZWrcxOlt7CcAPM07H/pVDFFZXJDA4Hix44z7Cpp/8Mad2/UuGB73LdG
CMCOORVqFhNywn7K3GtaSs9XznzvRuVdKtkYQiWvcx6rgz1k8Smuu4U2lAbmFXhz7TMU/Mpodty6
WvaWgzy4wC3C/rag9QazTe+l7EG1Qmo8IaMY2C3crUg4kxWjmBe0xnTqUnlrAN+478K2Nc5SBsmC
ZCuM2i8mLcbhZaV5v+3yrI/XWqbwC0hvOZElaOiUn1UW713iLNo+p4/zbGPNQa7vOKbiISfdwQR+
5GK+BFkH52CgPZQSRY8kaI0fUefIiBw03DDhmkIfV03sIJgoCdGFGqZQ2yaGBVRfQ2u2KkJgrGfN
Av267w2v6taRmQKES1ISsb5oadLQRNUKt4NslcObpKApEf0MbjHc2CiDpr0Llmg6BXWUqa072pmB
ELZp3IecYq48pLS4SkyK8exx3cTjDWijzMPrqyUA36BZ4SYPGHNvJi8s83VIyYqwXzicJUu7XvZh
Uwe4HeSa236WuOHydWm43oBsckL2A7bRRpOCXKBQvDFelwTXJmzciVwpgx3Ymcao3AemwnlsDho0
YoeZA27ZkmGbL9OMmyVTbYV4cdPzZ6Ds1HlDOpdXIUZ1kYLtfWipNr+poC4tH6MdDjOE/EZ6BcGR
J9u5tyA75h0t0psI9810sjB/7UL8yN3GDFLoVxzIZ+FD2q9QOfSRNA5O3XS4ChpoXFuPcTj2jBwY
x8oajPm9AAiwRoUW3XuEDW04qnPBvkp99HRwYosqkj1GD0BVq3qgPV/OR0czTQbicQRwzereVVH2
FkERY33pS7BZq4gZ5iEfnfndJaSO3jcICad9TOBTRt34Aupi9Nuinl5dW9XbOY2yO5EYLHtxCKak
KOhdk8izHYbWfQ3NGsqM6Kz5DVT+p3L6wAfOUTwHWuNXHseDFuoZHsbu5PB7GywjoHooQEc15OA3
EJ/vPC3gjg4Yt0F/KK1cZa5W304Nricos7Tsqfw6E4p52iyoDFCBcAai56GzRlw1Ud09JLnMxH2Q
1VgYM4myGIilc2pxIALobjp9vLezGD4zGeuhT7Z5Gj1kKIU+mbPDhlZx3ka+Sw/gsYFzPbyF5Qzp
bjZGGt/RQPLDqoZPZsR0v1I1fqB3C9yVw7NsAOoBo4pJaemQtyQcje1w7To0QJbGQGBA43pxRX83
pb11CCInuUPI32/bbC6etFmXZ83LxlfYV9VdpekeaoXJ88hiynA8B02eXbFdlh8FI789LB11CJjS
aCvmqfm7E8TGndZ6zUqanXc7dhwEVmjIXZzbbv8li9MEYkiBUnfViD5I18jF3O9uNtdnJBPqexCR
lrSGuCCzx1arJUA2KLdrUzhRRLuFIIXvsQuibc0QQEc9Ojj36M6dL7nSkh0cbFNu6Rc42dkoCLTQ
CtDaWuE1j2WIahcVtSq+mdItvw9SUy+qNvvKB+zg+Y6dN+WKoD2OAfEI24TUW3EJs1ZD54DT+ZH5
TJ2fi2p00z3AY1rvYawNCR7tyH3Bjk2WRdJ64y6pgtJEMp5an6XWDHcErLiPellk5yLuYg7CJKw8
ZY1hv809OwiZJyySMp/CF2fQ9DsTPg+Rz1M2XmheoazEDLIPlAeRObSNUxSa3WGwTMZh6JwL3+4V
s31cTg2t8wZW93rGRATj1MNTNUaGdoPON1+Qwy1DKofBXHPJNYr81RyScsgqWWfArnWvAAozTxkR
f115bLuxJ6lXiNa+axK8d3kb8tBhtBQDqNkhEL4ZeBLkMPbl+eCi3goOGiFgzV63dPY/xMROcTfY
pgY02wki8w6yNmImhordsOUISmpGKyTYmCrio/sKsTYnHC1lSBS7Rqp2KOns8BwXmjOtgSEPd4YZ
xOERAIitnxXjAKgAnla59OHKe68cKw52iTb19wHUweo5yO31mNsFpi780iaT5E2R8sp7UeStleGA
npCGu1Nd7T2SToA5lMolXBNTwEQGUQ4K/1nsPdsdfdggCP4T6ARizjiwy9bdEYu8BNkM9D+1pJ3P
wPncblW0AsGJaPkWqowOKA/EQLiN64DEGieo1b3Qb2DGxD6OjHudF37dtHGw6RzYem1WDS8IfOoT
zaHwKWlrztcthKmVDr380bLDKNxQ3RR8w+V4mJHhVuemBBm9w+/DhBIEiMvXWnWAnJHGWd3VNDP9
1m2luGRaJJ4s1Y31jpkpuKbSAbAIbsCh1V8RlHMAUiSeJmOI+ZqnSYYbb+r7h1EkioT0yU2PkTmH
n2xzLJZBo+xxNahIhHsa+8HG4PzB9DX3TlDgsyvei2stjXFH/g2WRQ/WYVPM9rlsKpKPe/tUz7ZY
zIiPIS0cY4US7qQ0e35nw0geQmkCwGEMsgPZZdRoibX0YHRNAFfMkvVnGBaUYKUdgFrS1T6j6xdv
K0JmmI3FgHY3eitI9hRSX1qwbAQ7NVK2X+yo83ZtqUxvSZGYb1OrJbyhm8qvVTt9hb+IqrczYkZy
6KpsRkFiacWB/cH9/DtpxPVXZcE/ih7gcVx07b/++XO45J9PPH/ArgnEPnoJDfJglRljIubNzbGA
o/3431/GtYTnWGQwS8a0Px+shjkvyiDQ1EGODYPDJAxhz0w1+v6/v86SYf2bfGL5OMv3a+BH0zkR
8p8/X8fwNLNzyZE+zH3RvyfLDo8DkxNBOLlkN4xaGn8jiyTKV1aXm+5/uLq53K0/Xl4KwA4ezTsP
w8LPl49ViHGiEd3BauJqGy2FgOkCV7OW4mBQbXbn1qLepqWF02EqRx9h0sugEyRGdWH9KDOgqmdL
4QFUV9vN4xW+e3lwUNlXR528rQoKQUffQ1Nxdts2DUtVKedghd4Zt5jt/YfQ8D9/IE7COhnT3FgX
O99yv38nR6E/RWBS2VeHOW7bBDMGQsPVQAi7vukdDGjLMu6KX1srGCXDb+VfPJN/vqgArWFh7KEy
deQCJPz9RRtmldaQegQ1xuF8FlJQS3evehMeY7I6YCD+Wxv0FxdbjvQ/f2VcDNkOH5DfBG/h54uB
AgL0h+3toKBDbbC4fY5EK+b62P2HT/XnN03wWNq2a0uaHMJe/v13t9LMW6MqawKmYsyC3a1lVAEb
Z2HQGv/7T2T8xf2zPYtTJGUiSXzyD19aiJImgYefHTrLcE6kX3k+HelocbF4AsCeSSd2580x57wq
Uu1tqlC9Xl3DJsaCkq//Uf1V9JX9rukDWD4/6sPmR63493/qn+4JVlAeLY/GDrfFFn/8SzUr7HCD
xIc0inR5qNy+u45LJMfNf30dECt4sOFVchnvD/ce23Zbh0DXDkXAYcBvpFnE/qIJOv64zv82Bf9D
UxBqqGCt+/d757937//4hnmlmxbK6r/+uY/z96/Re/aPvwqR/PWH/8dS7P2iI6nGO+yZoPOs3zqE
0v6Fp9q1IJUKC2zS7zqEQvwCmoKESczIaEMQ5P27Q4jdGPPBos9z0Hz/+Kf/+39+WomAvP7037/f
LSnlf1ougFhKJP6Gblv0CIVhWhBRf3qLSQyo0Bu4u4KzuB/D364xE3MiwwYPZ74TuAj0yHtWtU1K
uqbw2FooO6VKgoOJ5/BTb+ZinzJd9WnT3QL/yndW3iVvWZPKLa78ivE5vIuvNRotBqN1i4R+Cm80
JoP3SJm1bdkXP45aXfOJPHrajVEr75kog5yjv259DUjktlBbO9GWA/x28voL5KXstORv+r1yugPB
PAcGVjgVjULfxpV3q4Pv3Vde2L84Ye19ppoDFTmKpmDXaEG/FYXBkWIJ6vsMsTC/ISfvj3ObmL7t
jN1ubstoz2ZMF4zUul071r0fmtnFm2L3Fkmc2kzkYe1LSDt+PfXOStWWvgezMl+Vk0YbD+wzBBWa
GLsgQ+C/woxWPQ1zWX4jzc25dLomjrXbP86t7qFabN2rkEQvImKmUWo6ZSBWmE/aasWgpZFENpI6
sJpIf9u50zSi9jXTl5ax+lHAmD0Wqfm1CXIwn2kcn8Fpt1ustu1DVlXRQUwtMnImDZgtUxl/RPQp
v5gBLvA6bq1z6LbBRzUOAMfG1ta+DzBvLvnkDi8lVfmFL5zPadOdC6DehLZu3SgbaCj2KDRjDPKz
DSOR76PF+NJxIozoGZPiIyFqlKWZ+MpoO188oW6/pVwM1jzwFjdKKx6s3EwQrDCjitxefwFOzW7s
gMn37AHkM1PTi4gicoJNZNtKgMfACoEHIoSyMQw2eVAh2e4nWwueiQhXPrDA/JECGft0i5CtmyPx
Cksr3fcmyYGDJfPbGBCcJOEYtZYzMBVqTJX7Mmg3KpUmseAQc3I7+oZ4JAiomyv7xjCG5ECrcsWX
rp/x6OZn4s68T7uywqcRM0S/Yur2PI1mdnSBEz2qgkAB0pW8+uwOWg9vRTfv2lroBaMzDZ5faTWU
akSrf7ZWe+uRaLKGWVltyVo3b2Yx5dtEOSPiSiJdoS/y1Ma6lz3BBzFrf6T0Q4zNPfMS8L9aU/Rv
sx2VJ811q/s+R3Y4M8jaTkpvVmJE4WO1AD6ZfVWTlM9pNZarNMdz2GgIIJsp8ZWdRrsxiIsnw528
m4hPR6YJ2qKNDjAoWtzC4U1X6uFVzIbld5FYhA6M4nCIqwZ4j4AjbAf6BCcsIfmaU+FXF4GIx+hM
q/ckgVnbhsb4BiDWde7Lry2EVzcNkrWmK9/UO3KcS3XJB1HtXWbba093HhEc+KFRmAdiw+h3mpGj
+b9bq/+iRhLLqvZbkfRj1QO3xjptMIZhEWY48/tVL5CJVGXLcgC51YQdbpc0d6uqKCIex6I6j1lp
rlXO+KAtXrIxE9GmrLHtW7PBfDAkGvcEKomOClmcfhEV2ckbRJivOaanZ/oVxUtZM7BtpSIN2hGR
RTwsxoDFnT6n996P9xmbGu+2iDhRHQreC+eA/lgclT0xscAzZBWb3tLSt7//6HLhUfz02Zd5lbXU
U1g2KBT1P6z4ExlNBG6FoATtEGlFToMkFQ+aO77RX0hWBuk2a1uG9Vk2OIXXTI9o7A4jOBR0mIUk
jwRbHS5VcC6EngR0ZUxb+Q2xPd9SAXCOeI7pILHUWGN2qMWMjcDsmzcyXbdlRLAFM6CjmZkQedL4
a12D7+PZyq9j7zYH6trap0FDJ9doo6NZ5zlpZymIlbRJxaHApgrkONW7DffRXAcKLNMAzn+HWTi/
Qu/z3ji0F2/ToA9b5WTFh0kH/8YOESxnwLG3kTJyzGNKvtBAIrgpF8F1yuPhnv+U22bu4xegpdFx
HBTZ417nbubcIZq3r+Zd6Si0Ia6acL4i8cRn0gXbEHvww8QBk4QzksMg1EQY8pM02qaWZ+w4zYMs
Y5PdZIIJBXsQUr6mDZrnziSCJRRe9ZyIxPPrrLC+O7pHDG6XpqdeJXCnKzs5VVhBMLm0pv2sdbZ5
Sy6RBhZMYfUNPEJgoFCV3zCgjM8OstxnW5bFNQrq5uqm9nDUcSbthWFFZxhqzd4crEPeuNCaIyyu
Jdb52m1HEG29Md6ZSqm7UeXpzaAK9PdAmOJdZA0F30g/+slUNw8E4zHJMGd69KVhflioDB7LwCq9
dZA9RV1CqFE322pmajbnbzkQ0wue8e48Q+PGI9eOp4L21Tl3EYS7ThafmfIxdmqkK7aNkUyLQ9mN
1nozVFhjVHDbaqq6c6SSiIWMcNqDSsx8G8HhpsHHtQGdnl6xuJcXOEAd3NuC1nMoyD5jWnsXLatI
VgeUK/JA5xdFfHE7mbSCFy+oynJmQdNlbB0CKV1JT4ltAmB0em2XNSsk1mkbLOsYoNToLp817bu7
rHDDstZlDc0M1UC1RtFCeyqzd/OPhbH/sUiyUlh+v6yczbKGuk3EOoMXfmYhAFGwNpf1Flls8TQu
a3BjWuOxUAthqTLr6aUgG3drqokV3Sjr+0HW5WnBG7/ZCkwgICXpp1pjop9fNoZk2SPksluQr4Sy
Ol32EAw7sbaXAGDidfdjC9IBKcBt0KZO+bDI5OOkl/ZtW5Fm5o/LvhY3kSBxqTRSe9cCjj1qQ4Vi
fNkn+yaZffR/7KCkZLkfqkpstgqeacE+FVenCsA7a2iX1/sSfNMugJEU+82PLZ3xKl/spNFzpzs9
bIlWJS9rbvmK5I+qYVoKCI1KYl5KCvdHcYF6OFkXvbT9aKk7dMrHwIuAjWHLx5qeue4m0PrxlJMC
5CPeGQ+BjWKfjKoc9SnWsgEp2CHpe9I3emyyvjF41roYSwhkXpamFxuj7kF0JcNlhppfotLBvYjs
9r6YDDxtDQ6yrUl037d6rszrSNgmENd+uMag0Z80pIMPAdyS1seAJQ+ovTVfCwhJRhJkxbeOQXwz
RrxI3Dia6PeNVqcXajqkjIqe0tLCh8MOeSc6VkGV33T9wCygUrL5QGn0ojvQjT1EONE6Fbq9zQPX
2LnjEJEnxgdHdmgeGg1WBuNVZ2D469IBrlpafwIy8dWeiUOXzmg9EOTqXOle2utYsnVh0i4fq7IP
Y7SATXYQWpx0fh7T2llFg5uw8VZgdT2szBenYmTvDArPIfPuj9Gb+69wFiruMZpuxKS8aPiqaRqv
HLh+9SpEy/YFlr+9Y17FW0zfJz5Kp0pPqnG1o1cPap8n43hMJCa4paPIgb12QhwMmv5qjOB/6B89
oqpHEkai+I7mZXyMZqPFlmy5zh14mPQtEQ7JOYt7CaBh3n2E9hC+VX3XbnRJUgfMmGDH//Kh0wje
LOq6TQeb6GRWHg8/DsaMrVyP75Z4GsTqZHUxaKQKxGTuWNeYjxEw9FvbhH27ZYU3MJm/6aZG+HVX
xgyqKAC0JZIE2VPcQWugY/FStql1hNTTX2yBEhBHar9RTGP4YTkfpAnnDFsSbAeXgn3TcAagc+sc
Pd36jgL5YxpLRmJjDgLCC8riIBvb5W1HKLgqkjq8Rzs77Vh5KKyDVH8megitbJk/g+w2X6za6PdD
n1VflE2oEhlozTd8T/gY6J7vh25+w4OApT1zmBcntnOwrfJiOuo2ATJF0Q8Ptx9HZwNWFadpkOGL
2ejDCCughymlIy60qoPrdOy7QWofcVyL/dxVycZo7Ok11nhO9dmCQae0nvaLE3xFKGvtQsdNFL7C
payfi5FCeUSMN0Ygc/sIgLtVa1sH9TD22zw+oT4Op1NfaOW9ow3mY8T5ZVzH5dh9G9KKclGkrXsm
zZbVZghF8lBUymkRiZHuneRpvpWJVe2aUoAmTYg65020ndiXXuPwW4f4PYsHaxXIqjma6Gl5f1o+
+5AFBwZryQlhQrd2+aCET2F+3EB8r29Tp432BbaKjSIEAv/aPHJwEsjDtHQ6jJ5n7mKb6xPeI19y
KsEYSeTkXXKvmPAQCVAiRi/fojo2duaAkDtwtZQUrGzirW0m3eEYygR9BbbokGD+9YL+Mkv9+9KF
2AxGYLx3gyZvPQKmGlk9tqmEZ2oSSndvhs2U71Qcz5+JmHkNIvc57wqK6p69fTYLAytno3auXrer
KRLjTu8dkpbHTH/uwrHGawGbDhvC0LAkDZ0fWibTSBnkeBxoqWl+xsT/kfbE/OgwLcAlqrv9mgY1
tKkIut8SWHSFq29e0BcjEQ9C5yKs0LyDkds5vtU1brHzpKc94AoUV2EUCmroR9DOfqGqEQpEOEfO
LfMna48vmLJIKy45qAZLrx2/abNAItZNdk7c47gfTc4YY6tBaPickL8l2yWbGJnRlBET5knDBxd+
7lQyQzNPT52JNEHvX9yUKNj7KSIKzeqMVV2YyffEDm/SNC+Y51X6nbSD+pXni83LmbpbhSmQlLui
etGHAbF8TOyBvdbYZ3ceb/QrMbbqCb6PeA1gCHxxEnxDnd5aB5j9yZGdIDo7WaCt0ckbiBoyaD4a
wX9JEh66JsGoQYQYU/A+uouTyrkHiDC9Qa6fCbEI80NDWOF6TqA+EUxhZ3tY8eiOqk6OLz1LHjRj
eGLL+CTah5adHzK48hsAmSDbNG98MGHZ7IClzDtgktaWLnuyB3XKQTaikp2yYNoMsTGCv7V11J6l
6+D5FnpwtbOiOlh1P25DYkY2oJ6jpwby/m5AfYyHq6/R0TbePiQrGskSBK5VHDDQ5m9AEBmiXh1Q
H7/Uw7QYPMYwXBdxfh8yESSFrdTmLYHoI9khUb0zjPQp06bqyHio36FfpiAjmnkLY44zv+VYj9jW
2s3cVyVKVQx4oA6yatFNSnPdQb9ELdamvIHwW1mwEX4RstzzZvGnlOvOy/mJocu79RQU4nmCc7tm
1Ci/VmEh9hHReqAe8tZvO+aeKC/yfWEiuO4K6GKGmyYAkZG9My+t1TpMbX/q0+BkGkFwKYwCekv0
YdOYSVLIN4wmjCg4NXmAaTLFZUO+x0uXExi4KO42mT1PRzp8hU/5cM+5fG16meLe5vAugSvklwht
9zpXgwS0D+YyHu2IY1IsOZuTU3uK6C5zCwLjoJrSQDo2EHRrtsV3CLvoXRUdZkCw8Ca0wKhWImCu
TEZ9+kmkfPpaxBa84Do1g3tLGzwcnk525azSnayYSRICaDpLttOK5wTW2roL4+o1xyixNqusPDH7
Tzj/Vcm+wga710Wc7ayhqc+FKNo9hIV1RWKKPiYSAp3lzdtZJsaON0w8dRzXrp2GKL8YZLOJc3of
kUdytf7/2TuT3cixNEu/SqEXvWo6yMvpEo3eGGmzSTINLpf7hpBc7pznmU9f31VEZkV4Z0UhF9VA
Ar3JQCJCk5nx3n845ztYbfo0O1fCPs3dYZG8njjRv7I399Mmlg+iHL19OrnpM+taizyhPL+4ScfO
lUfwGE7pNTKdafiv1lv/qBW2LWxFhqt7Qvd+GddPaSnC0DLlXluWbothwvlOQi+it8YupbfxWvpf
M58jdqklroo2Q4kdxHGt3YPVWd5IXwR3mFt2DGQ5XVE+qXklMx00kAOeVcMH/mZhZf2YcOqYQSvS
NRkQLpUjTwneUZJ76RA1/79lav8vFBnG4sf7S7bn6bUohn/7n69F/b//7fzaxSCD/qjZ/f3rfx/J
O59cJdilvjHAczL1/pto18Uy7zELl+zo+Ac5YX8X7Zr2J8P0bENC3qSn+pjW/y7aNYWihgoiw9jT
6iC4/inRLkirPw1oNLa9rsWO8teFGkjAyCDJHnRS2BL7SuAihmvdWvE8J+NtbWVOtfVCNBgbQ4MG
tBk6K9vqWtOcl3kMjyhImt0SE2rvlHMc6MvsBuQ3AqI2CdnRFIPLr0kGwpltG2NAoYhXPsSz3lT9
ciwwO27yLl6+zKracWlSt12jxwcSCpo7YxDZl6gNWQaQr7IvVL0EHiY7e5HnHWEAUoSouqoo4/bE
OMVSYKHkFWEw3mN0QwlAIVWWdapCk6pWy1TVNi4jVqKPUm5SVV31UeBBNZGXdYiIc4lVBRh9FINM
JcVTryrEfmmS5QwABAUvZKlLLWZtF8oq3C+Ul1a6IgeWDiWnVmKLIW0JmHAIRmdfqeo0t7MRUSQV
a5OOdTCTQfxVyxAbMT8wD4aqceEQLk8DTDX93EXgx33vt6p4KIhaM5zCvikRum5ikeNNR/FxtlO3
frOydWTsUWvgofCMEcZIDa6q8Sotsy/MOeovUeINqHio2uF0za6vw3w/4fhY9quyNft1n7TfB6Rb
J3PALLSnDM50dDUYWiZt1KuNSBPtSdMKd75ZLdDI+3UAT8RAFqHbvHKZJblGoDguiFetTjLYNdbo
+VrR99tEh7MerinfJSFrPPIHs+23HdPZg8L6Aad2jGDNnSWI1X/JNhbjU5QM4oExdPGzmXgXAtGa
9TPrWK4x6SH6+sxwUI5+MYqGSZSDBd/P9aIg3SmT0V3huOaRUKT4agtKSwPcG5TGGpkIL1tbwYYf
4uUaIvvmGEwpu/mW4tryK74OqDQZMmo9PJKlgXbuav1MPYXbBNoYCBm6/PYYW9qyK2Ij/LnUDr9T
V3h2Tu0ce4zV+ajEWxAl4sF1uvCV85jIdDvU+J/ZEMz1yA4NAIB6FOKNUV7CpO8CnaHYfYW4h/GE
VxvJblhxsAixJg8JCJefNhES/kyACCugZIG0DpQVSVnb9lxV00pX4cl8GA6p1PR3ZkfL60r/+tnk
x9pBRVDnT525AI90ZCM1RkbSqUgrqWs8P12N7GHM+5F5ODG6QU7FghY1F1WlwEkWqxFSG3ZCc6V1
JbC1TgIu5qjcks/jqFn9gIwvp2x8xOCVTeBdtYJe3e4AVqVGI7mv50H/MYF2PWrI5UjwLlai8xpg
NeVG00P7ZKBO6hgieR7xp/N3oTMvBIpof7fKNT+gqurBm9rMxxXucTUa68qLwlTFkPX8DDsyeuU2
TY6Y9rNjvYTEJzCUAtrmIFd0M0+wk+oK/tY1Foigp5H3iSSL/kwZy81qL20ykuvrwXWcmMUeWA8y
ohb1EIix9n60gslUMPda/0wtHb8lazq9RWE67hyCfRTkaromZaed+sUuroiNbXJXWzJpN5axWN+0
djHp4l2TpJMCC90F0SnRA0UVfeObFIc01vVrhzjanywPlCHRudTGzmUd6TPkQC5sMsr8Qq68/U1a
kZtysTNHcbuU3Ri5q8m2djl7krjORt/IDGyII0XgsZBmdSrMpM4DScWQBL0rwgs8wfmwOIncxi1z
0i3G5fACeSpnRaURl8i03e1q8Ly9/sq+yfvsmAO6vK7zHvBs3C8lCsNonlGvWLLcESK4IISzh/rJ
sUfvXNT57EeWlXyvBESygYKUrn7Q0bMxlR9TM9naXSIZvVfZQSSaHeR2PGGHbKaAR73dVupML5fM
BeiAr9CB2vg1jzoEjUlstXublRya/Dy51Tj3bgokKXdehwA4tsMx0AGdPcD3sq5NROptiSQCNuaQ
NXtniq2rM1jZk9Fp8Q8Djy4LpSQbt4MU3nkt5vSgQ80/kPU77Ymk1U7MbeyDNYmyohVkFxvUU5He
RDbIqK1hTutbpHndIYVh91BQux6nub+H4of9kNNSRX+lnvjKve2dEXLSr9vketyTydaxKYwQczee
Xpxk3y3lHZvtmfFKFf9M0yx6oO8Kn0Q9YylgXeW9RRN6X5K+rVsiu9vXqSicL7Qf2Dv1VfpeshQH
/GWrCyXG0PCBY8nZJOPk3hez6V7ydnUASq5QulrNwgASuwyPUyM8IR6rwEhE09ETCRl7McgNEBJR
tLGNHuIWgZ4Ptov5IsGoQ0xDHbc/GH8l8a1wx/VVA8DDxhMzKQnQWWWTPzTPF6zjkR8tobYhvsi6
QEwZv4ouSndseQZ/5Rbbj15B8mOUyJh4vhC9MBaekuWtWd+u0kGUtXqN+GGOVXnLwmPeZh1xYz4R
TpBkB9l9DwFGkzFfit04Ndpplevwg7j0ZVcZ3fjYRlxDG9eyEVEytDxFDKRfRcLOk15KRHcRjnum
7Xmb7BobXWXUOuZxGCzSzbvaHaASG8Z5LNgTehq47pqAsf1iVZx0JK8lx8SIWLU14XxNZezs+5Ue
vHNkw6vZN5+Jr2p98n6EH5VLeMjmqnuY7Jb1qQzdpy71xms8TkyyCLsLJCOXs8SizUK/BHaiWRQD
YHTw5DvuxeNefftvKdBvku9t1VU/+3+BUF9DR/lEbfyHbeT/JZq5eS2TevhzYf73L/vdUGd9cimi
dTjrxGegjqFl+81Q54lPSuzk2Y6t7HTSpWz+m6HO/kSSBgobWHYfrCsK+r8Z6sxP+Ot0m+9o2o5n
on/5RR7zl3KZj8XwHxbHUndsfgyCTy4PXAukBP9pcWwTU4VqP/MOGGOKwxLrBJckJKL1jOHqngA1
H74tMdlpSdOc47CFjPkZ87n2iOPsSxt5zY3WyPUhCov57IppfOhG6x7wN1FkJN1tcEglpKtW+s5G
F84Org2fLSSXN32mHcGseb41SEAgWfegkSfDyGJmLKFl68YemVqLMedxSKXc5IxFSaBlrgVjc7B2
mosbIqhtlgXeskBTCgHNwO6ub9rUol2wm0X3yWJVB1GI2r/O3APifss+eCjvH/OhiF+Suv6Rrbj7
kHmaTYttO/2WiPRtorc+JJZ1m5Y4qTCPMPBHgRiw2YbBZy0/da0sAmsom9uZ/dWmYwLykEZ5c+Nl
9mEBsbmZCgPBdmKDnGsnw4fFq/ONkpdxxiaU9jX34Uc133UTIVK2edSNNn1OXc8oNvoQ7VpRGNgZ
BOjTqS/qB31K3ye7sxgEh6FvxgucUEOfOhX3/a0wZjjQXViOCHyqyJeeFT2OE8Iac9Iex8HN78ec
nSAbHzRRYEj0e5vytwaNMMW5v5bGiG+/Vd8TjHRIqAHLacgVWPUOCVaQ+1B1JH2DDoqIj3YMBi13
xCFn+6Yx58vzcz3ncNrDVSgk8dwxZ1rTEPV+LDXvPGLZ+dKT7Nceu4YhNGmnyXhqehtmZOytTEhH
rrBmY7v6GKKDZ38HucjSvzuNOT8TPsYOVHpI0zdIusmeHIui97aLtnhX0JvwM4vGIjEBf6rN0noC
gUyCYZq89J3T3qx9bymqNtgKPwI7cRdHZWEE/aQZGzxLhIjVLftirxzvGO12Bj6XHoGNR3ApCHnL
hUc6WQYVvdca0/SQkkwdH1zyspoTnzAz8nMZAf8i+k3catpU/iR3szgjNYgwepNDUe9Hp8F+k5Jk
e+q7rEFRzqYBI9zk3XdjdKQjYn5sK5a1nW17vS9Y9Jn6hrY92lrmLRq8l7xzr7PKlUJBL/wuaQ9x
T8Ko3eo3eb1Gm8qsHkZzfAtr63EgjGshS/GWvC22y9kN3NPmkkZhYGYIleMbp0BsVLoeYn4C5ZF3
8paJyQ76YikA02TmFfq69oOPc1DJcuON+lX0YLHKWd7relPvKkZ2BUfUzitEHfCn/jTXewxjQSf5
GsOoXwoIA/edrh9rJ4Yb3bZUHDEANxaUTlBl2ruV5NmjB8Ke6WF3lTRpHRMrVtgt5iZyyQ5MHPPN
YILnMMd4n2UUp1OOhaBxEVQ7DoZMbyFd1Siqzl9WXGXEmmmvFqBtIrZhx9IqrSaF8li74GKkXjIV
MAOXXAXCQDyzCkIItjc6BsRv3hI9wk7GaCHFsJ/CvOaRSXfAeWWAJLn3BzJiv6/W2m1bY9kacu4u
QqQzY0oJ75ady2i7jxx9NxHj+I3ZLAI/rcQNadPJ5PnOWoSzb7x2X6Cf3WPlfyfYHDWEs/yIsvDO
RKXkj6uFCr2TT9o6Gj/Ao2ZvxHr+/MPt9A9kQsJRA8D/OO4lwiDHsBx81brpooD/VXmMI2nUGJt7
B8IW9E1cpGIDt5f9SoQ2446NMU+Jtg42Q+om6270ak5eKOZCNGAjuhT421PMOQla2IGqFnrXlGYG
J+SctQufy0SaUMUy3CvJmC3PVVsaiAtCnmejnXCSAAdlHwm2qXWCpRoQG8x1O54yg1ZvDyJEa4+Y
nTgsyjo8o0oYxx2LEk4T7eNkaT5OGaxl+Xku5pioW8IxxIHncmQwTajdZoAZspMwwx96DD7uJm9Q
LbcNadjt5Cj/bs3MAaYRe73hkockU3lA+wYV0mam40Xx7M62Xp4FgpezSbjxNmXG7WeCRDXsvfjk
Ss/ZjIP5gA6l36QcZxenDKEFEUcfeCMbBqNKuqCY2dmWpWDu4fY/DFmVn/GlVtvGjGGvZ11TIMPM
jAGx0Vh5g++sybLvQqytgaOnJGKh8eIUsmojzUhH7IzpDI+hQOI5kQhhz2I7ew6Z4Y1WoOqJyue4
8darE7IE6fSC3Mo2PS+RYV0xc65sK8BcfeVQQKva4M2yK5pTt1pBCxO7nd6NEFPeESIO26RM71u0
YidHhz5QRUVq3GAEyG7JwHVZLbS9nvoEla4JkheBdh1Ixl0pC23vjrH1XYYjhHwNh3WoiRDjQxR9
Z77H0zonzfBtgQ7oj3IU4OwGmIGwNIlzNt6sPDQOOn6lbYdHlqVgAUYpJus6scU+V+5tAxs3tx1j
E+XslhEeb2dum+0U48tBqpu0+MDx56BptF/iaJ2hXGAVV55xS7nHq8hbthoJwxtRG0/Q+jBgM0ls
P1zn2M8Bi71HujHReGvfGzPFkFJiVq/j/mRiXo+N9JIL49xhagezFUhM7tU4vSVAbqMK2CE5CTCK
8MPP6/CusLm3WWP+qKzIu8kG3PPM61vcxDjqK6z1tuy6UyzJAumQ177jl5xI2JbdfVGJ5dgpf36q
nPqF8uzjUf1OsWj7JXb+0coVvrZ1fGI3QLwr1z/u+68YZqJ9sejGLQbiG7B38MwULaAstSUAy8Du
VrEEmqErEQe2DBQVaaAcc9/jzc4UgwAic0CVsKvqrr8hUaINFtCXe1exC4pZ0P5AM8gNA0FvIcqL
ZsA6kJ2iHsyucZ8pEoKNvgJla8I0RsUfTzoU0FCxEwC2imkjNKJMuzCHrTAY9c9sjMg1YQi8A2tT
BQXpYxuzEPzbxI4CgCDpvplmmr58EMvX2XbxkDvzIr64y4DNBk6W/pLYSf9MQ88QsEzSlHUSkasb
mFUxkU9R72xsMXf1XmsHDHEoHoszHqfyZ6tuayZ6XNz1xyWOrZoL3XTzKDnIj4t+/Lj0GUpSANRg
rRhGfBQG1keR4Kh6IVaVw//bRupfNevMcCzl+fjP/QnnH+1rjnPoN8/C8f3//I/fv+T3FYjLogMz
Esp/cHuOayCA/a3Ncq1PAHsljY5hE2b2kYH2e5tliE8uMWbEozGRdPkMspH5vc2Sn0Dy6khpDcH3
cgWGhX+mzXKUr+w/7l3WH7R6EIt1oeOYoGn7pc3yBuipWWZkW1abWydUuOmhQi7oo04ZLmWaQzjU
B3F2mF8d9AKDGmuKLPehVdfsVrX+izVZOocSu/gXp24n29f1sjpycNKheDKTBPEgI9shHpJ3etw7
8jg6zkR4o91U363VHs4dNV97Gljbtf4A4H7cRVbYUfwhXaDwJFyeBTd0bpSRgPuDuMijd0TjdsFK
VzocembaTpse7XADG26eS3yYmftZh7eZbQmTmC82rdZ57Zp2QD2uO18IUxRfQhdPcxdr0x1abES3
4wpi0Cn16DQa0sF2mcWATBkyeydhQCjryolMgJyARqTvVmmNJzoHljcT/QNzuyUWj3o5cdRm4DZz
/Ao0EJssMkifnSC7lGBScNzfxW43gA6J8Rn6+C0QC3UIJKc7B/s59Ztj9TQ7IYtlYrYybI5oHGZM
t27U6n6SFjULgrm6iEFL0GElS3upllS38UjQBPoONjJSZ6Z0eZxWFLlIrARQh76nQEEu0KN/nRjy
oMufQMhnqBhqxs4DyTFLl/EDLNREL3rSpXeZYp7zzlhPukxHuKLMfcOKzoZ6knqGROR23nadXn0W
pskEZ01VaeFEwL/qdtYjn4n5/KzT3d5nje5812fJKHRgNYuxBR6Kg71fooOaUiffDnYnvjRDMnyR
kW0hKM6pOH2pEwXvw0Nozmkx4GSIC4ymqWyopeue1ZwC8seLQnDOqMn5CYHd62NBLp5pPqSFVR3s
qEnuu8Ii5HMEXPvd0GMUgQTSL67PlHy6RUwds1sz8yBiEfTDKmPY+eFqo5AneWbmJQhX72iNWroE
jU3gcoD22eC/M5xvjcsGiUJFJ2ua5o5yzCmsmtwgZLt026Rqkk05oOEIBsdaaU5peL82eHDajW46
3akDUUuWUw1ZctPImihevaZncYx1JuNhtcvQT/Sa8W9RZ6j/hWyGXcgoh8kiyQ/3xThTkdRLNu2I
reAZnGJawQ28RBV7KiCHNUQyvxMdGOlHKiHdpx4c2sDJ06rESmPFEre62RePnpcQyuwOSDM2Y14Q
b7TpLLr+evVuyX5iHTS0ExBfRrv1WRd0iqDVDvmCN+mgd3r6XNKdE2C1rFs3sdZL5HX5eYlHsWtm
ETZ+kk3udLOA9DbuCX+rntuJjd0ILcmwR0AJHjVAerK8onyMYi78vAOJBlakW9FQ80lpoBne6INM
WpC/JbBHvJcxYI1QS+o3nOrrRYxoTv2s5nNyosCjxGf33KiYkGXUaX2W2cl2TOXZH0EgSRGAFmmW
vBGUEj+QM+K8ZfnUoK9johkfJ+RO612S5QY5qDwyw86za8TAk4xmjQrY6015dBBprndmRILWjQYp
5rlf6PmJr6Va3Q2QNMFf2rEYGO7QC5BiEXbMHJQ1CD0jq+RX3P5nWNAp+0JWLQtEV50nya/tAWGS
bfPXbv6XXXuLPtQDqvxirq+dGPu9UdfZ7v9f7h8Wwv/KfEjPKQUmjL+64D/3/Wv7mpFm+v7nW/7v
X/vbTS8NMkiFpJXlUsaWqlIAfr/pCQFAASFwmINj+MM41TQ+WQ7yYw+DO5oH4k7/fs8L+Yl/IR3s
4CY3s/qqf+Kep8745Z43THzt+Bh1diFM2fRf+GRxyMTHZtW8ZxRAoqmbO7C8IABpey907VccOuLe
QKW+IX5SR5SFkhT7x+KIHaPFfjfZ7nQhaTHxs5HbI0yRC8b154HM03IcV991kXHFTpMf3b4mdz4Z
+qOeJqYaKUZaQj59aXK2SHs9agueBF+6iQ5UxjB3Zd/AhjbZEuUNadJpOfBbOKiaFZdp3urZxHi0
bn/ATyI0y82GcOMViYcQ3ZC3eg+DP0J2xJYYEbzmDs2uEJiIrL5Itl2fSpD+BiapeAWTANd7H6em
954WDuNMNYndQS9Fr7AM+qO7JsldVjvNnnfGDQpzzlzM/tN60owEHqTXoVJfXfDUJv1bgiqByhAF
BQdvhISykIwhCZ7iPPbxcogN8wJ5PwHQDJymrq7kP9ZvepE3t1amX6zV+dZ7+s0KSAz2fX4AW3IZ
R1wI9nIfo3n3bWu4IlC8QcbH3ssiEMYEwLlywx4nCelrV+GzoJnRivqmlvBdgzjDGNfbqNE3Fchr
PTCs5F5U6bkl2ntTy8IKQuj4Db4DbIIgSzyW1qR8jaxXRfWqmdpys7QtTPt0Buy5yvq6dsZQ+avQ
nCeyzJtTmy7dYXY0/Qa4et74OjDJYJE94gmm+Rk2n9k9jF3jHvJoGD+PrAqMTc38kCyTlTbJ1AyC
YKV2rAT9bGf2oT9kNjgFPmkdSrXJ/TIxwT0j0Zmwl8Qm+zNekW1oFcl74kztVudTybq6YpFeIeqA
rmeX32C0OHduJXVU43r61tbVV3Cy7lfPIzDNLcrsocis8QoT03kGQZBv6iTWQdk07iXNCX1rDCdG
DQvWv5qjy6jPJbxZUzt4+pTtYQqIe1dTITRzUlQMpzM+0baCdxnhcCvLOLvJZ6IrNnkmZsS7hXFZ
oC6TOm2k7jM76JjRqDfRmSOneZyTaD4WU2dchaF0oGz5x1fTlhPpgWhSTdyx+zFb+29TEU6XkGSd
A/oY8wmbCIkBcqqmOwKv2m+5g/cIXhVlrT/Omt3cevCCIVZOBdthfNDdhhm0ts0QjsCQnWTNTZTN
+3LV+DGl7UxXCvHi2UIhMrEp4K1okMrE2w77Jzbg0cQIE0GBMYk4OrmpCLdaQpodx4VBUFYikts0
tr2NXK38OvVrfxnZHV1nY5TzRqDCeWQ3DKU96zu1GTGq7ygDoztCQyH8CyNll9k2HYJMJhAb03Bh
H4dkUMC1wZzDDy3TO7Ga5U2ojEeI94ZtH84lxYGRByjE5oP74VXqlW1JKgMTSQL1JVamJnSyc7iB
yob16cP15CkDlEhDsXOrxbkYMfYo/cMopSxTEOaJIS/y4ptd58pRFVaj6Yvlc/3ht0JhHj4ZRL69
GcqOhdBFLeSxaNlMLYNE2bYSZeByE4Nna1G2rjDKp3uprF6LbU/K6IMBrPaUl4iAdcPtD5oyibmk
pYGxDfUD65nx1BNdfjUcr7gmIA+eG82ZnnVlOptMBuJQAStxYBOsPTJnEHejMqoZYYNy2qin9Iws
m1SU3sWqq8xtTWmaP8GKSwZZU/1sV1iotXpunxNljMs+PHK5ssuZzEt2qbLQqdmiosZNDH0x2DWU
gCNUcmx3uLXCXfzhxTOVLQ+IsnmJigQNtDLtSWXfMxjuYGpJjWPaDt5LqWx+TSeGBwbM4ZX/Gx5r
ZQdMlDGwUBbBXrCnEk433DJvK9+IiRh37B2Lb2JIvG+eROM6KMshOx7I3sqGmJEuDLpJeROlRmJH
qwyLxod30QY8dkInMZzq0cLIrEyOWMOKKylflU+x9120s/QdPJFs9TnjudWKsPpWf/gml8F9oFXw
I2WplLEbPTXKZll2LMWdFl1/35J2w5BPNMbWWdZCpb/GNI2tNU07bTGdiIWFWV9q5FP+quyd7cDC
C5EQT6QuyoOdqrkZNb5lvpC/cCJLXLsxqvFQROwy3IRQQ61tDxzVW2OBj1Sk+Lu8umi3fWuwQ5pR
yODE6xNIyUgS8lNm9oQL8p4UtIhDCSsQCeIuI6/6GA+p+ltgcG3bucC51Lbf4JhwMg+V2/hyMlGz
rLo9PbbdugSDhVlONJO9Iz9ofDC11qaHYnx4mI16IZlOOniQZvZD6QOU9p45+dBd0ePXb/VgZocQ
4dBbI5fiNNe8PCWf+ScEfCaf2Nq6ibsaJF8V1oHRwewzJrHvTWR0zjiv+3IS+Ysxh+8ZlxZI99d4
drvDBIiRV0U79BVyCyvyARyGR5bSlT9bmvnQ4YY7WWmlP1rLSI8OCn+mry5ZwQppDyaFt44FvJyN
HVgl7IBC137OYeucDFG1zzwfeG5lPRzMtacFImf4vQDxdpCiZhUm6vW1je1sA0fyGgIV3+TEQWyj
sQgfeQMKXlP2xDQlrXyVYum3VtfECFVmePzkpgZRNzOg1dfqmpulfmH5ULxM2GS3Y8xuw9e1cayJ
SsEzRFQlZGwYJ97PQqP2DzXN2zGOscCzm4S0JJGcEvY6pWPtnTIBQmKV2gOLpijZxjMA6HJGZ4ZQ
pnQIqSeo+IH6Iilv8kjT4kArcvheHAN+fNQ7Y5WBoHOe7rx5bk+T1+b3UOuSHwUnzrKJLWdC9YMD
vzOd5LNZFGwYKHfJSTWMp84d890sSjzrMnPNQ0GaDChOMAEA5nRGqzocRSkSJkQEqdIh1w/dNEGf
I0MHmig/sDsSzlcFw0yqEZ16hrOtY4/MsBh62DS/T+TX/5xq8d4ldvvNzcdXpyZncmOTg31HBqRD
rsjQH1YCM/yyMqeLayrpfa2PZxSmoGtDOnoXuTL8bq6nTh/Mk9nIJ7FOxbkTKJiYmMggxPaAd9UF
6FV3UWDndrmLEaCcU1Red70RavuwYjXdww3aT7bhsIEsnRsHv+y7NBtzxzMa7Ut0Q7wNQ/GEtNy5
SUwZXXWG6/tuHfsdWHnDd+LcAQIWtRez5Or0U7GmgW31OM/ECJh60VwyCkBmH1uyTt6MdJy3UqvD
K3rrgbSfCnEaR9Sm6lL7lqEYNNI8NLdRo0XARRm4kFdTepuYBZG9JV8Wf1w2agBqk8ndxqEe79Le
DdGeZpN2LLyK7HEJO9hoZ+sAntJ4DHsv3uLNsW8GGuYDoUHZPlsm47lvI5gkguY8c8bpmORhdXUn
6LubgQwuolV1LXmxk7Y/NFPG/t80SZsUSXQHbpiIDXe10Ay6Oc8f3iQA7Y7YWhPotcQoJGnW/cDR
Upc/oZnKG6ez889jVhZ7h2RFAOkszdbMso/kVFo7ogn1YznWBpOz0OOqQYqnUm7MICF779Lp/b2t
dzvqVP2SuWu6lXn7RSMBqWG2cTsu2tcSvNuGzF77MyEqLAZl2wZJRdNSO27n10KfTzVEtS1YNqS0
swUJZegIjHaGAjALHwymc0WfTw/YkJwnFOJ4VcgN4i+Y3U0bduFvFKD/nBKjiNh/msf+2qcpiswf
WE/wJZBaAqg7zKi+N5ppQ/UfPfeEsTTZCcJng7SctM+NJ+YnCY76BYJIfSfiNTrLRTRfw4SNiTVS
4G80W0R7Um/qp9nEPaLbWhNkbpYERetpVxz+IuahTSDy4wkudN+zlAkrFMkLbB1No6gpR+Tcfbmv
R9faWmV2ljLRvhOYEAWmNld3yOW6Azuf56HpDHYrtb0NG894EcPgnnsD2zK5lyz0+N19rFb2rYUb
eJfbZmsHBeKcYxu77jcq9WhvE9ACuHJ6rUb7OvTDo0WFslnQhrJGFEsABWG5HwclHs7WC0tcYoMz
wGwb5CleRFcax84un8lV2ehRa7+LvsE4qyhRs78UFIXbUTOqL8xEQfuzwso4YmNnvISuuxzjhmp3
g6jIua+qbrwDIUoC1MxxcLPgH/rBTjB5x5Y4IlHRkF30sUAami3eRmPkvIYOYMZqGZ2z1Q/awRZZ
GHTpWjV4z4dkxYSizz/Gbn7p4rXZgQ5MdsBJyLeem3w3RvROTm0rj+2a3ISTLcegKdoeB5uN/m+o
xg732ZrcrVnJDR2zu0VD61wTvUX8Yc5j8sCD7uGTnKcj4d7jcVUZWohiu5+sCSkFi2man+JC2V+I
aO8nXza4vX1paMyRVZ09fpTc+Uf5jYNHY3uqinJQy92WF1LsdHp5kkynOL5DwV19Nz+Keqnqe+Oj
0tdTb+Z8oP6fNNmj5KMnyFR3gBE/uR3IRcEER4rOXZdOBgklXvcEiqQ6AwWh13CozDiMVAtifnQj
g2pMCtWiwAKgWwlV4zLBqVZ7foHvb/GarTk02hYzeLfxPloe+dH+GG5b1oe+cWef5DbjNLc2khyr
TnnDMz64HkNC+DqG+1qXyDg9BGQbTFH91ZrbdL8QgLtyiNFvrc36WLcWSlKtftCQix5qjRfMJNvv
oRjQLlcY/nzyS2ZtU1EKn9y5bM5jrFLf25AN35AOtR9LyrCN5H3wY/a4XwQKTH+Qpnn15OQ+N7wH
y0ZXLWOmmsfso48EBp2xXOmZFNBkkneX+nB06Tydjy7UUw1pbRAu06gmdVDtKsPr6NLQwdaqlU1U
U0vsi3vhl1SNLi1vq5pflO7j1VENsVStsa1F8mtpNV/njlANRzXQ0MWdu1U11aVqr0F502mvqumO
VfvtqUZ8+ejJc9WeF6pRZzsrzr1q3mfVxhP2QEcPzDD0SfDRvq+q4U85pIuQbJgeWGuBgkZNBjI1
JBjUuMBWgwPRD17wh1ndP1CWWCgS/3ygWtjNoNU5jN8QmPwKoOmA7dMkNNp+6aUFwSk59iIkImLR
vK0Q1OlgVe2rbvXIrnDSCN9OBgS7wjW+djKOS79FLPC+jMN0KnJrgQBkoAtimvdCYVA9m7K+DEjh
t4PurZjMzOkBq3zCWkCrM97T1ERnDyT/oPc0nQr3b7iBE2ku038SsFBi8VsRdEIOCSkV5StifNzy
IE2x0GMZsN+zjzMt/Tjf1o+zDscH516sjkBPHYZ//YIZv+aI/nYDUUwLNeZyfzVHeS0JhMStyT28
msf1xXxpXrWX5mG67e6TTVfeEVn71z/RUgygP+4g+YmGjkkMj5jHUen+soOcGLAUTp+Ee6QG4Ruc
gITwaCtdbrM5WYVPJV2f2wV4PNT5LH4z7LXfohXMfq6GrbK/CJ7ekQm58F66VNTbNTS5w0VVu/p+
xYfypetr5wnFK1edU1aoHtmrSTaL2dIe5qZqLiY7zRNRQvORSobziXHKxnHlwzCv/87eefVGbq1Z
+xfRIDfzzVxUsXKVcr4h1C2ZOXMz/fp52G7bktpH+gwMPmCAAQwf+KjVzDu871rPQufA8pNiAwTy
1IDkOiKMPNCymZ7AZvi7Bl3WjmBHZ9MCp7kFdl8fJclQl2HWBQeMS9p06FgQX4cubE6jJ1fbS/uh
94AL1HdGoM/jVybS+x839f8bT3A+0PeixAcSYHT/rx+6aBics9L43X+sftTZL+VrPV69NkQU/Fml
nv/k/+sPfzbPv6rWQ+77tFJ/fE6a8Pmlf30t31Xq//i9n/144zeUyzSqbEsnEMScm/s/q/QCfqCG
HdEgEF2nJM9P/uzHa/TjIUC68FmhQb6t09OPt0BR8hOX7wWJ3L9K8f2Ay0I2zS5cs211Hq8c2vzz
x/lm+Yf+yQ9rPWfx3Gd7NwO22WOECbL6qcUQjMxU9RJrxuDWcuOTGI9/WL2Dh6YeWbc86H38KMv6
zEJmsxnCTjIPthcxrqMlVxF5BU1jryLcZlmb6UPr4NFQ3eSBDFm6cSPDkIXdS1olNDVlKfr4/PMP
fV67/v2d/7g4JjbEBrqDsoeex/uLi6mYtNMI2x9RsEd1fJ34v+d1eUHPYvnvjmTwJE3LgbfIP4wq
8yr7zW0MlFqzEeMaXqNhwiMXOCY2cWwLj/T0LyYY/ePoBS8MewmeeXrr/I/40FnBWMTqA1cGoe/d
d9sH9k7B+b4d8brXrgZVfi4DWR2JipWFKLWTzVK1jG5hB1W48bWeTa0sN0ZE7hmS8TzPTizcJ880
64dA6Q+FZT+L0DPoQMJMLL5R0BmXpY4rleXGcURfvID0Q16JrmJ9Io9Mh6azbDvqSIYa9R6dn2er
mx6rKnrSKxuLWEJI4Oe3+5c5g4sHkqqyNLBwDWjiA+mMzPqwQ5rrost16LDAuM4G8OFhy1IPBEnx
UGYW7pmOGhUYj8gnzr3LXuB5v35+Ij8O9PcrBmbNsGeMM1jsH7047cOJjOEwBFmATTylMbTQfoiy
FfvBCZo5Gi79TsApsjSsVSg1a0nqJN2Wzo/tDRY+tnquuCQw9nrmvgxmtcF69jzFwVM2EpKXmldf
nOwv2huWIwxCQIhU5lmGkPdvaY57QEnaIaSnMdHvAS1gq/2N0anXlH5PWFRvGlnsYtfaToO1iSr1
TgkBl0sDwiZGgpqKAikWJMGBq5hgVIcWXESWrH9Iv/7jpvSXp2tbSJAcmpEGnxKA1Q8MPzQUthVF
tkL+SXpN6ic084yqIjqU836W7/gNDM64VxeG1dIZIEywY+08UrqUiCk+v2kf98cfzsWZ7+mbL1u1
Si2lbE0EMkrIAalw4moIAVDgO2LTfHm4H2PS2xdqPp6l8jbRoXVs1pDvj2frfuJMQCE9vUWsQuUC
sEBbe4Qe8FYY11qQijWVz8LrCoXtdGZHF1Y47pBEPdkjAI2YaL1VQEETK1b+4EuMKgQgZXFzM6E0
P4BcTJfEsgzgz6JLF72Lh+CAff90xChnbGOLPV5JCsSypqOIh0JbEcp5QG+GPy6nTIuw/JhSFFr7
+LsWJT3KbUsu5Aq5Kk6VjOwiUQf6iorrxecP4v1gjnBsvjECEz5zlWaDgH1/Y0ZdTamU8CCmyVhN
RrCOy7MhdgBunz4/kPj1M6FrjakA8xwH0mcx3NtHbk7Ab1GuhCs9tg/s/F9zU6Nm4SD/nGYqtduE
9/HQXxvVtGvleKWP4tF3stl16D/VvkOvq3kh+WGRq8m2TgVpdPVpKNLN5+f5S+kGhPC78/ywjFXJ
kghESV6uP1nHEclugzlgqcbZg88EvbDR4nowfWgcKyHN7iE/1UM5QkOqHgIo9zDuJtKqjIZEdPKp
trjwulPd1JkXU77cwsnwN0FlGfsJz++d7CmGl1V71hVIg4xSEi/eEoagiJLeHakWS0vtcJjTVoYo
a5Cl0VMdJz4zW0EPlhg+i/uhjZ/9sJy17v2IBlreCdyI3sTK4fcMfzTWpaBe+7IKDmx1pjV+o7vP
79mvLxGrHRO6P3pG/m1++JqT1mW5oeeuF5g+9NOEQbBbRrq98Uux/vxQH9jm8wv7Y81h6yZqSw3N
4/vXaIhVRMZ64XodbcW9lNM9CFf9UNZjcAeskhSfihSjfDw1we+BDX2l0Js5dIMJtm8LctlGzeKh
mPWF5o5fnNx87PejjI1rjq8W2gVf08dlXxp3hIxDa/XiLN2Pwdo2lcNU3X5xBz6uVLgDjopmFPYv
QhRasO/vQC3m7baVkg6H/80ZZle0GSWebwJijsJZAiiv+qAsn9PKvGU/dWk2OkzqAj2SkRNfOWUl
XukoX9nNcIH7PTymdJSpg2Kg+fxU/+lMLcdgUuS1EKhd359pix04HUzk8Y5VMKpEACxi9Bpzwy3A
G7+wQpualH9wIA5+fuT3PhTeEnjKuFOIGDSZlXHDvj8yJMN2KoKCWLfSvvN7myEGeytFTD0XV91I
qA8Gws8Pqf3TMXG+IO10mWFRaL4/pos83kA/A2y48jeo78BTRyWVadTBnohY2mfye5h0t1VoPMeR
9SwmKre+8o0ExmAZKkVx5gz57zEICI22QRTffH5+xi8DsCNYTLsscG146HxF789vUCj5qaJVsFFJ
Dxc2KbD+2sewhK0xJAEpmWCE8xL1g4D7Fe4l2pamqId1a/mPNUxHlDzGFbrR3+MwXGeDug6IfyPa
PrqA4o2XgZ67iaDGLYvvFvPtysZn2GE23xHwsplKo9/HCYl1GQjIWQ6/TszmdczUGzkajxptHBzl
iAmStRFADO/0OvniCf2inoINb7FtsVnk8u24H9e3eQRszdFC22s6+0Zk5iV+7K2ddwoo4yGF4tjW
q8YMT+UQpERI8/9QQKPiljYrgumuaB5f0UxnMlDoqEWJsRwIN3ZaGz8gXgEbMqOXuQAqNL0+Bk1L
bO/I4F312C17ymRwg492YPQe3nFyxYqc8AznutPdR01EJw3fR5LSDI+ZDeIx93oVjSvqxJdw5q7Q
sj6rZeR1nKimZudpOhyHOD4mKdSSoTKfu7b16D4GCzoLm7a1ToVCZZE9CFYeFFBabk1rIwdcMtBl
KhRVoxBMTbPNBhKxE/J4ce8QLqhg3df2wiy/45U7L9IHmyS6qH39/GX8Zf3n6CyX+TTZ2s1koQ8j
g8TTlNsV+ci6WFbT1qSnXWwrcJvFz5Xm/3QF5X8R2wnnwDyz/Gcvw/lLRAHlbe3k56/8VDjayBXn
pbBjqX9WSP6onaB9NKAZGOZcx3PQK/JY/rSMC8SPf8Rn4Mf6Qxb508ug2b857BWpuLgalGyKMf9G
48iHyDj0dha1KNzMIa9zfQEjwI+M1jd7g6izKscoILdDV0P7W2QQ9xb1gFgttGv6CzYrb1lq/sqF
Pp+tsFb6R83K0zWTTXVIYlKX/EHNfK/TIxcGbgl1XojWltjUIHVsRG6ycNQi6HwuwUeroG0dDVV9
T/CRO1YPU2SmfG5Fuov0NNxiC6+3MutgTM4Z0hX0l/MIIlVLsFjbuZ6pGxgesoSoRVLeDerowsAr
uBNOahwidsnIrEujWfkkep56WgLVQk0Y8tmmDsqr30gA906vud8it3aWqkpQdoHKZF9ARAsXWTIV
R+IyrHuEYwJRCUzofJFQEy0WdVR3IIZgiHt42XF3t+ljP6nRKaqjG78GrWIGWbczY6t+tqwpPBgC
nbRft9a1RWdndqeKDYbNGQQbhYtozMMd7VaFXb0KT6NO10GRTyuXW0fgWxwular2F8SrUhwnMAvl
vXNyiiE9iKBFp9KA0wtKk/5REV35jhnvcq1MV/iqxqdhKqxjiH8D/RPm9nQZkfkFipRC0z6ZQ1iX
japPFKZlSchmkcJzVWbOHg0GsjZRbmhatSiHnuVDBuTpViPS/cKiaXPldmnq7pw8omOhxjOGVB/G
mgFZNM+FHfbVru8KebACCCQLlcLceeFkpBLSuOzm1EVIVIee3aiOGKxEja7Y5IiDDAncC9zTUHes
FinuOh8hfTT0V5Y+4Ga4Ib5TkSAjM/gjLPaZ4UGrn6GYF2cRLoMnpSO0zm/6fJPHSvFDyZleVWCH
b8u2MVdm6wxHukIdYgXylSgxdfCIjcGBwCP6urt2tCKMERrp4l6CALgjQb6GJNjX2iVxyNa5JSi9
eGbtF1tp2uk2c42egp8k77JV4W9gcsAhDU15pSthUK3iaByDY88ldWuZagWdk7SmsUMMyBWJOM4W
Sa66tZJgWMPNzdKln8wjcmkXp1SkLVP9NZhaCpV9B18lvCt6MPVFMnZnsuUea40dP6KAkBdmUXeI
XmmoOnV+3uJU1MdR83BDTjhIUv0UVwq3DJzVsgZrfXLpI2ebFPQQXzXho/QHa0qkY67AIitrUU8r
iUllWqJ6Mz0D08srgoLHFujxMa4QFqLjG3akmJOMFk92tZX4RDDTDBAep8ZpFqiK/fO4aRQqbJ2f
HxBs1UChei1Cm6FG9mUepc2dltRhC243tU+Nq9UPgzBAMGh1ycqYiEbrYJa+HJDsikbu8iqwopXa
6c74ZKCV0a8bBw5QY+bFSwryEBWZVllWeXR490mf1PDEaPdKQFlrF8YIL4nl6FBzFjoa4u+wl333
mBfYIzxz1CMeRZGg0pK2k+0jhb9+qWrdeIs1RvNM2Wb3mhiMbB8WUbXBdZDEywm3Qrwm4E5oOHt1
NVnZpkzvUZX0G+nWCAIY7Gnvu/1RQ292pvRqTu6jaToEy1r4HZx0UF9sUh42DXypE+AofBah4q87
AmItuEaTfl5ow/gtb3ztMa1ZhNh1a9J2cYg6Kctg7QCduOkjoeEBVtH6DkuSRIuXoGuLy8mw/NdY
acgGtVnP1P3Qkbin8hdrJHQGoP4nY9gMgW42N5GCYB+3EH21ZRvCQboaaSx2bFaawVqzZpiMXYAY
3GvzmmViFKMIIa92YNeVSQo0pzyzS7HL8PRkKxMdjVxoSTDdxMjjMsi/JPQsDAqQIctgo7Y2AlNp
h9HUTU4DOnqmFyDdpRYSjz3RHsaZ4xeb0S2Q2bszxTQNztMmS4+1g7dIMYaBzbqBrBM7Kd9r35R7
0METImjX6jfjMGSnIKn7WzOqgmNbuNB4EDqVTxKZsgXNlU9i0fSY4z007/oBxZczranvznahtLTj
bRLkfbb08Th/V6EPjAuM7+43Ij9QvpdxRBOhtNExLcZKzd0NhE1WeGo2juMSeKkxAgUp0qvGthux
ggRshwdkDrMLXMrAZQYr8gjFtVof+gxMAGrx0tih3zL6U2oU/Zb2Ll9Bo2SHAnbVtid5mLIWSPJl
XDBMIiVor+xBtsS11upz1U5XRodeF7+aL6/Rhxn5IlDA/VIOq224d3BOm4WYEuu5DkY19RLgxve1
NKW7NKwyDrZJO3XhSlbWBPYEsN7EmB23S3XsgRlornoL4am/Rg7RJl7Rje01nUj3UPENLwZFGFda
Uxn3RL5mpD/mxr6B8LswY6gPfT+eJjc1hqW0CLRxzOQ4udNetHywCyhi00uWFmThSt0YR06xscyz
KMwaZZnxKEkRRcwxrhEwK5BqUgNRblGPcl0qTjZe6oEa3pqh3s1/u+ocEi2zgk2kF/ptPMSMd5Sc
2nJfFfMOo8b+do7FIQUE3Qn3vkzdbKvlsQEKBp4zUA1Fg1PiQ2IZPCtkvYZRu8aY0SQND5pstzg7
b0Dbtyuna9LHmXF+Xsf4k7CBobSlxjjmrCHcASeUncpHYADZuRSTgk3dnwBHBWZz3QBafcbZSgq5
KRsbT18QMNCgf4PJmyIxXIrUyM656mrvh4rabK1SBfmShLJ5bUC36ESm9zisfbac9rYYW2JUa6nb
IZpeopKWoRoyYFuTpjSwHbP+ZA9qSd533loQ302tfNHYsCbQmztCXsNKL5dGX313KAxsywoKsTS6
KVo6AxjwZSsUE5u4CT2ZDL14JrOrwaNJYetoqnF3r0TEBS+IdY1PnVbcOj0bH+icUaCtoFSYh6xu
EEJmXSzxneYvdB18pjK/fphy0hXrKuGZd7gaz4akxFUWqpBo/CIhm0DGFF9Ty0nGdZ7I6iKOJoAH
xDGzv0/1GBMgO2j5GMmkllQ12O/gkRX9wxjSDcZ+rsUBYAAjOCiGE9zKwQpfab8CD/a7Pi1WhSwm
bRlNcwwzPY/Km9q6rBiVCTBZVI0xJ5HrFvl9AjpDBynkrqtqYCN6WG9qqxULSD8lwEqUrdMYbliQ
bhM1sZoF+9R8bYx0AeHUW+0iGWhMoPouFn2WGyu1sRkCoyxp7vvITVY/FFbM+4wnCW/lPnB0f9sG
aXksuqC/qXwHXWnrZx6I2OHRrWbPSlOr1begzpCFTWGofx+yYtn73cpPiumRbuZrF8H6UaBrYr8U
HUnQKE6ChTE65sLFnowI36doggkhRIE+4uaEulqrD5rBbHQfVoWSoT1G1qGjKJgDKON6hVyUzKug
LclN7102xQy0efINbwqdqokBwqOiSl655YQKsOvCLbc108WyZQ7YDVFaXhVu1N/BrYMH1Kei3zQx
q0wlzA+IRUIFyEMcjlulybA/1HkOjDEXbn8DZJpOoFlx0rqdZN/oX9UPghoAErguUV5rQ0F6SP2B
v3tw6ktGIFgUUtVLQFVJgc667N2joWqB4oEFcy/AfdfXFOWhvflWgp60H/PqySJ0AixnGYNMYYE2
PjrOUH6Xgc3XYbewFw58eCwMozwsnl1LNjem1ulHekniIhu05tbRHTCMeinR7OqBNTLPBqO57CLF
3RiiGLa8PT3Vm1CVL0Y7utG2mCIXX7hN7pha2OXclO4dqHWjnndeDIkL2TUM9TTNwOkrjR080EG3
4ND1RN+mMuUBtoXeAhHPFe2ZXA2516w+OPUimwOPnHkJRnoY64EM3SmLA502D2tCeOTu2BxHnzb3
ourGUllMwlfdTZgb2SuDRPwc9719Sh01Rnk+VPmKe6aCsnEi4IitFuK3JPCCWFy/uGusuDvwsRrL
KOoVrCM6mjbSRhaOnhgQTWS/YlSFL27DEya2z/VhxlixHi6DaSThOEjdl8At+bTREybfBmnGx7o0
XYGm3xkymhC19g29LgBcFUJ+pCRiXcLlBn2JoL8Qw6H24b9WUxKvcLWm53o85ReFbcUQSdA9L/HS
MrCUBbxFugFLk0Hy2U1VCPGONJ8wqU/fhrSiwVSio5xNtvG3UhQ5Zfw0uJbQvh6En6nXJMyy/7OZ
Q86ImvH7jdDyBqWrLdpkyYelinWrEjUNGLcmwiMwVzgHWmehKtueLLxlnl+PREcDxuK6L1ExOMvC
KMn2lrZrg3TJ02wphza9a0Id9erE4sIjk2YKl0iuwxdLL1ksFiivKtPONnPidgB5LQ8PQevKC0vz
w13KA7hxzS69ZryojoHOZbAyotnTJeG4aHsm3HEauxvR47fngfpsvx7tmNF2mMFiVTF9UTL/WG2i
Go8kg5qfq1I4t+ayxtvWk6NzY/WynTYJkUmXYGfbMyOc6b25Zu8j+oIbbSZAv6m5XPxRsHgbFfmx
HIw2BdH0XGyEFyEQR70/KAKkYvLtWfAYBumRVUZ7QV2TCrQahzflVJPwN45kmPV99UVx7WM7Zj4y
ZRMKaxTCSWv70I4p8SrZaQYXGzc6ZHUMVR1h55aC+koHfEeS9OyRpb70P11k+498xrcqpf/631SK
Q31E+eo/l+Iu5AtF/de6Ht+V4/74tZ/lOGjoYAHnwpvJyI8y6S8pE4GnbNYou/1ki/CTP6VMINkN
QcNNaCbmYjHrJf8sx6m/0eTXqBHqguYQ2JJ/U46bP413xThGfodyIVMS6X8s3d+/xX871+ExP/pk
3zQOSwSidG1iSdkjYfUjCMO1j2Wuf39zp/7hA/rlNf5w6A+NWIHEMknUpkKsioY8CJsEh9S0LRP/
W1+BY/r8aGK+krdXOjfUSDFlxYtuxxDiQ3sk9jtcacAP6FERThRUfgukz2a8d0SCWrB8UIM43vCk
q1WaSmfl2h3wCZwXXmfJB5iv1cKYgjswkhdja5/MeFjqMjUXrerfV5UvuFUtxCl8vBrBEKvPzx7x
2y+nT/OVoC9ETKbghfowxok6a2yrqwwMJC1NDV2PyWmiiMfUaszrqslEDjaSdkN97AJeTHRt+Oa5
GCqVTipztCqrh2SichE76qNi5MdQNzaUAb4FdgcSLENwy9JoMfT8WZFBRchnrG3QE3JbhAgbnLHa
BZVQb5RcNWpykeptoaTe2AULe7pEO7+MCfzpzPDKMONtMPbfGhoXSY+iX2be4KOcDaLkEs77VZmO
qABexpkZT4zU0xBhMbNHIH6sm+1TUbssybUy2bmOlDu0F7DOmjnlzuFiBpJMjFrTNyIVwY2VqJe5
klJBdDmyXnXpUQTD+Bxnrb0pMEijr2uZKEm2xdyaMx3TN5pttzI6H2sbqR5Aia1qJ8xyNtsx4lPd
vQHC/ug4DKUGGMeLvvONLWDyfN82hfOkq8IGohsV5w4kcZanc/2ZOtsTJQp3Zfah+FaaU/daylYF
UXPoRdif9epEpq/q4E0HTFWsTUtM+1xyCNWaYLDk2hqMaPkSRfFLFBTWrmcjDma96teGpV0qTVlT
fA7xHqeP4In3FfzroEMHaPNozAaBrNbwC2Xss4nPfCxuWVOd2ICtBlncYPPJv9AfCwagd58TSw3K
KJaODJPloP1RT+cGhVaV7aitZJrmhDSSsJYvUTqEyTJ3gpJKhanfRJEYjlMolafQN+cKr1NRTooq
St62fjuIbjnNJbteSud1yJ3xWk/UdNOQqLu0iAq4CvUiuW8qKdlc+urvP76p/5vUvhDo6iqP7M3w
8wuW+DoiaTR7O6H9/JWfE5rzmysc0rtpvZsoCmeBws/+kvPbLM1FfvWBoAEmQxP8QReMsWbO0+Bf
05mwf6NLKOhUoU5C8sH0+Kc2+ecc8hmQeOZ0vXktEcAZNJYgJbMoAxhCp4ufv2ku+TrM2Z4Yo61B
eXM/1T084iI6GeRd4Pzo4TTR6PaMOdSNOLnhNuqTYE+cEbUypP+eBjxjAUPO+R6Hjeb5bWlf5XCQ
doVStqfMHsIvpqX3q8hfz3ce9t+cr6mQLx05o7aFRdVvR2Ou+gHfROHie2qpomwBx35is+l/oYOi
CfvFrfow/5aWkZV1qY/bKGgAQyEzIgqsctYTTuxVLJXCo56mLCSe+kUizPOhwyRtVS7ESBsvV1ya
9XaccpPsClLQC7ey2beE5+S+M2iX3D1LH85T3Q9OuAlH4haBKSZ1rm4bwiNKAkbqNLpNgGKBt6gU
BrgydboHMjpH8rmqvroowoxY1TaT9NDVgHaKDe8vHaJVWopsn7lqcaKwGJ1q8lYeQwlaQ8P1c4y0
VKzGDA8X1f2Vmn8fu1DdMUhtaDkQPuSGnRf0mnpr9MWwszva6ameUugagmgd2/J7XLtYOt1CyAdo
TyobViVeM7zNadsVabWhWWwKEd+aln8ux/6yikvIxL3Xp8oDfAn30AKb3o+xe9+A5NiY0Jjq0VC9
MbTEMZ6CU5ZlbBXZ9HvOGFN1kNFG70kI7xz7GYPz5HU9ugThxnu9g1cvuvGcXam5xofb4mAhgEUh
lxQH/YAgUfoCq2l0VlD6Ww+1Sj2kgAIy7Anf872ghsqI/lIowbKADMIOjuBzXa3WrIIGCL4Z4eiT
6DZF7Bgr0VPOyIcx8ajbQBuNUfKAdGt3Zm2pT31Qk38Z4KubOfw4jbLospeuvuerWUSKPPj4vWaF
Zwcfdbih89hdwlnFdwqMeVFaEmBcX27VULlhP0ZtH/w3nTGeCZjt8NyVKCA7XU+Pbjgvc+jzNo7l
0/uz1E0bhf7OAMK1dARs3qqg8IXIxlySjTGLJvTpRhlAKidU44quW3Zhtpv0mtCQMErRN/A2D6au
rJHMFwvpsEXFuDge+iBUwXa30QYg2TfDzm/aBFeLK2Yiq0PSjHPDltNrLAnDK+Vemr2B5yTptpaO
Qw9IJ/GvNl1E8pvpHcjS611/ITvX3ALSsxeZAWzNhEHdQPPWR4dKBakXeipjQNyKQ0hwzIqmYhVn
O+AqsbBquaoelADovzXbT0hZJVOnbNm7F2VyTWNE8UYbQnFvXBNtMHgJVNBlNoaU2WR8ZjkD+lOC
FLy2ID+njVXUH4rYKD0RFYR2rgwruJICzoyZuQeAL7sqc64i/I+Lahxu2iGiEUY8bosxt9JKou4n
r6c7MzR3U1qd2xXtH1uVV2R+ObeiSqI1MrlVrspnSCP+EurNqU6EBxnhhobcSgzuugqz78QIrNoJ
EVtqAy2tRBMuG904c0cr3GikBEVxdRn17h5DwPlgB/vYz8UJtCyEM38c7XXgYwiaKdUNcA/N5L7n
6vXQUK9nFXilNCrC2ghlc+52w/eOFSBd7NrKyHfR3ecwpUykclk7QgzIVUhdgzxxCX/Ar8p0DREe
5X8o0VHSbtzWZURvPxFohpBFe3WWmJeOD4w2hfZymtWJ25RO315nXPSo52Mlwo3G6AdhV+3lTY1V
cT0REUJ5TlEpDmgNtTU7Ghd9bqtHjSr5zq1kfVX5mbzoJUHvUYFDn0w3/mBcgEWZqFq19FuOVuWf
l+O4r4U+rkwruRnzuN0n8AB4BY07mGazN9xOlkRoQiMXbDsQltZnoiKdUnX80Gux8iItZjkfJyzn
0R1Hu8AeqK8rpNUrQRStbKDpDHaN+ZDlyt72J8Y7ymzZ5MTbHIQR5Uxr2tY9ylysub/bQY5JLmo3
poW2R+mSZNu40aOu1HiPI/+SUN2cmDcfY24z9Ascv92qV8CNZBQ9z6b6K3m+/n4h+mMGddg/I8ib
HUPuRyQ1aGRi65oJAHBHZ5BGqFDYmDX0p+dQaPAmWKQrLblup7LdJrlSgX3h6wo7Vz2osV8dqNyw
uG6KBwvR3CU7FtdLwnrWMBJldGbaE3EZmhp5cZcG28hvc/IIBljeZJt6Ta7u64pYQLsMfifgBHUV
m4RlVmeXnAe+13aGkv5VX/i54nlbdmJx9XGB8+5yP+wDYyMl/ygxtS0NE/+qqQd9SXwBxGhHmZaf
H+r9Bv3nnbVnORD/Qk00//zN2kTriSXA0attI2n/3toYHkfTeKLHkHu1WT58frBfPFU8QQppfx9t
LvK9OZoS+ZASi1hsCcS+ACGu3+tZKHdxH7xoUU0sjZW0FzJMQ7JpxLRtlQFRRoIeBexJe3JjMqZ4
kh6uxE1qVcM6bmS7lz4ffDCwA40iHmFi9qpHKrvpiZFYeCp1tFeTmtr1oPG3FYSSNrpyHOaJGrSB
6hnM3Z9f5z89P7SrOJeBJbHo/VC80xQj1JSk0baFW1wWUWZtsxj7eBSaXxxIe68H/ePxvT3Sh6Uw
lpU8RCqib7tAEhjku6/a1HSLVCUbNE+sb5agozeYZPK480qhtClefn6t7+uyP86AFT89DhCtDo92
/nTfPNIkI5tdYR7ZWpWJ+d/ySdTQRcLSzVIukNHQQJNVmnzx2v7Thb877Ic1tWgxp6ME0reKYc4y
FfPFTohEBwCbLKJaVfb5OJz55BZd0NwoVnZPr/nzC//HU+Ah44QEKuwgtnt/5amqgY3OIm1LWiiA
caZEopFPeBbp+7amAtbEOjcdlfWmbj0x6lfrz0/gHz5dkNh/H//DKCF7tyGILTC2bSqf9CYaztrc
1/dZZfERK8EXxYB5p/B3ae2P52w5qskz1gT+sg9XG/ZIblpc6VtTb+Kj1if9ImoAFX9+Tf/w5XA/
/z7Kh2tqdFUnQaYAjILqaNFzgficjVWb4df790eaL0UFQ8Ru9ZeBr3RlPk2Wup38vl/0jnafWu6O
7/aLK/rH1+TtgT6Meew/ZEslzeDrLO3XqG/PgfUYG1c65BSPUr9Ogpb0VTD04Xk1L5RF2ZZfGHf+
YctsqBBb+ERV4brs3d+/q3449JUd+fqW2OFyO6FOu0Egou1QF+nbUh9ui9JNvKALbFIZRpZvQVgt
7YroEztTnsnRSejZK8wOrC7yQxJk96C40gstEndxDV3682ej//qy0UVFA0eGyXzGqFHfDSp0+RKf
AAhODYcVECsSt0I12pABpy4tZToRbAC9X6oIxZAaBj0iQzahyjqi9e8RQUweIvFjXt3lO5ap/iou
NFwE7GkakPTUI6vfy7IPdmo15/LpxkGzu2oRZaT7dqND7LRCGnk5FaytSr+CqfCK9h+cb19lGEY7
49g0zdWPS/6/QtUXhSpBP4+x+6/V0S+FqguZx8/f3haqfv7KTxO59RttQTosQmccph7EKPlHoYpc
W0rpuMepEuFGhTzxV+eF8FqT8hXdUAfz0Q+f8M/Gi3Bp19B14xdpNeKoE/+mUoXe+t2oSbXLxoQr
dOohhsk/M1X27ewYBEFiRbnIN1J2zbbWEklcmFUuZmnGhZ4qzaGv1BGuiVEc8g5+KX3YmUPlxAdQ
69pSIu+7c/gCXoCD5nAAbWVto/xGqhoPByXJibAxFIwfpunv4YEEi2CYni1pXLDO8XRCERbWkB0U
UhXYtbJZtQtfsh+PUHTSwUaccwen5sU35FLvzGyfNGW1AcyDlxUF4rCuSppEo3AiRHq2dpuakUKG
Bu6zPRq+/FQm43ROAzb7LhO6A7OZ59sI5W3L8fpziMnKWhgKkV4UooI7kjUJV1c6REKwuL3a9ZMn
M5PwvieO6md6QBEKecdLxyxAPHsR3Btkhe4UKGMeGnRgPHl2ScRr8ZyMpG7E0PnoxDvDOTwxh6Rb
c9AXDXPGsEgYdS9C4jy3SmLlhyLo5dVIegRc8BwIHctDcTtShwvqYbiOYj04a0ID1TcW8Y2S2Rco
R7tboLDBa5VG9QO4U+MyQ9e9KFTHvYicSl8ONYGomeVH1xiiBCmG413MMHIRmpFGjbsyd5J7fWgz
Pzp2oZPf9Sja0XpS+BuaAN1xQLkACtwztOvoDKIjirYqwkW/KNiNX9OWyM7sMnz1DXyT7Ktp20mr
YgMz+mgWx/K7NREBG4/O5NnucB+KcgvmBzedSFZRqWmXHalRq8iJk4vY7l1IUkN51MbSOIDYmEMH
p/QF6Sp580mN0KSBIHo25rpylk/l3EvCf/y9NGW1KZ0g2zUDbX+2TP0+Uw3/rE/zakvLIVu2mqPt
tFwRp2q0X/36oIkHnbz4FQO8+9/UncmS29rZZZ8IDnQHzRQk2CeZZPaaICRlCn1z0B0AT/8vXleV
r2XHvVGDGtTEYYclZbLBab6999pPuA7rQyG6br0QFqGaN6PmdInnOF5BZamWgA+hfARjlZ/hAsNY
0Jb5xVwK41IVOPJju5ZvsMfnczH7DLr0UT+B1mK2h6dtZbmjWg8GHxA2ENO/l1i1oMIoJ2H+FFnr
AZYQJQHOLxKa3rmnZSeUjFo3To/vOcHvse85Ap2R4l9iO5XwiES/IV3tbRBb3GcfExX5hbL47iQa
ecQuhbksaLLHGYknjX2PMirqTzZLpVHpOkPn1WZdYsus9dBeAM/E6SwZcdTzzpSDuy0yvdyXC2U4
Ez1PVkVRpLc0D5EX2WuReSsBqYjWsGa7xGPQEG5rs2hF+qhaKbP+IRIqbuwiZaJzRwgPen7FeJni
XuzabY7TjAoee+MYdz9slFYE8nTvI0+necTSVo1XI5Xq5lTNh+2UP6olDsXSnWgV+JmNlfO4EPaC
qtTaGxzdEYvP/V8sW8+6Q2DpP1huqrNvHiiroCzafo0aOj/FPv0Llsor9B7otCB5Py1Rn9uUbh18
bcwIBke7McYb3pJ7AbJOd8O2zR0duyqG0HquDK7ncX+omRSFFLa4X5RaRRundqwHfIg8TOi9YYTV
58lC+w3tyTZZPPxp1Y2jXNWCKCzf4yr0jPmO4lia6S0uqdyikAfwQH7HRNNufJhcMMFuPnbbsc7m
/X2oFgcGguO+W+Jly3x1efTiRWyY13ZBZHEMmqN5YrLKpz3nIlmJBfnA0JJ+m/uyCLXIhcw3D8ir
A2d84vbWj4YsJyfvvJ5POOCMVan304Fu0ugNV9WyGuu8OfW+Gg+6nKpDVSiP6apf/WAO3B+RFHU6
+XL9xkPOXIJkC+MoJZ2UgJqyXpy0ds0VXJsmzKtpQGGjM+DcwfGiS5dKrU024qicIif+nPzyxVJS
hs2cbjXI+XAmGDvZNZMSuGXvY6Vdh06dZ5ixUUTf+JiCVhpnesnIHGfvbYxDsyy8bJXNNLHWTI2B
NRb+HGSmELj3ki7o/IHnv8eV1qXwdvtK0CLsFmGu4yhO6MDSqmgMMjwFQyYGarfxW+UctECxdSiu
3lO1jNNR1OzdtAXa/VOiOdDwBvWZY/baqTpGmInGh6RKr1yf7HWeaRN4wbFdpZ1ub3oS2ls6w5ut
JVjBoTsvRKQJxQ0lsizO4msyui+Z0/R+MPIPUE3czO+QxzD4UUOZid3oRPYKA20EOFtfd0XUbnsd
4Bj1JPO3FKn5pjvFeORfhxw77qIx/uhzVv0ifcYwdDZLuoK0TuHwjqmk6jU9EEWkrZKpS06tRi/r
RGXInjJVSQzDst+YxVofnZWRHJRevmeX2FV91DzFlJdvZ8kQY2WMoyJSlFTN+7S48VEytry45dwc
a42GMOIh4M3EdN8GZ9TwvKw2Hc6StbvQj9w5KYGYaQgdfXgfzPEMme44qGw5G2WM3p6YbLN0OkeY
d1Xgy7SmGT1jUaWv4kAJQhwoqzuRu7kXOdFwkfQGRb3Wtoan3hIARL/JrIakaJmvjaXft2Anpgnk
loknlrRP9mV0sy82ToXDGduu2T5ZsZKnxvtyJ0v9St05Ossp9wIVCfMoepCU21GR5lzTdNN/X9iG
vrJF99bNpHOzyMnngyKfJNtbNi7PZeX1z7nuW9ran3Oa1VWRyus86v16RqWCzd5R6NmXrQhSc9Zf
WXoyADsRJFBZdYEyZ7UF/othzKOzb1BttpqNxHnSaILZlx4cYRpTZsapVtI9N5hIp056F08TQxMw
d3udU3ehBoYjSqw3X0UzTc8NFwaIr66zGeyC3duySv9K7O11csfHuqL9pKqSMy6+DQz9Juit4d3o
25cWn0FgVbl1xQBUA/rFr8K25z9UUYm9Aku9+54JgEA1xwrG98iU9taq493Spcc+dXeqV8NaYVqM
14tdxiVPVl0CxWXBwCFdZ6LeGLpkrj88zpp+y/XkJxvaK5e+z07YWzkpcW7iWG5iw/ZXToZ0JObF
YN/lFBYloWDIuc6cZX5oOltfRYRx1tZsM1QVCchIirPWanK7NRLOcI5BcQZuI5WBsTRr1hnh3WeW
Xw/wOjRXGHM0C3OEr/bUgp0taKB6nadHbeqY2Y4McOTS6VdOcfNTnRXEW9HFHg2PiHmZfdoxB9hy
sofjwAe9ksUA/7WrD1pSa0EnBMXWnUmBPc0sB2iZiIOWMe0sjarSutW+Z7PT7GZZFCd8k/fWdemE
BHNQYjpnWtdLIk4ww4xHjt/yQM7H3DW1ig8yyo4ll8SPIZvcV5g04HpHYlhBPms01xM1vLXY8i5+
ZBhbldXfvaLi9/VbGtzZfYLJdfYEpCg7lP27JLgnx1qsUxMiy1xSB97n2SHSDe1NpKX3XpVKC1OZ
aC+V3a4ZdGA1ETMxrYK37mtiPhtyonSuivDXasI9i/EaK/zBkXkBVIqwFCSBnaV6hze1jE9RrDWP
rscmFdfIUH01vEH/kSeReu1HnXITzoW8+/yRXlh40CGIvXUb8OUUoGdptErmMlqp2Nc2pIr81SJs
sW3GIXqp5kRe9dj01jKR0c1CWD47adzsOYOpW20W1VsbtySQS0UGT4j5ZmqlHoxpX3zWpeFuZepU
v3wsr0hbjQ37khM0+Rj7RCsyVZ607JbfgVQmJzEumQgMklrHWp/TpzjmlIcLXaavnU5TpAAZvDaH
KD4bha5vY6vUz4aLM2oYY3STpOv2EeWLmH6q+FsFezyIMDyvFSL2py0H/6x5jXidDQPpu1fQaBET
PvxOxrecYMJTTXz+oDxPsuUZ6chbj1kak34a8sRkq667b65Vcu0ye4PakXBg67rXIcFDpCGInF0k
XbpbZXWmsKM70oPqQsKLvlSl2j+qzJ1NVcwc3SYr2mDY8j6MqSU4VJXWTS1OF069IY8xRaicPx36
i3ohvnFlleFCv+RX0yMH+1wA98ns1Rf6ONPzaCTpTtg9B3K7kocaDjS7hu1vUB5xOJvpY06pHQER
TuZe6huE0gwsxujPZ3NpL6WemEE/CUgtbk8z/JLjc2tMf9/jtzsJ1UL4awXdBX7jHnM3wR1W9HVE
3+r8S0TLz77MZ2DSxKkaqnnI3DG946fc4VIx62dRRccoic8oSZwcDf/BpCtpTYiYdsNcpG/pvdNJ
LcVH7dFgksaZ+9AMRLHEkm0qklCr2uzU8X7JT4K++pKq2QoPcbPuqWyMWtSchurL1yQxNStwJyNe
Jzxz62IkNEHnfLUehtY4weLNESbN6gVsNzXStT6+xrpwYLHoT9kcRxs72ngq2hq5zA9IFddMOWs3
RrSMZo7kur7RYmM+zxG+AxC1IF/n6ZLZ3Q++nhOt1GUGHxppX8xtt5a9dLlzwwtvF9yCQa5XzUpY
fFGLCDdEmzmXoUhoZdTPMetnyMxev58N0g2JaS0cG80MuedFOw8SCSpk2l7HpkjXhIflbuz8JdRE
Vu7YKbKDMeL5l2PpXYZltmFfg5avRPww0mhzb+SkSC2dBkMFBTYvykky01wbNdBk/Pvmm2lyeLoH
9mRxL52qC2wEjYYVnaLqpD7lnkcTXTwqoKEZPVWeNo1PnciqjzIyeXisxIh+gm1etCBK7rqjnsgJ
uPqYXcvW0G6TLUC671t7pMKtT/SeY6YYz3WZV+cMCOc3dsD2DPSLay51AKsqw6ESLKkxEcHU/PfB
WqJX06CfQ47cWwK4+9xPSywM+6rNja1DVecWbc4h0Tzlh7l3hr2Ya3GzJtveDqPZ/nTajFSJQ93C
R01+i5RLuZDQaHgYqazd8db4xwi0xr7nl9z5piJJ5Nj5Kq27Hmtla79zl1av45CWT71U9jl3TWwr
1AMvgaO3F4vP9GqWJr/M4vWvsam+miIzQ25C6SHRR+Mygw0+DNO9y9yyRuYG4h4aJG1xYbc1wtIG
xs7powShqZ20DNx6XkBycjlYBL4hUROKe3sdtZfMeJaMx1ZvfPfJLSaNDL0J/baqywda2kLStkTQ
Y8GKNdJU6cxjfvBh2K8oNH2me+t726iHZU61IFPpJ4T7bO/K9uFe5UBgZJINIOO3jsuPxzOMwDU/
DP78rZYIxynQkOv/k7nn/0d+cpeBJhO/v5ppboeMHqv+z0PN//O3/tdY0/4HlCQGm47AAq7TWPW/
x5oONjvoTAw8DeqyMNP9a6xp2v+AJcTIE6vmPweb/3Lg6f9g4GmRLsYV/QeJ8f9mrvnv43mmmvwE
DxXBJwpngo36Td/0TfgOXTG5YS/QaoOFIQjzJ2f6Gxrtvwtc9x/D9e8eRCLvYfK6fvsxHfARlGGq
ynkUx2+jrnkbjzb1Nhj7fNzGcLH+xi/3H/if+09EybQ9MHO+ZXj33+hPYqZfLrk3UN0Uuga3aGYw
cDJXBMu461SuVXE6K9MnDw1l10cgaZXuEzbjb32rZsvY6sg3h85JMEvJ0QzNZcgOPhmrhzJelpOB
NvF3ss6/y2X/fIf4yG0ULB8B371/UH/6fTNXoydgqtwwj+ryU41zvqJQgf/MfUhemRZx24pdspqp
V3+2tb58DpOnXuc4YwMdavtXPAz5S1VP/YG5cf3rT1/q/2JjMP/ze4LaT9uZCzqK+YzHl/jPv57r
S73JMACFg0H7SLqAqFlR08Awt1PJceZ0TSWv0dRHwpTUi2mEDO/bKqdol9nIZLtv5hyXF4gCR8No
9pjKrlNs4CWMxnspmSPH/MPCvbrFvY3QWzMlG2Ij35azbG5//Vp+c1L+862mDd3yTAQhnMu/TfK9
dFE0nFkC2alITrOA86GmyYzXU4NXW8FVyBG+dYE1rVOflaM4HRVl5edBVd5D9nD8r8M09R+OPVpa
YBjVqcw18T4Z+abrxIPbUmxGD/K4cvEeXSprGPd9nWD+ibOPRkhGQpF490VvnXttIAM2X7w5HXfN
7JT7vC0c7vlQSG0tWjCUJn+YC1ODqqCSgsmMAG04wLfG4KYYrTV68uk5LZF3A3PSUThyeegzBvBB
wmp0bEudHTAzNb/nljRl73/9Xt7Vu39JyX+8lfDVWNxYisDD/G4rbwuVNY0pRUhbtXm0tHL5XBzp
nOzW0m/m1PF9BQ3t10gQevXoV1G7/utf4I+V47ffgGAXbhROr4aFzvPvX8zGLTl2drMIjcgqL7We
V5s6U/qJUM6WLe+XlgHUHOZ0utdae0m5G/ilf9Gp1/6w8b8/yFiNOM+k6e5VXRRr2qI4CFWVa9Da
YDW4WutuRyl3PB3jppw//UEZTwMUgqPPhv0OLz4+NQQ1MKU1qR7MsT6dPLx9m35w9L/55hr/5Slk
abjvSXB+Bc/iby/W05vRvT+FXS7HcwwmPrp/tva+Iaj0iDkZ/55h4MIjQH/lYhsfrUYgddAu3+yM
xfZeRCfmr1bF+s+//hz+ywLv3Vd51HekNs+5L29/Wr6KeC5R+5UIueiJldXWv2DX7m38SGt3Gv+m
0OO/vA2YNIjVoLCgFP4OIq7ZoJgC9CIktuq+6/Vc35eRvwMr/5cV+d9+ym/LBFPT1OmsVlDrlaZf
Opaz0zxUGk11PWOev377/ssrIpYPUvnuYABY95uzAEu2aGTCSLbo3fHVUNJmALy4f7MLm//u8HFt
SE4cHBAaWcLRDP4gsv3pUzJZcr25yByCP+2toYOMyfa8BYmJ8feZJPaFuM7KmtTnpGZaLQrtsnAc
pmSw9taZpea1PwBa7hO7vjpdo7ZuDFVNTLcOQifAHmqbmzTm1jAk+8aeGPhQkcIghEhlFqd/4xv6
/eMRSMKQc9kpAXpzrvrNNrTYC2E3p3VDjK+EVgeKwDggM0dzam3915/Of7xtPrBsNj6kJ8c3hPfb
lztZIpPCXqoN3MKJuUDm2s7Vl/EYt2CurC4adrzVf9exwFHw94eKaASPO8clFjaXGMZvVg9l9sIs
DRWFY6GegUrWoRV7Ld2ik3q3ZF0CbJm6G7bQfRurD5eQ8sZlwPE9i02DoFty5OwTzC5asRU5j1yS
9DVrC5SattkWPaJVF6Ufkdl91KOBnAmMgBgVigCXwUAyFAhcNe1pQKJlxO30R596a2C8ReCnM0UK
miBukOq0fba41EFPEciiTvvUmFqxIbzBbSfCl2s15XWQiR+A6eFCot9mHLCsufvc9pCd6uGyON/t
Zvms9KW7VEsp1pUQ8XtXa8NFkzQaYrWlnmnJ/qBElUEL3GhbMH/SoUYV2ce8aMZ6oi4iWflTN36a
hd9u7QTVlcYHy/6YUtPb+Hr53DTjY+ttB15nmsXGzygVbSiissINH5ffCH6m1BQWot0ImdNxDq5s
NxWiXJlzW56hveSPxuQgupuZ7GnmY1pqtIP51VmULpX0jG+g5yB2pLmKVj7QkHBRjluuIzaJbzlF
52HaVRPaFqhxeqywONfrXlok/auBsfNqkcl8bGHiXKMESQwTcjjRgeODCSDTtxChs3Z0kQ73+yVd
1v1s+r9mZZ1yNTzLcfjKOF2+pndWkLVUZeh741uZyEMH4XGDu3J8iExpvMoss65j3grqQRtu7gEF
C5QlLH7gW/Ja+svrFA/eA0UY2NGatg2SIdZAZ3gAcgytHy/ttEzYwAvx2AP2/MTM212GFn4dM4P4
F3ABfxsvEcItg9VrR5fre4VxG66FBXyrr9Fls8l7rOuyuWo50nAwgWsRdJ7ImYIfyEpFvPRXK5qH
l8bM/JXU2vlZSxCI8C3lZ62RzM+nVrvlHLTOlPIlq+w+cKGx0OUnO805WrQhzNWkh4PtGd+1yGj3
8C3E2QTmsU749HYUqyMsDcWPdnTnH9n9FSpdaNs2Gh/12N4u9TPWK2MFTuaCPvoQaW63zfRM7Wsj
r39GkZE81zpfSQmFgAO4Z6w9mRsHjfLHdU82kzQOc1CKT8XVlSo55+TomW7PBlppS1GX3k0bjSzo
gVRPeamE95VI8UGaAEAdfP0mwiCeTm9u59Y7O1Ya0wQfPc7CF4FTatl72KiDoY3f2qZ7a3zFjK0X
RkvRh8HUwssxqvqy3PrWXIcN/vwVN5/u1CKq4NZonV3WYqZvNQ/x2OKXIidWEdSstIeU32oNz48/
nFdImC2QilKqvdFbTsifircmrcVRN35ZIj4W9QQZCJp6BQjagkOUJvwBHPdPI+Va4UiqZJMT871E
XZOHRq15T9Yw/+jgbd4KMJwXAf074Blc1raVjvuiFI9Lo1vXISn5TMwB5kLSKYoJDRQ63+iTTeIr
tSLHgppaNycUpSTIadcL4jmB9x4tyUtvJWSXrGY56rrkBdayW82C1VHY3cwGIRnxG0n2vRuq4TTG
Qp3TJSquTJrUA3bPMiTeRPEvcpmw0w8SEd0mdrIK3Bm2uV4nSDD643rSGBLeOzuxaE7mT2oiBsyH
EqnKTxj/5bF8ZGjuU3zP1c7ZWKX9akVSsAbGkFMowVmTqL5oPfmMOKLCsRwRV7s9yIrnKM8rXnGT
Xy19MsgLpOanDnrinsPipO+pxd5mnUnAql0qIimtc2kB4a6rJll2crKejGhaIcaaAYgaShFc0NRL
M4R+a/6oRnlMDLEu7PxHldr0IVajvVUNLdaInU9I22uceONDJcbopAZSSIHQm+4dUruxRhyqom8x
17MxSKLS3eBaoSoTfsKxNwhmmKVF+CSPzwOwNzBBtMIkyqJuxq1pJwRYiICc+pWG2FPhcPDtFEB3
dODYQUYry/JjjeLzSDO03NBGR+q5rpuDcLr6ZjvymuQo4HXha99Tu62/L62eb43ITV+jijRUT9Pc
CcSN9c5vXYcdFcjnCrj+1p88UhJOk3z3DS07SE8fAtdh52zNmcLtsvF3YzoMqwbWzGku0B66uC73
jSVSln5Bv1ub6w+FaoYNyunMd7y9tsavPGGOQHnU3D0Dna1WnZE0jyZj9JsT5x4I7GI+ugvNsbpN
HsQG1/NWwVh5H4q8WflmYdymWMptJWz2wsTMtnbbp988MjwrAJVyM0rPfW8gM+/TxK8PGQEVvAQz
xR55sp5yK0Ya8knM8WpPCqrMsR87cYqsQVBVOOrPpp6k1yLtrX3bKe9k+zEViH7GKLn0+G+dP56l
m33iTsmeE0FVXWrH+o6vaAjS+4cHzRNpg/MiMcH76uInCcyQouHYvbjOvO/sO8ywPTTDRehpWHZO
dbkLuUHcTF6/MhqHauPBcx8sKD034kTiE+pa+e4C/Fxpmv06R9B66oSpdiX7cSvU2PpBv/TZFsNS
BcbNKQ99Lh3WMLvdYJe7NxRmBJq0Vj5pYiSkNi2FDwCRtsE90a5mo882xHFDkoW0S774Ud9qIANo
+tyD+Fv2lae/eXbvPiIGj8Ewadq18rPiYUnlp9PRdw4KlGZPYIbVU9UOZ42+Rrezf1Vee6C9PX4U
ue+s8eFgsFVJth8t3mew5mIlrVkFjKPgnDfhGEcrDmrRpo1K1TAgmP8oyvMvyvCHS9938Qs3PBDE
VUEvkm9XYOjcbmzP0NyjV7d1jVtZ9vqD2avmYMXx9ADXrkPxTXXQNzJJnhXT80dNt8WXNen+Ty9N
qkNOGj1E7NcfDBhdYGIqFKqUQx8tCBmFWawL83fT79xTOXazRqywpsnWd6tbU7nVPpHZ+EWHkjME
GXVsxzjxxm1XNzgFXCM1XrSIM0mWQBld14L9emT8U9McF+lbYoI2W+Ugo2e7MQiyGQURw06V8V2V
RNrtkGuhnCfmgtPcLF7vNLT31l0KEltdQZ6nSZIIby/mEieQdeafc9DcGxOha43/5Z7/iTTxEUu2
ILeJig/HxITlC03DyYZsGyhV+rAr8TgGGXUCJeeZjHRio0k6AaS2XHArsD72bdcQ0Uq6Bzw2t9JZ
yBBmb0NpU9yezOahjaMYEXZ5HxYsT92CE4qqQniz1lKHZglgw7tvNyAFXE637SLvI6JpXZF9WxOH
HU6m1RqbJBqSjWtl0aHUUC2Dtoym/ZjQJlNadxa9j0JLhNewyrtZj5AYam/avFbTchyiz8V2b54y
n1tv/G7IZA9/6Bu16O+JaeOlj7XyKkcSTJ1O/5Ctl+6pwB3YrwvCKetaNzrCUcvin0udgnsi3suu
LLTBYBQF3jzzRPXgi7Z/0jr0O6P28EjZjTmc8yqNKXh1hPg+qQqEGL/C8CgjEV8Lf3qKptLa1XZV
fUxAYwGkKt3aMVpSX2MW9U80N0voivAaq6Zxd5U2Q6ITbHufoALuBjgkuhjqZBBVVrPlSfbkqm/r
qxdnajdC4fqoakwqrQHIgx7MalrF/gFfRXN1cuYdARVycj0Sbd27olKvepuy6XjeCL48jUUDWGzh
zqqnMPeGyEl/8XeqsGhLsuNy1mDwcYwBpLcsnXbICclhgY27iwsCKgltRq1ha/rlabQTGspSp3Y3
RZa4W4SmniXXrq0V7nhtU3W4nbSJIqLAZWj4Qg1E/cGFXT8yIai3rWf6PNyDT1BPg6sWLVeqN1ej
D+GuZ+i4maxe/84zbIazpUipDd7yiL9hCCfXp2ZkwvK4typPe9ATK8oCfWrzhwJ5/tJy+AhFktNm
YRT1doi8dJ1Sx3Ck5fqlGPWDWXb1j2WIycUmMnmy6ax9WoRFM2XTz9cUaxqXOt+5ArDRvyWi8G9D
bpoPpqsjncLQ/HlfCr+VcZ08Ae2UZMSN3Di2GdS+JtP8F3fp+2ccBLm/Hvr0JwtLcU5GNb0oJP0M
fheMDEN21bc7NY3XkOS7JPaWU9Gn6PpLLK+E0etDnTXWHlNEf06NkoCoZsZvaTOQmjRj2mMLRojK
8dJjyYHtrfRTawnawS+2nHmaBsnQ1kKvnPydHN2xv08Z0guDufE1txnMTRpV2TXgXj9watVd9S5x
Gacs7byrOK8dnaJ3vpSBbRTRDS8aps3mKj3Q7kmgKdPcC5f7cVJwm9yRe6/m4F7wuJGZV+0SQotv
XVe2HzIj7hBaOsJBUMuFsDGH8+xlwP+zNgEDhHaptR1Ri5KLDW5b/SSTMTlD3atCQ9TNboxa6t8t
A3z/nLSPbJPZBmxXYfGUSIoH6Mp81UgyvmipVqwwOAmsT0vE5bDq0Sqnqxt5Ll/+MR92DS+B4KtH
8S//EzihsguOlvnsgUrxNXn3dcWeuIEcTtdum3EKiUw4+dKPuxejN5hX6jrnO/5v+bPAYBWOy2he
jLFsud5z4DlHeLy/iyTKPiqhVW0YGYIukbqice9mJVgoC1wn+hrP0yCPtd2xMsTzjRfKCL0BEs6l
qrS2bOo0p7lOucstTbdeyyjqfo1QXrhaM7irDqZd0kfKxUCooz+njkn9KyaQdTHnrVpzkta0C+p+
7x2N2SlUOAnxPpRTuWsWz7oVi+XvUi3F41GONXQ1TvhZzdMuGi/knkkFtVSSpWBZBsoi89SHuFeB
4+xrsiIkRr0mxEI/myem1ITenFQgVHk1QT9BBdl+oij9Ibf87iUdBaWhmu4EZHC4p2ne9Gtp/KVk
CkufwkI19w9hNHRQNwVb5MwOC8ZPgQQs3XJ5Myu7+5UwB3oAyat98tIxJkWqIxQZNf2BrZBlgM/G
rsJ5KL32LLx4Pne1g+XMwxy7GQWuaaZhMev5WBZqPVrYCGRUN5eUgOy51kX2jasl10VXSe9HBt+c
4TYL9xuIJriSnqWOWZ94kCEhp5IBUk7z0UmaOAq6H9+RlHiuRtwxOi7VJwDN3ilqRZxvNM/6QZI1
tBRhcLu3EU+YZ26x8x3yXAGGWRiBBRgH4ls6u8XzBLVuY+lNfGwSz7jkItf+6NdrKeAdq24z03pO
oEeaIQmdtg9Ls27frMwZdxnb1yuujqhnhU+cjFdidAdqufLvNcelUKm6J7+rx0di08Zj02WaE7AD
3tORJin9VT/1UbWapjnq1lSosUtOI1Fww+BiwG34hymkt2e6So/kOH11xvjVdtqLzhUgKLLU2BME
RTEHBr2xFUsonRPDa4vJ7uD5jX/K7Dj9GsEzwuCo0/nMZIudoeRgjZvCdIdAEtANmxbk6jI12lfn
q4iKWdf61ZlCdT/vP6LCZKx6/zYldiJCx7xXsi8j+S04mbpOcy0WPfqpRmtlR7y4GueILJdX0bYj
euCifqQY7nPIi1N/mSL3EfaseOjvnCJeVrRO+6ljopNbw3HsqW9qFXR8no4PQlJwfGG32hhN3Rz7
2ozHgyViWrfz8s0bmMPFW7+0P9zWUxddutZ7x0s/eGzDAfPFfo/GVYdMl6xXdqeVrcFnCbJoFmfN
mBTMSajLqsixlRkLjt+SuLYDgDzqZfM5UyQdEhKhDL7hrqtNWbOypKLPNqqomb+DF3kLDUFAQefW
3LBZKYxMbMk9Jb5buJTatta7gqZtB+txPJjNuTO1aqPbrbvHUx3rNEfHxlPjtc5PRhmZv1aZh38F
QvJ+Mbpbib/o0TCZC/oapkzXGayHKBrgLvA9BGhFp6DnYfHnE4cWsZjENbhr841N8CeN/rvSLPc1
WRznQMdps8q9xWA0S2OHYO89DBlWdw9s7drjuPI+wrM83uHtKw4HDWyFUa3SUdZ4pn31ALgLEGav
azOOygS1Ds5JcnVnbsXYJsdj6/rpz7hd2IDxM68sgYqV07n4gt0kfwb4ttw0LXZf0etrrkSksaPA
HqQVejEIx8LJCEjbVU/iCBYvM9jCfKI8EUYVta4rrkDN3liw1DeW5a3au4MWWMlYrYA0g1KxpzLd
Ks6SW7bpTA9SV8eVkgsstRhFY45b8/iNZVRiycK55G98IgFLEC1pTxiFt2U1d7IpN13qDjdSJfqu
4HgP+ZnxCP6je6994AulXdNizs6yrqODJ8t+m9RtgRtWOKcJ59tO5Ua18SSFfGLsuAN1hbNuo6x5
TKf6sSst68WYoqBqzW9p7UDv9AWFN850dxeOMnQSzLlruBIrrPYPDq7sXQw+5NbUZMxlZXmHclbF
Q9rlz1UCWNQoxuSXNEzjyW1t+5kUVESm0sKbJccn3FG4pSJH3VSpyCoWIodNbK+qoazCLs6GW6Qt
MT0OZbnt+tbZwGSrAwa61oOq7GErsK9vhu4P8iZrvtcCM8Auvp2icj8WrbsdbL5GWdL/gq2zfM6L
vrIaDXz1/D/Uncly5Eh6rV9FdtcXZQDcHYOZtLgxB4PBKchkMDcwDpmYZ8f49PqQ3W2qqttqqc20
0abaqqsqk0kiHP7/55zvEJ0Z1eyueoSnNK7yI3nwbAs2Nt27MI/WWeBq0ipsB7azmKNn3XW7GTlU
1AU/YyTbrTm1n7LN51M4DOLe6zS+6gYUBg5wTtKC/dNeBma3K1OTbEylbW8LPqgGrgt9N60AWKu2
2yUTCaaVRlqutmadnbwGt0iFYwlMBDjb7i331VfnGeG+M0brOBVENLWXOY+d2azL1rm1Z30wKua7
Uofy1NTRPbvfcsmoEPdKHktDmR9RNQ8cTYzD9pCPrPP76cQC7CX1JWsFkxqmCY9rHLPs67vqKBoi
NAv9QkPA/6IZO8Y/3Xyf5/AWmzttOmFc0mBj2Vi90fZtXgeG2lWKEWhW8dG1J7rIYIHQwKULlCyu
Hu5JGSNprpkB2ckmeLBCLZmUPGFJyTihLH/8XpAMP8EZxktdOgztC3ORM3djumHab7JYfZRAnS8O
3SQdXeo2VOrBsJ2dnBJ9yKYJwyxTRXSjjDh19iK31FvTW0b4HvB/8PFsKoe517eehXRjZq2ebRvd
DtuUz221XqzPs+dN/g6BglVGE0+PgSGDS12JbhV3funvXY8YmxKb0KvtG+DbMTp8D3P90Ltz/B64
AW9FN+GRauCiJs9GPCdIjpaI/Pcwpk9xZSlQOSZW5uDkxMwna9KP1vBGQ2L66IfA4o6oyUm2njr0
EfTR5DbD6bueU0IWQ22zEwWUhdWQ9yEtfdFynvoO7OUmfkqGPr10WnLacm4Ue9C87DSHgGb0lRM7
7ltFYOx9Km1qukFOrhrpdzl0ae7NLXMdFdRjtptnTWN9PVka2ySv+8zkR80w2DMtBnj+Hz2jubIo
brb0/FGTMmr3xnUUO3zDXUmpFacVeTGTLhBsAOCB7WObV+8g7nHXOcO94v0Ojf9eGOGpTbRxkdYA
WlmGRfiouJCceeKit6BOaHmfa+LtoXnrTtZXo8ZuE04k+LIe+JQKJhq2En/f5/53yj6eVD1eZdCO
pNkCrhnJLOrjmPJ7eaHey6Ip7wCJ4uRveNDzmGVjSCYVk43VPfHuht7lpWzJkqzKt4wBTKqa0oNw
lc19/mPuVbZupGjXXHuOBBbESrsBM5PERF/gYwnWVFkOF5/cyEvYVZTdxgSz7EzVdwn+ATNLz/A0
gq01utbG8iKWFG0ZBFfmBdyIuNLqjZuK+dgDmP4eW0mbrxtnGk+zbs1w3cOA4uIbIwvXmpduTt8Y
UsXaY18wJaF/mEyr25iMOjbnT17emVmhLvXgW1y02J/GpoE4opI3olDWfuo5cdmtjue4VM3GDsb5
OrlMbQCRdc9mA6t3fO80+XUYLPEYzlYQ7lotpu+VGaeHjtvxWfrauU71bLH8QtbjSgR2k9SYb57H
zDDrlevybcAPZiT7vA2De8Fq6JPZlClkTgKqY0J4jTTc93wnjWjJrykre2GEizdtQ1RvIruSW+ZJ
+gZ6QdunL7muD01XDVCYh2+6JfnXluELAvK+ogn1kKElbbsZZ705TQ0pl0ax406MexEiKXKuxC+6
JLtODyeTSc+DBuzebH4Wc3xX1TSDyHjau3azKRZavZMOvLJZ5K9nL2YDH1XbyAYe3WJ06VbSpgfE
n3JgSCVmFGcjVfxhd3SJYWqshgMUquZKSwW7VUfW9BLZ9VeRso/djDYPyBA3NArntd9fMlg+47q2
dHpIAwqT/Hl2b93Iy1/s0SGy2LGsA1FO7wZfl0vKvnDCx6hO77TbcbPoq/gG5QTJgTjyYWz8LN80
ZkdZncyH+WkGG4693xrIAUSefcCfm1HsWnbICVOSXBNOxc/ZaiiFwttycaqgZ088VrCvCExXDHD9
gwbmuertgEGutI1TFtsVI1NdymNj97JYO2pI7wbuMTf9FIQaCa2SqGnRuHDPs5IPOzU95Ko13/K1
YXffSD7R5ujN3jZ2+mYPVCLhWmcfHbfiNThEaq9ablArhlL7zARHWLVBVSTQVc+PRfXVJrHxg8YC
Y924nXGbLjfeYbbjJ/x65Z3w+25dUgDykACuOPBREkBgvfmbjGx36/mG2uCep35PLQVEc0spBDHo
NVUTnFuFnd5iM5Jcy5ZeigCUFScuDHbucruOU3rviBTdv2wWZawOwGGwbrgJUIE2VepHmyIWzlM3
g+JLrVJ9Wr5LQJGtHi+PNIG10EkF4w0K1MLZIpZbaYFV3epg7xj62sC+uVg8n49RZfEohUKzd5jL
J4VTalWiQ61587SbhEOWBVUvYTOYRAqKdIo3XqryS5xX6b5rHf1aB5x1JaDjZD8UONtWk5nwJ86N
LurXWbHQFUNXt1u3jD4lPto31Xvx/WS39QY5kTZ1jIqrMhFq7bk+PdgmZHeVZiXN5GI6RYbHKycs
e346Q1l778ZgvIEt/RH2rjgrXzzwQLGtZ5tE9k8nDxEtLt2mS7CY01sQ5eOdPyNd7yum3m4PV4PT
LGra/sBjXXN9FKxMh9yLjlYShy9ubbbT8iLqzU3pZ1TuGHxnsQzM1An1VnBQbt582iHpMnbugSv0
fU1TxLEwR8jFqUEgUg+Q74m0A+YKWRZdeLri17SorOtgi2zjuG24DQ0FPg184D2QtWxdu0Qnwa6R
VdCZZV5xXeqXdLZZTHl5zTp8trxj1Ng1hDEnJE85E8sLqCTynXm61H5d3RYUkux4W2RbxyWNVIwm
VPnZpHZCp9avKblbj6KoT0bC9GWHWXajIJgdDe3rdnmHLEXZHnQ3GkLuWLTo4xylxnsahs430XLR
LhiSDi39vOxh3Wg/xgkgOu1sM3vsvgy/to/xYAdY1MkgZOvIim+DeRgfeCKzpRqNrJPTJ5/Cz9il
A8q/uK7dA61n3qk2E/IxDga6VGgIGhP+mrIleSYC4ndrxA1vJL6g24s15u2dTMta3Zle0d/Awi3w
LhlDt1XMWoc6psdBz6n5MImIGLDh5FA+rSjbVo7Go2JVbPUgUD8HvbDvogp8rm25LG0oreDzzEev
CltETHqtX6Imx0JiYKGa2/JslMaLWxg/BNbO57wy6qeyI51CDVm83GrLnmqg+JtpNP39RLXEsxjT
/smYCL0kCWk6KwO8kHTXtHTaB2WJ8WoEdM3QYd2dRBl7684NuivHypXeCnGejOV+MOTpHU0L9qnI
WnOfhRHJfB2n60D16VffB+2uHkgpN3kfM6qYnA4YrA7MhnSf1pWtozX2D3XM3Lbe9403v+Vh3Uwr
Pc32Zy4M7mNtZZJk4J58SmIVbgraCw/1UtLVUnq0DquOJkm5WCOKzuNoIlqWVw57H0fvG+F2N9UQ
lHSrW9ZV+VnJWctXlUNNyK1Hlq3xqZ+12LGzTfhV3XFXVmZ6DLtMPFRu3W5z6NsbWkK8U2ex0kiK
nwP7GmfknZFRDLbnGk3R1yRkvQoSmJFBmxSH2mFr7HjhmxdFX7iUfnhsW9chKnYcWDtAhvG6prhi
X9Xlj9RJyxXcq30RN1TY0yUBIEPSVtPfgtW8HVyiodSOe6R7gT4iDEGjIXscRls+smuaqqh1d61j
1leXCXoYjiFAjH10mCjIouomXkKRAbfAYUTI8jrWPXlrrkLbOMxmfZMJeeiS6VbWbL8ny0ER4pc8
tN6Y7KSmSBfFPWaY7Lrku1tNzc5ww+Tswfa52Ohfz6pgYlyaRFYO5Xr7/zvDumCTCj7HTXX4bkSR
PDMCm8Sww3RftHH78ssx9z/NwPlflAVhXjQtx8EE+p8Dbv5f0xXvn9F79i8PzfvXjzb6fSzkP36B
v+RCfPc3CRveB6UMXo5XIu6+v+BufAtyDch4X3Gl5laI3fCvPQMwbWgbdfi3sW/iEl0Mnn/D3Ti/
OQrYDaAlCI/4Bf8p3I34Vev5O1+1Z9JmwCVaSsFLFKvxn7yHNZmMBf/SH5uYEN+Bkyy9d1v67jYi
6NDZxrHLErTFAsnVrZqIDaNXdPWGkkf7SMNSsqUTo+FNULDutgDQdKsecny3auGbvVESDnuWxePU
bGnqCW8opPR3hWogQyzaYnhXKpXHIOGm6s3JTMwypRVT+TMXVuisoFa1bCn4E3xrh1DyMnEHWn+r
nmXHQLFk7MmPap4w8dHSDtvDYOLJNnTvsJqaKTx59C2Q+4eRK9K8tkdzsnHNUMGMYshV3+jh9zwI
uyaGLauKDd6krPCMv0k+asrhAm5Vvcu4nAwVyj8ac7wSVA7/jGKznLd1iC1jI6UhnwpypPhPgjy8
1jKzu73nBdOncAz9UCVZwEU9L7q1x228WwlSde9R0uK49BSxco7L+A0gUHtoAl7l66E0zcdxcJrN
kNvO0bJ0QfQc6DuadGGT3cMo+qwde7pa9IBpdvE2K3TbLOMDrG/u4WKG17FiB5GzvG+5AS3e0vMw
zgYYGUpX6lnG852I88662E0p0GPlVIc7oIrCf+01yt5Us3LaZj5Y1fVchPYi+loGvUJZSG32sSb9
YN5zVR7wetWzoBk2yZgTntuIKDzhxYYtilNVVxvL5LblzsI3Kzp2OqIhp6iGLb8MTBtf1gwBi/PO
GscCj7IbEbsjSEJwE3rCsE6GpKZmaKl46MzxScfmz2SqKVdKUway1g7gf3dsmCt8rA0rPajL3My4
+c933MhocRWxovNGYkVMrYn+DDUqRnBnYKHjd+6lp8JyqAyLkqelYMDI6C6USXBpEy+8E1n/alci
AZBY3DY8H7A+1JeV58eib47DGBZ7IzNz5gPfXo9FEm/FrItzaIvixuGxecrZ7B2dkVV+IhhCsrr2
9rnM4TridQIZchuFhgTAJLmEBd4ZOaE9gyJAXenp74FO4PJTldGXpG1u7/HKfY21YgknyHgSkUzQ
zkvIaD4jIHvT8D71KncLw7h8YrEJ0qUgCiFTRUMZxTVUSERm8BJm4yXVzJwTzVzHqRvogHJdzD1E
oEj/0twO+YEm2jL5KBlWKAUi68IuhIhLaEN5CTJwsgUTOxgCa9WTjYwt3Z3rzGE5EkQmjaeT6p4z
HFJ91ez70ZxZBCuLTRtLz/sgylhazJOmiSkWG3gB0DHsfV/DDZr6JyRXTOWucSmK6kfXEYAeLO5u
gZUi8FJ1VSSti/LOpyz0DCrl+Ce4XdLiKi2/4jASz7Ln+Z9yfGd58JVZYIy7wn8w5tn80SDIrJqy
OlWOSznl4KCA+VCnm3T86YJz6SjnWteDwU++oifOoAKYdCzLxTnrNAQSRXM7+K+ViLXL5rVsb5OI
HVPR0tqKqsU6zGWJl01qvhp83bskCeZtRBvnnlKQ4exF6YKLMYZLqsqLo4MEyFLurn0zwwAz4G/3
5CjJIIzFY8OLektBLeKIk893s0b0Bd48ku0l/cLFl5rbDRVXwlzLBSkxYX0h6xzAs4px3nIfCoY7
36eRDD2HCYDAwaeum59VLZjwOq++wd4sdpE1+Ftt4c2DnJ0/KAInq1C39s2YifSjrAokF0XBIbQ+
VTxIzcYAE4J34EngJISf0m7VVHuvg2+HX1UKGWT1u7fq30mjkZz8Y+6IDINpOkRgTJex3PV/UQd/
F2QoS/bH3Otwx9htr3FYD7mz0XE53bdoUy9IhJIzrgRhPYgaebZo+uK54EoODj6zvrqQfN8tdk/L
2qZazQe2s4GJ/4SfPkKUxWtqMAfwxKB7KIa1CQtDq/as6KjQZYf7UWYYo0ukuG8twzaWdrMQeKR9
p1enKp69M1Jz+hB5UIQk5JKlC1kwJ2tbtx+GsBH1VOS8pu1EfxqDMUl3NtNqhUBHQDsg5neGqNYe
KVyb9h3n+2kOgeZkNEGuZmotD4qVLIFEpiDP7gC8scLgYx/ob1Anq43D7L44J6BplagLgL0wclgo
NdjyeW9pr/RWpZzxzQywZA/ExxCuV7019NmejCJe2tEz+0NjTiq/dWVMu05D56bZQbEgWDfdtK0t
j1mIAYJ9o4kTO3Wq7VhqdZ9PrXhoYQSx2JtQJJoUDBfUX6sgQgm/xyrvcz/n4gzn7R5KlnolUSPQ
sRdHEP6tXaRBvITmBLXRjJCQQ+8SKQ8zlvpeJNOp9/U7ViFWThURavhBd1Xy0ffNk29Y3m1pRdZa
GWROvCRpnyIT6EVU8o3jvoFWY9acK4M0DhDQY8xVyt7moPdXncs8aBRP9tCBbwPdsiIY7DwACjm4
1PIcea2ksIWc7FvjVly+W8XWdnY7h0K9qu23VQj2H5JHcU2mRQawqw/iDwDyWF2v1OwXB4tn8752
a+uCX+nTLeX4VEZ88sTQdXetVm2Iwh7RburNOJiPy22fnos+9IuvbJLVNZMO6xkPMxS4UdkDfZmr
3uZQVmp89eeRxarPGPcO3SJ9o+dNzhcVGHbB1+fWE+0sYf1miTC681jmUKRaOB9DErg0l/ed2IZY
hT76KG3jde4gUxaWVvDbIDAjn7NWyRPnIoShP0Vm+6sUr9TFhlwVbdE75r0CqrTO6o7g4xg1546m
dBTfGFyHyr3wycQtcM4Szpsa8/Bad0O4cSS1EI5jeM91KoETsZB651aburxOyCgdBhSmmxjvBYsv
A17oqs2M9ImGQ5zfRNkE/oQmjc11muU6WUsuHO2Ww66qd+gP1SbkxKpWYzN39bqF93CXa/xkBe9G
XvvuPG+B3NVPU5nkr7xa5A/KL7sDVy/6O7FsYESp8I+sQCsgG3ldQTDTnzn9vNgj0NpZxTdHJek5
nVJxV8q8Z6fn+9euFdZznEtjRy17+DQbrDGJu+Ak5ctIn6155qdbM2nSOJyZN46HyhvVUpWUD+LJ
jFKmSKoMyFI6QdmS/bffpqqAOcBmFDPYlCZ4zWL3OgXDz77qDHNtQZk6WGaxQ9Tl1TWoRO3TdBq/
N4LdMgUZxG4AE3j5e2tG/cWqMnkNsOFU/ER7lkZhCw1y2SLOB4Ic4vucUtjES8l4Y4ZNnoic+u9V
W4/PlhyLW9Rtka7Gwqb4i1s4iOoEp8hWmhQ7rawypUBPzM5n58jkUBmdrrdinEkAqy7teK+WcTjg
xNDTd9NrDBqWqlysiiAR/sougpQ+1qQ+y84dUAjs/svMG9pmTd16r1QsNHqV+LYhTmVKuT1UKJPa
y26YyOVWoOrWldE0DmIHG0KvafILQnN6HAKaN2SIqcprO2lsWhkggCufm9hq6P32hkOvRZCY+jHb
lEGdT0TZBvu7diGaHEY5RB9TUlKTkAdZf66SWa9qSh/BpaRuO5887tgmFv3wNI0cLzuwPe5XGGnr
Noid7iZK7AaJVtjzNw2xq9rit2oPKhyBA7UqetBO4X2Uo6UvvcUINS6PJMNTSpV340PoWKO840jx
4PPIdUN0/nbuKyi/wvKZf2iRhJ6hQ8JYnpThg8bo+azN2Lgnis1h75qR5BSfM+On7mSRYP+ziY+0
ranuWPw6jAuZ6M/1XHRgS4T4CKkDb3c88vUPChbSo1U7Qbqm0jy8FmMc+jvc7uGxY974CTKgZxES
ZvU21zEYrjp2x21At0C/apK0/oZYOi8UizHforJ4xMioq936qTchCUPVSQH2z/rUsma9T7zAf+L7
U9wN2uLWiZzwRtrE2nqBKADXc3mpoBHW1VtOdAgtzdMo4igCBH5D0mkN7V+LggqMLVGw49aJW/I8
JtVY3ktZxfddbIeH2hAt+XkJXb0pQHuvMzfrYb4kKSpiFEu3xCig/W9ZgfiDicB9sdjnfDDHiBIY
TIyrHFCbA1AtiJu7ZhpJzMTaHx+mZrjapnnpDV0/532N5NeNRQkOxjTLhz4do0M/2+rdmQEvE9vO
sD4Siz/W6BHbarTbK56N9icJKC/fGEPpXUpzzC+zTMJvuBN4E6U9Wh4FBSzEZ9ej2JP2o3THRdg4
hyXFJ7uuMjBvh4mBSVVEL03v2DfAP3WDITwzE+jUMN2ho3rDHR6T5t71Rqjy+HaenDgfUU9ke3Sd
3nsDRjteGq5b48aCVXVkVHLCnTWK7Fhw32wIP0z5Zu54Olm8T6V7X1vZxAeIzQkCVD9BTRjEez8V
zbGrTfQ9IAHotu6Ur2QjB8pjZMUNLGqbFv9HbYwPRjPkq5jc8KcrQv0VVhmG7i7x8mYTd1TVw2nm
pcY4i1mfEd5d2+TbNz2IUhYQanC5FiXTNwyYmbXiW0yjq+9XxHBEFaEmodBz/a35YCOjUtOxMWBp
0ane6WepssTayGBEsjAzQagpNMjJW5aszx6KKr5Gh6CV143XqhRBep8bucMz3CznJjnvSWw4z8Wp
xmyWP9BJwC0ABb+M92MtMZxCqlyaPbkVTVW02ObiauBhzvx5Reg8/JybWZxaD6lr69Xk6bg9YHnD
2eQ1yM1Zba5wCFMlMmS9ER4RN5poG8gScdPn2mZ2Sf4ysrv/oXAzH03DL16VSqNvftF38G5sc8C+
Y1hk1aTeO6xF8WNEMHmMovuZImQzEQvEpHWcFxnCXuv1mwlP+g5slLHnlbQAVCfmOJNhLLcXb3fI
MmWVI/x/Sjdsu5XjV+p59q2MRmOGyNB3bgAeyN2UZWKLUXom/zWZdxnbmY1tLLtURG9apcakfGod
P/gs58peEcCsL5k5TryzW0wmXakN5kUt4ifAQu4OVG32irja32WpHJ/LipwCo2NL36BRmvexO3gb
v6iCc5uZ6qbnA/8M51JuGyObDqE7xmuC/8XP0nOLe2U36pnHnptwIm+suBWY2QJ9DXUvT7ljzYR1
IM5FSnTHLqRpgvBosbeRO1tXXbiTN4+DO9anJAzlbdSJ8gAP2nkz+cl9BCJh8dybateTTCKraqW3
VVfED607AebCvRK1OTnPwWbPQPk2MUkZvQSjkR2kAj3cZGLP3W4gDGWEuMNVc6sr/eajAe7rtB32
fuQTGSvrdOM5gLP82Xv1ObDORVQNR9XGnxYa3rKtSIF6JgugUHEfsLsbO6JikMaN7BR4CTVDRRSv
Q2vMvhPnLs4znChin4wIvB3aA5hLfdBJAl1UU4vDn6fdubEUyFl7TAP+f5Hg/hNP32WKkx6WWuRl
SxKmdP4U4TY4fouBg+QIkw/uUbHc0jzwiHcVpqlhrXiEprXrYCytYFvs0qlzj0MuyLb943mSOPX/
N08CnYa9wm6V/yEj/0d8QdMF9QjWbjxOMHeTvtUfkS+G+bHqpd/ee15hOQ8Uubtim8358NQjrjZI
CYm2tlPP5zuS/TdIc4o92WQ34Q7LB/szQayqfnewb8mNbA31Wms7e/Ap/D3PjsiuHl4v1hLLQi4f
euvDJR2MrMTU+Mr6g0oercUFqcv4bCL0bQIDqIym6JZavDC+6ljIpR5enn0zZing9aSbwPZBkY3G
x7p0oB2yifW32MnSk6RZc4P/VXCREOH9UDYl1oZGP7lwSUmgjOLcZSGvw0IRah+zqy1K81Hb4Q0G
XG9tL0tLd1lfopyzyexHzQlpULwdbVm5qqfq19oz/LUCJcxu/kTpYh1gy9r9cj3HexhV2jxh9bFe
HWHWNexxbvkrwN4ktLTqgJqGXkx5TTa++LRdx2s6zrndW79u+v6vWz8EPCaAuE+nT1U0nJ1m790n
v+YEi9bzAzGVcaXxM9t78WucYJvkvEPugi5JcOloBPZLqKbuWI1NSKUX3/gUs9wKq2jproxlZul/
jS/eMskgn6qzs0w3qCQAdqNRR1tv5v2clBMimzUwES2zkbdMSRG9GpumytXerht2lMtGdM1pYnxk
v4ascZm3aLBxPvxlBrOXaWwyWG/XZDamNbscxrXKJyN1waeUvik7q94xp5vdppg0IC9qcvgmqTJT
d3pmvtwPtIM5/Cd1dW2Cyim+jMjp4m1EpPanFvgrHv7xx8T+tfT/gygAjgBVwlY2+oQFQuWPH5Ou
oNZdRLxOYu5aZwyK4W05EM1pG5EeMUF7x9qDJguNoQy2UNXvvawMbqMRViWC6jDeODqs2aZhE9+w
AYBAUOTp8MTUQ8xXsie9okgCiw3xJV3kQPsoCXDJDjAe0KbH+zwLyBgOLaWPg9XfWl6Oa68VY/BZ
GItcGFfO0cF48mj7itjy6FDJ52AIFtF9YQcPPr1Bt0S8OjbAAWDV8MJnXNyZ+XxmMMN1ZUiTOGFs
4n9gX4f3AYaKc4jimrSgdrig8u4wD33lZg+Ok5gPorR6uS2lCp8tl97bsE/8Lf1FxH9oPxvYvU1p
e8fhUmPTI/DdcpPRlNJVBhwniQtkq8YsvZlrk6RZZ9HszgBeFV9ut/QsA7DiIqn0g02q5dscDsGm
FAlysZqzjV+PcGuszA3eIlSFt1FRj4EbqWx2gU6jfZzXRspbV7poFoneJe4UHgpvYdVhPnf48zUO
JpE86b/ywKcgMqOpcM8kXMSbEZ9dsonsZkk60Y53wIIUPGK7iT5yi4o8jVS6DYICICCbETYFsDfG
WPU3WeINuDBi647V4sxTyaUzS/zxhO3E+O4XIK/55cgHGl7xlMbJ4t4AfPJiguhe61B4q566QkqA
qj6CtNvxSptVv5swlL31thU/4yGwIRjkxSEwZzNaE+DgaBqH5HFu9VL/JsVJcUrhbgQRX6I1QKCK
3Ac3spKXwmxTTlHMvvHK4ztzEwtTZgwxTnA7pbO5x5xg8rn2E3Fb5eUFn3a16zMWFM6vN9EctfLR
MZrwPJDFxvuGiQn+jsBm/VCkAQ111SIiWb/0JEuP3bwOfulM5iI5NWx1F2F8UaICrMw49OMpSbe0
GHyAPEe18tGv7F9KViuU2HX24H4DSY3SVVBORigrHpg+Y07vgg6FtHrD2pLFB7BZVnhHQorcwfIe
+5LdgNNejLZHWn1R25KyH3DvNCN/ZTIQzjmGr39ssjkhTqGsY22DuNz0tVysUf7iBNIYPZND4jnt
hFLSYd5qcIqeRCe4T2AVZ6c7LuvdVFlXOA/AJHT4nPrxNW6WDwhp5ml0Y/i783wce9/dVVbZLV91
u1MopacxQiJqjVId0NXb9398UP0JDeMtlDKKwwlEkvVcPM5/PKawGHYpK1H36IfqLvTv67S5rfrH
X7/JPyVxn+PPBu7PT/2vy3/2WSK1x4z4vxpx/+PvnkvgOfmf/5U//BeU5v71N15aU/7wN9uCer7p
sfvRTE8/2i77y68e/iiXf/O/+w//5cevX+V5qn782/95/8rjYhPjQ48/9Z8latf2uRz95xo3bLey
ef9D3fCibP/lP/ursi1+kwCGFDqlL1x+OH+Vte3fIAB6go+ei0htLoL333RtGIliybYAdDKV5S6V
VH/Tta3ffOk4QPE8jx+lC+DrnykcXmTr37/BlIQI6AtAPkjaii/8j4/GSANFkYJaOAA9IJCAt2o/
KDgZTWLdiab1j3HQ83mBm6PC7ocdOME5VGyqfvct+zsCBu3ff+frQMN3letKPqB/phcJPzRKsK39
gU8E7GcXD6xId+W8drrbKDqhgNbOQ5DDN4nZ/k0siFd2GJwT7iCruhHPXe0SfoEj/g1nqDCLk0jG
ah17i7FZe5vBcU+485g4egK+Sj9O3QQqgZpFVTkmWs/LQPXXpIjSBcU2yduHMR3vhzS4sQXbKMPZ
gQqnsiW8N5KKdBuZky4WzbYV4bsk7YnVnZyL4lysVmYILXvkN9rgYJwkx9S1batngLq7NJgOSSge
6DcTuK7TCGAR72uhr5GDWBiWs7lDQFwBEbnti9zaKcoFJvtcGuXOoZil916NdGa/mlxqp70Bwnaw
hXtToBcnKYKEW1/GUb15OsM6OFI8IiW+15BumlGW3gGAw6tf5ncYmG6cUf0oASt75ncKSF/YXKNp
uecGEJYTWHta6LA9GxuCoPXKdvkyHOTbqUu3pEc+yqz/igmfY4MQ1oY2vp+2PwfHVtnsZmaRcyJi
fRjdGQrGcDa8roU1HIGUsWzu986FZoFjYz5R0bF2UBY2sxwu9Rg+UP/D3pBt1bOALpgVE27TjXaG
mzoRLznU6pVpSHZil7oYf4JtOI6t+Ta3wMcrXlTRUF0pzNpNKj7Z5Ox3+cgKISi32vVfeLxWqdpx
QMqVtKAQjboHSA81zgiuAWiU3hFPDZkuGOfdiyXKjWV9lXl+15r9qetH1upduClHdFrUALGlrnSd
Btw7Rs3sqNe21DMR5eyKJ5Fkv/OCRGauArP4Ktl/r6aINHqbED40jW2e6E9T45sNTDr9WGuw/Nyy
1mbCi16T3HqW+avbNPN9kg7paz/npzYFgjT2/d6blr0RLcZHaQNw7tOTCw7TqYsD1fVXUj0/UqM8
U11UqZdWggK2wLWv7Mp85E3KpXOYCRwnr9IqBsTxctMnEQUp7m0/1pvQYV5X4l5Oj41XnV3TX7e0
RSONTSW4jBYSAPjpzmFZOwYw2AlvCCZZ9q4jDPhCpQcveuhD6xZeL0vbY1vQpUrSZ8Vx8BDH6F1h
ML5W5F7mf2fvTJocN85u/Vccd48OIAEkkIu74UwWWayBxRo2iKqubszzjF9/H7Tkq5Zs2dbu+yK8
cITC3aWiSCLzHc55DvmNuKPWUZ+xJdSM6lQqo+LJiZNlKM31SOpy7YYfrFI2ZXzHyn/ZF8Y9wdN4
9K1Nok9XBoS7jgTGqgl6MK3ymQRO/HfJlq+GgzxXpHsTXSFbPL1dep28zVvjgJqYwnfCtyqwEbfO
K5NftKYMTyVK+HGkyEiHsyPqrUBAnOHhvCFfe+2XwVfZWXeGxyzN8sVZ6S2JRqz3QuVjV1BvWVzu
w9b+zGNjH6F4HhF/IzjP002cZPjn9P7I7jna5M7growqeuDWxBDp6WffZBCaGXeVnJY6cQEVxBz2
fdreLcIT91a/YgXdYx7usMuwwNSkfWdTfSKWRp2QFRdkRtsOXQ340YBIwbr4gCaxskZ5TZndSv6P
lYjiTVLb8QokwU0eVPjXq7OXNa/tmBbsyttgWTjuderHR6dnHTWo0+A0REt5C6zPF+ZpZ3wZr6DA
3kQjmEp5R31sX8sxfo5HJ902Bf8dkh5By9dVx5rTCcXDaGkPyuXtSY0Sb0Z2YPCOEpBYLSyhuVgE
GLB3jtvve1blQpjbqSq+m3G6zUAMk1gTLthnMGkNxKlk6QwUpRiWRul+E8K5DvbA6jKGm92Pm9JU
bKatBBmkGcaL2sh27qTekfYPi7JWfP8aNJ8S2YKItCdBx0/2MiLqqrpF9fpcElQzOk6JVb3Nlnpa
v0exw4OBAiVo+tdOeXcZmzkNZgzK2dtJ6BhvaB+2NTwCkfv7ybe+lciQF0DikxWTtOPE26p53om6
cIPICFY8oS4LqGnRTHpxEU37bEMHD+N8fMOjt2/QX6xZytxVBYIraHKwoSLtZOmA7EM/BHBbbOsp
edCbpOZt9uGItVtiD6tFRSg3u8RKOsCszX0+WYe+RjlUHWTQoFplhJAjTaCjOEj7tTXjJy+tSRSf
3Roo1dhAljmHkJ57mybwtkUlV0X+FtTZbaqc564y9kOikFJbN33d7PquYFQKqUl1mPFduddDLIdx
1Cxi57H0+lXZWMhm8TA2zyPT+r5Pdoii8e0bcH6as+i7XTzhZnXUNmy8eEUK8G7Sgmk1dNVFes17
FdNDBBa0c1k9u6pa2QnT1Z7dmBK7PmmJoD4OzK5RCGFszKp7bULkO3ByERm1UBGPvGY7d/YQfCvG
G79z1rmjn4PhO8H0t7ot0ZtAUdDN742Xs5IjybxNjBvqtyU1/PdQZJ+Bb51N2dyastpBrbogoVvD
VvAXdqVe3AiTUvsdtNiyHDk66TFru7rFxsRDmL/wiFzL0T44yRsUklfyp958LVrVcXRs9fZMZs7S
zHFdCS842RxaWHFQseSMlIbbVpHbUqQ4DVPQE1pC8rn1oZzytmvFLh/GE11mumoicxkpY5dia+qN
9r2d2peALjtBtREbEZP07CP9IfY/uSjzskEsYIsR+h4Up1oCfU3IQI9Y/oSPIj2YHApBv7I4ltuJ
aOEUL3sLOSrd9uZpitx9L5KzrnB4ux2aKbAJlsf9mTNFHxC5gP8KYv2U+3OikyqPvhXfVxnchQlD
BQ6PAIVamDavwSlLjqJ+iqx4ZZbaBpM6OoV6h8cFFG4XXp2QBDVtEusMUXwf3Tk4Z+ZYsaHfsZT8
tGiZA1xMQ8kbWImjBY9+IYeEKHKCK+rkxhoi3ADyWg3VB/Hk3rqxrJTM8+CK7hwpVdyQAzAvCchZ
vO+Z0y9J0iDyXsenJXPWFDnm8h56U4yHjyUY8GbLvsOd+cpC5avw2ucaLQj2q3ThWNW1ismW76Nr
5ODgtvsllvWtj2tBTpeOpXnLwRsTbWfa6UNZ4NDyalTL9trpsGjAm+ptteyD4cjkE5BPvlT99yTA
xxXeN6U6gO6585rwHLGRDceVTJzl8DBMwSavNwFQKfAG9UoT1cDaMOD+CNea3j6AEUPgRKca9dtJ
PfmOePZ7/SFsdc4DdxvSjYbxljn4rg2tO2Dgm6Jqj4Oe3nfGXWryBarnzMQ3TQ8WQwnZKm8RB0Qf
fd/sZC+OYTEzMMrhMChctqR3fVfZNeDZxCV+6JF/RVW+8xSNBKqDsDmGxogNz73I3t/gr34P7Qy4
hmpXtqczbqB+aDXnOW5YKI7ltSS0bQIt0Yob5WrLcFZTWZSkpH4dylQ+Gumls0l9GRmDt8B+1SwK
wmKVpk8+Qrhl1kXhQTnpsXW4kSvSroiCz+JT4cr0q2YHap35U75nA15RQ1aqeWHhmF/LZuqIYyDG
q0ua8TueV/dORbp7qmKz++z6PF5bsdK3th3RO0zSQ8iBfB+B8LBGkKt/lVkS3LtmKm8A65EyxmGf
7pQo4mvugPtLjFQ9MF7mndSa4C2lGt4lYTEPPjXbWDeFD8cMiHC7RJpDqhv8tIwYrj2sD3+HOlH/
xq90v8JQnD5YuOm71B6brQdn8TGXlbkxAM6eUe1XBz0jE0vXnOqRfo/6mMJsWHRVVt+XaWxeXF4x
9puSuyUK+r1u1CRvdRYbbI3llwPn6Q5WxbDyRtwxPjoTlltdoph/FeUpyyN/zV3D4pm1+l5TRX0S
meMdkqqtDwq1kE4RR+uFlY33nSnTqbEc7GliPOWu6Khn8DE95m7jgCrSmZjnmGcixkxgBCf/bMHT
fR1MIE3MjsonGh2eH7f20w83ku2Llpg2LLEuiM5W19gXW0XBgzL18b7uVXFr9AzbOysazlWuQK9b
1w41Kyu8aqumZnjwWPo9aZZFWGAWjlim0BZuBoIpVxZTq3t4ly1OOAx8IxcmMCBSqNK8dW+MaBg+
IniCd23SN3e20dQ4tI1on4YjzGNbtaBJQgI3ATVsUM2yMqWuJ2+nQI/QYcIwPYF/04qATgZ+sU3n
Bns2fY3wZRDixgnWOhzG9rPJeg0+R5S+RXYibouhNRGTOMYNeky0SgiLiZkJ7/LhbQjamSgJbKxJ
xjNL55kLkY7dY803czRwYY64x4nOXrXl9JWdLoNXrFo2DqfuAjrjyc2wSZXxqwznTVu6JypyaU1t
wrGPuFwONyXMNHazEhMQVDqdwBsLzq+NIo8dLsCHct+NkT4bOj5lwmUmonerinEZRssOLEoDZzWj
cuNisGzQrgXO8FvXt/QtqPNnAJUXmC/7UHdvE6tdWca0DCKC2HL2J/Gt0KurYTRqXWj1yzQFAfTw
kIoylZfO6p48EkVAwicLJo6A/zD9Ddred8ezG/rdvjBKoiY1kezSDBwdjq/z6KIXEYBkc3BRqgwY
avc1NHSK8hrLfCusTVc1YKw0sSrWdfuMiG7R5PWNClxEvu7GT7LvRfarF4SBF0OofzLsMOXvhx2u
JW02Okg2JZx219DVH4Yu7MmomGzZ72TyTJsf3kzgYc4ERwlsM8l40GVW3g65P91zPgUPfSjtC+7i
6Fzhde8XkAW7Fxcp6ofz41GJ56dmnJ8fe36SgvmZiueniy1CeWP8eOLmZy+f/PixN7ETLXIezXZ+
Rt35aR3n5zaZn2Dvx8M8+GZ9AMuoHXyPZ32cn3p3fv4rlftrAmbKU6pqte3bHgmU55NKGXnxuMqM
yrsTDCI37Al9JPmcMtN83vgeJ4/esKgsrd68OPbIuWTU1Oc+0KRHPcrrRz2vU5I9JSLrqWrO/kQ3
puaTTng2Z958+sn5HLTnE1Hzc+ObmE/JamzCPfYzpsVlsGapxWHazueqhrBknf44bNtE9bsxdoO3
rKDOKPRRPVhRrNaBKeIrGxwaBua+DFCCXt6UYx/cWyoHiKy0YY3jFwFcxCX/4xKA5EQy2nwz1PMd
4c23RT7fG1Goxu/6fJdU863CPCe/GvNNAzafS4dPM9/7kpuIFUr61Z1vp3q+pzwnCfbDkB/z+Q4L
5tsM8fwT1jN0O+5UT58MCW+QPGDgKoVRX/sq1V/csW0w+oWJeB5th6FWSiDya68Gn6fGZFld+Ayg
4MCqdSs70BspBZwI4XognL516iQjl5dIPlGI4LZgQI0AqtwUNG07qQUKRXzleO9WSpTGLnf1ieYG
mekGP4ODFqX58Ruh2qdLJ0Wtxz0N2Y8vUxYEyzrPEzICI/kObEHcpBGHxBZAPf0qO2cqhRRtKWFz
RJ98mHpxD7OJrMZCh0MEKtCkLqFbWLasaxh4pdJdRCjQFrpdDGsERQ8B3eau16zXKmOU0+odncRE
XQnM7jriTOCyGdZK8y5RVF6SJoBe20fVCq1Hisoua9YuDfs3mphnjYX8yWyVWteF9YS6lQpIE+Za
RyjDCYtABLlX8uD2Uju65K9Di4Kgglc0vDg6OA/ZkE8VSHnBr3xByhjcRKWKd5lDmd2m+sE3DTzs
XTCwuxk6ip4miVH2yrcQ/8+OwNnvJCLFSEUnohmZmK2FMR4r6g9MtPz1ni8G8q3uxW6N/JARnLPJ
5GAtyTQW23JMqpUBS29B0OfWDXJC9TIwV1gL7A3DVMYqevXODuueupB4Wjmw+zD6pyIfrrlIs8de
K2jH3CTYWm1LfJUP4OUYwDRZJbGfbxuoHOteMwxwFLLYuKhEUdZ19aYTPGu5y1zTQ0++0HyYIP5Q
v/VZ5+xHI2bjMWVvYAGoIGysDYnjNlsCQnEFsIbgaxUSLZwCM6mMWRyPmZRwqAk3bsF8sYlspCG+
SiktCp12/s4uwc/6JhXTGNDyB66XX3Ov4RMe6VrhTcgl4NYLP2fvfdCaXLvCtJ5qVxKN3djeXhRK
n3cq4Sn3nE+jqNNLLLSJbwEHigaKkC7me2TKS4DmZTkYIW4SzUdGnRfRMpe8d4kKPmtFTZFENVd7
WePWR/A501E+xlG89Mkr8v9Tg0kW8zsSm8y5m4xcrMY4+y7r6WE0ckkp3GKKTBrAdprrCDhsoABr
3PgrM+JwNHQajy5zuaxyq0IDKfQnxdNO92p8HbCEr+0yenKqZMf+X6010+3pjAtEF74RHH3HvBkd
CPNobv3FUHFJ5ECDVwykbzvPhnjQOnm5C5su3wdCC3Z+708vkTs3mb5JzDMWW36udhCwR003vcFs
T/H+WMHSaRNtyUJXnJ0mKt6jYDT3Pvi+m6BX0T5prPrs5U5z19VedofGevjwOH9uDFE6u2GuqLq5
tsIf1t6ac72FH5rKa67BhNY4ezR+2sr7UZ1x4lpP7lyyVXPx1vKO/9gy/KUN1T/fPf1uWfWfLbH+
l1k12UfhjfzzNdalAixZsVf8ZTG2//y//+fXNRY/9usaS3wxTYEgCIemcpmI/LbJMr6wO1LCktzP
s0WTddVvmyzbntdVkh9xpTlLJP6+yRJfFHZPy7VJHtJZdrl/ZZPFEvcPKyTKKYlGAPmURPao9PnP
f/LAQIADf2sZ7Y4RBVZzunjG3e4uBQwIMHV4QSnmLzoUdEvkJCNE++bbIMRz5LovpN3qD16JtcUu
+88G+fgibtJ5ECLblaaRpTk0ZfYYF3p943Q+9ZM7ZqupA0cyldG9JFKQTQl2ZmpJjlK/uHWKWCxq
8EyUxvZLTnHC/n58yGnp0iK5o1+IV4mP8hbesrWYYu0TMS5eukogt9XKN7RtDJzYJ+04ibE02jMB
Nfe7t5D1mDblxyqJwFk0ferAHPbv2GIoclhtba2XNN6GGWXkE3MsNMQyHAqtkMcgg7CzKBwgI2g8
x6unmG2F8XsP9iRmsJgQPjZOJw2j+5rexwMHibQ4ALm1gObYPqRjtIX8bR0LaQx7EduAtbwxX+Ed
QllRGgiAUUeMA/sb22i/G626rUdfro3KdO7RvOlLVQTroKzj7VhDSULgnZ2cKCdRe6i9D5MR6k5S
dhzQNBTgmkuB/E85+7iC1qEnvvxo5PhWDSpYmpSgy6Lv6lmnxz9B0f1oiaE6ebLT98gUoLij8lgR
ymCdprhqwc/k3yKj6bc0wc650oG09b4ZIa4lHsjQc5dRqYOtLMgwDqiyYuowiAeX6otMV6Ds8VCi
tGnjFzMfX6DRBMueO2VRz7c1TnWc6dzfRW4FK0hZQAm5VMLMjXdOrt7UfO/Ljr8+0bYFmx5Owrqj
QMjnSoG/lex0HMM3IZxIFhIXCB/RwZ0rjNQfwkvtEbkZO4KKs4z9UzTXJKhCXMpE6pQpVua6n2uX
hiLGgbKMC0WzTxA5nvm+qm/DXPPoc/UzwZRcpXNF1BU17aB3CSiVZD6k0E7qazRXUd1cT7G4IW+H
EiuBfbGLmhqCKdVXPNdhMjLrTYow9ar72Pxt6aL+UxdQE3cZcKgFHQ/taYANt+4YKy1Up6sttO55
WYuFuNqmU2PtM499EJVaVdxZcsAMALp6FVRxclbwsFEQseBKQ6PYYPOpzpjtuoPnW+HOjwMy3wF+
V6Gqt1NTnFo98mAqJYTM2gwqHgiudbdUtTg+7fpq+PXwiMGKERXr9h1Ifhw3lnziuhXbOOzSaxLF
4ZKPqlv39ggPgc4M9XGrea/M3Lu1F4vyGDY1juyxl2hxcaxyW9uVWLVe9S0vqmwFF4tiEKzJrUyt
4Z5BIKGtgxWzBG7NZVPLA5mD5hnNUL1yPRtRv+rD+94gX3As0DTp0ZTOO2ayZkfArQ0WUQlQgdVs
1MBZmIx7L26GVUtHM1dB+abRWXjoNdCyTpJYHTc9mjxZMOoXgZ2h4CGdjYmTLonS1drnsVbyCfSY
syvd0XtOdKSxmu4Q/9Chhw8tBPURrqib0rHDJxUWzHHzWe4d2JN4SCZDu8XLNVHEJdEz6pxnHbTP
JpcjhhkfM1A93BVNJ75hx+gewh5UmxbWBKWbnXQWoAmngxvAX1VspuiOIGSbdXp2YMhg2KMHpndi
/ODhHNecJN5ARwZJnxS3WuXeeFqKqQsni88uUiGoWwKZyXGHljdD5wme3NCMVukQ0z90gXNjJWl0
109ecfSMJjqjXmICo7fHVoYdnuKmfMbpRl5NnrL6KUfGbmOlr9rQoFOsYW520RQ9dYqXkfTj9OAF
0/1gw/AQCF5X+diHe9T099xDTCpxyGxs3fY/6IKmnZFoF38odSx+2UB7nTXnPIZVDDIpXAGxRrQo
wuOAu/Wh9K383iY7ZZGGrOcrg44PWcTcmbneapwMKmrNVvBkbMy7CMBtInTcdIvFqzoOGi4ALS0d
8HuJvuock1M4tL8ZBkgAJWmc4CgQTiu/kvIzLr2IzQmrW7baemGu444+1mzrad21HseLB7Ivz7yr
bkHO+fEagJ/hfwt7MESNEs9ux9Oc2EKufW9Sp3jOZViKzrbqBYEL/Yfmt3iTI8KfL6Jwv9t1dEr7
ltPXoKMOcK0I99yZrlpg7ybePnKDHldh0G7YjmA+1qIHIo3nVbOMrgUJlutSoMFQU3Al228LjQbI
D3cCwCpNvbLlnTalKj7zgS8UMZ2XrsQiFw1jv8oS/XYCa5sqtKPcdtETch/BeFNTy2r+pN149DZm
Rz3vphw9DU5CNsEf1MVvnSOAcbJHYgKL1GHt1Hk0S2HCw+D5d2FQVidXB1Pkm+I+RLW9HBlBAH3G
cIiygTCoKYNgGznmDuJZdfGxbqym2i+3Eg/2zhzyd13jFJJpvPKEBxDF/hgzllmW/cnG0YYGa7Dl
M+3P/5a7/7Fqy3QQz/95ubt6/6ze//aeff7t9t1/r/62eyfLIfyH6vfHv+WX6tcxv4hZkoUe3rEk
kikK2V90XA51rGGRVUdFTHCgcCk8/1796pTMtlKUZ7ZhU5b+VvzqX3SKacT+OhKwH+KvvyDj+oNc
n2GzLnEfqTm1lhei/2GgGEWNIG898dY9LuAoGrbSCjbM11bxYG1/ep/+yfTSoP7/WTHGfzvFtUGA
rOMYc4rvH36Xn2q0xqxt11y3G1BhD2Na7urY2WS5vZlU+ZrqNuCuZ2VC4ZnOfgq7NTBfkNIT8Tzc
DAmXOt/+f/Oq/iBx/OVVmWKWOfLyfnBpfi7+PbLDlExLb10E45qUlH0CUXrZC2djYACY8Hg6WrqU
kGjdOGNwj8HHY0PoMZi3m6Ulivt//YIwtf3j++QK4hhtFNUWscZ8X35+RSmzFE3pvreupzbYItve
+0TbPMCD8M5DgIe3sLXkXCRdS9SBnA7wi0i4n2yqbRLmZlDMm1Zl9j2nQ4LO1PVuLIv7x8k2LAhw
LmT9mzN8TehDOkTfMs9OkmVrDOIed9gIGVO0uMqktjZrhA/kzSGoYdc/rchVZDVjn/RSW+EO2xRW
tooSTBNYVokQOEjtoRf5w+Rx7+FWssoOR+44LxlXfUtsnS4OvkQaXebHWoodnikUeC/AJPbQr5dT
96FlN5KxwYJR76GgXBPWLlbXru2euzYGsTqCjSsGZ281V69vCfTALt3lW5OMqbQmbb7x71ExhE50
C+1/Sb7G0rXHdcrCyQ4a4uI9ZNzJLNZ7JIHkQDzvZiCXRgLBYezWbEgoGDcaRjqEIivBllBDIdRa
1akL5KY2vw94ahllYafoqdi7jQmDurafpasOOE+WTobbM7EXLbtNI+wg2SbLyM53FXlbflLz9vBr
FJFgZf+QVzboHDTPmrlrG5kupn5GcQ4k4jGdKz8C5yxIroXtvgghk/WzEENXh8LiyezctR7Bzwgf
4z7fadUt1vQNZqZ3EkTWlvVRDvlbXZMtgfwf+UuMbrcGxq/Gu7BiXm3A6HMhdTFJ8726vdWVXTwi
qXjznVQ7wamBad4Sp8Xk+kFMsAggp1L5NB7L5dTKv/pmCc6yKHjT0q6IWPpmyTfCV4J7Mfn5uzJD
6i7Tnh8ab77PvWDv9NajY7TiScai2wMaal/7LssXral8RuIOhlrQRP4VnCEAWuAaC5g0FLMihp2x
8EBFPHILsyyTtbNqKvyCi6yHeMSrkMO7XY3JLoOHTutRdv4pAJN5RF99tqta3ldT5zw0Ii03P57T
/86E/r20ma+/xVX1ry7J9D37cUniLv3D3fjrD/96N843oGBexGiA68GaF16/3o36F4YMP12bBL3+
djfyJwigOawJfHcVr+XvkyGuTSTAAL+4a2BxgDP5C5ejmuXtP2mcLZJRTdSQgDpYL7iInH9/EheV
VvZWZlhIqsLvrSNvncreFlJdIg+wIyumNWBrtuU0xOyM7otJvrIR37bqLeg5xgBR39AJXONWbovQ
3hiato6OU1Qdmh5hrYMS0utOQa9fS1Rs8OQ2xWRvo6miq1/mAQ9zUrCFW8rW3cieny2zI7EkO7yG
+1ia97Kyb1kYbvvSurc845Y1sZD+B5uczViotZuUj65WPE7IxTyKTyvIlzH4laT5mJLH0QcllAKd
GOTGsfqTU7i4NdOjUVi3mTVcC9Mixy27g5W2LsZxm6TQATloR+FdpjFxaUitSy3Zo/XROfUsDC7B
vFSwq93kYdiBv3nf+M7ORLKDwrB7ayp10d3qJbJ4y6CubolS3bOrIYmm+YrpaAXo/mhFyfqnb94/
KzvmD+kfPsTZboUZ0eBbwxfp5+t0TCtRB6h/1/ChVtj/FySIHP2+PNvjeHYqIjuDYA6DcAhZYwDB
J/OvX4D1x7pnrrF0R+osbx1LN+25BvtpvBiWysVfHhLiBliz4Gxy22oz6Ditu5GgYjqjs+WBL2+9
6Q4J6LUDK3ukKtT2qTTDhbP4NmJC30zUIEuaoXDjGF669vLpOCQkapGwuoTFqO11ev504s7Gk52u
thhC8eiwLCF5IVn3JjzvgS0HGQE2chvzphyAiIHlwetSi68jLmkYitN9q4fbqQ5Z8Arj2SzFDbO/
kxu1NxkAhUNeEkTy1w/S/2xy/qd/63+mA4STzuQ8+/Nj8vTNB3H4Pr7/4xE5/+D/H547tk4HAcNQ
YKP67Yh01ReKRFLCDcVR+cuf/P2IlF+o6zkHFYZQDJrqp/7B/qILrCEQDRiuGw7T/b9wRGIK+P3j
5fLdnmtnXcFR419m/aFaZRrQQNlz5K5SleXvRBnjhnPZ2FTMzsPgc4ih3DYSc+qegrd9tIyRqFTZ
G9G0AbRkPhGjC/GtkTJeFTIGJpGGGoB1u2+GcptqgflE0h7xIn2vAw/QcPERJMBx5hCLiqjasiK1
Y3Psxlt9dIHw6vBg9+jtUJDbfuDDv8BQVdt80Tmok2aJFl27KIOYJbd12hfitWFkR65aG2DbybNw
H/QJLHln6rdEgnQLKF8lLNy6q76WkHEwpDKGKsE1+f6RFEXVQGMwpqMdEFW0AnbMLq1N3K01gep1
WiJpSxGKnWeTDePbk4nIdWTcZiEOIN1tAMqXjPK+D0x14Zhwt70R96jPErWMxrRbAMTVcaKnxSJp
FZbmQDJFoeu4drnbE5aRD4WDVjl/MJRWUCgW4ZiuczpH/SgEENpDn/XdfdklMDf8jPHosQwblH6e
26EXHvoErZzKsFCsaqJOoQdozJyQ5rHM2/jGiGkt6SBC3U8G9LJz5bMevTcsnXkteFWv2sWRVnnI
KFxj2rd6g0/U63qF0T3yjG7dtni2GZ4EyUuXiNK+d9MKHbgxua7LNFYAXEdsDdPanOqu3Xiy7rYO
edufeg6vepkWqdpmVWtcbY/YgpWv+z4ynPq7QtbZaj3I/cwVx7wauY5NXdtptDAvAAaIOdS9u37g
tJcE40B4GVJ1MonASscyvDfCWN9IPUnJQPUitN623m8Ji6o/zbRzdoDPg3AbImo0SAPUiS1lRHqx
HfjpUI+YX67SsHEfE0Mbj70XTksgTPgY6iZ5bOKxXFHWAgNgtruNfTM/6A6DQK1W/loP3UNbjbOP
3JguHoyUDTk29gELLEPTSNsCgUEQ77bLOK/rx9GKMD5T9J413/A2fdz7KT5E6lyoaYB08zxwIP1i
/PW3BN8nR5vrD2ydWcGyS9JjVVrIMYE0hBe+re0Ny2C4LsSekLA5qjDaj37ck9vhtStQlWyaSZTb
+10fn5WLeavhsyVtMPfQ/YJaYTk09sOgLyatx89bzWCH1LkOYUiQ4giwGXjIulQ4LLDChp/Y7vt1
5TrFI/EFNRErbcT7Ho1bGYHQchSzfIRD7aloxm952+KNKkZBFsPgNbtYi6INifRa/ILBVz72OfqA
pRHEzlsxQv9BaCGt/Yz02JDn2bK+YkQpNQGBuivbjV5WJVJWp0cpT5BDSmr4JhkQn1nI7Hek3h50
rKqcMOlworxpXzy9ZtpZ+8mdr8zyUBdRdkCkrdDIlmhZ+s5rfikK/ts9/LvugUraFZbOLfLn9yIO
//emCWvma8HvrsbffviXu9HF7TgPwuY63XEpsyjgf2kfXP0LtkmlpKPj8ZknaL+1D9YXQ6fnmGde
ug2tgtfya/tgOF+4wJi6SQv4E+5K86/cjc7ciPyu9JSgVSzBVesKxWX8x0mO7kVdzP8GCuw8EBs8
kxVU1UgwCFZQZRcEa9fRuiKdCb820dVEtDmznN4axKAt8Mlby15Jccy4FJBVA4wklRN0KQP35DEO
e+1iz+21P+TdnUyz4KZKHd3fVPDxt9Ch1NoxORjrrA4+maVPATOAxA1WDVAICA9Q+CY/w37tJeC/
fSOzoFEJyXqQWvBeDnkK9HV69FtzBHizS0hidBeiA/XQhlV1E7jcRwNdk9igHiem0Bt8EKJOMgKS
ykRf3kKRZH/QJpP+6Nlh8mIOg/9I4nW2krqIPtgp+acxKdmyj1o3ffi5shGqWg6+MBQHvehJkDHi
OU9DEd5johrNIwMwLcDf7G6oa4ZgZHyvM413JxPDjY81bm2kgWAmXnHLsPrFexcWK5jIxscMnYNf
mbdIaEkRjcmTlPFHL4H+MSNJ1Kefa/6T4PicxVO42gG6acJY+aLLVg03xFqZJI3pZjgwKfXFIeID
QC0A5o5rr7uBgXwdw8yD8CoGeJlTTfpqEmWkiE1DmUE2mWJzZVK3nVrZR+9hZqXfdOGx5ay6kfjJ
MutYfulqxAakKNuZlTLoQDQpeB+6xh+WZMbDCtVMOMECeTzKoV4hq8+K16D26maZtgnROgR3kQiC
rxjHg5YHL1wFeMoIfQh2Zs3vMUYz64ji7l21jH3kCTPCAKlw7lWkswUKX3oS6O0nG8o+2JgiH1D+
a0Qhtc5oY0OQI+K/Fs6lY7oQUEFB1E+NZYo7OATW0ZNtfQmyIH/3dZMkANlkpbqhEzSZpLpD8bVM
7fG1VkFurJBMY7tSUVW8EXYMxGIyCGXbRlFWPRqUt3eWZWjeaip64gK5Eu/SoIR34mYBdlA1uNU9
5chwrS3I16y1dO1bW0Q2uzPDqF4sJ04/JJHZW3egCWS1pvpLnWVkGvtN6g4YANEk7Zj0shPqQOCj
eGBL3RNDsNWoPVGY9v1Vyb54sJt8Is0wm5/buMR7FmjAIwqJZlA3lL5CwT+US08X8YfPwzX/qEd7
Z1VJUu70sCZK1Oqku+/sUN4lbOcYMVrJoD/75ai/zLf/iPoin2bANR+gCzyCqeboElJklsR613rV
GwundH18ygFUT09+8xIxvfb+sDbwgZhpb34lWI9BrR5H1YftDEBzsVgOr0MXZauyDZj2aXV/YbNc
HAPXJDXXtsQhI92HXTyhW0vfCbm/wW4+T7WDHMGv4T8Jl/S1aGgwGukTijs8uPA/wSnCEDIhL7B4
3I1jgMp2nNZ5mRQ00BiH4ISgwyJbbTEJx7sqwbwya0zW2xK061IzaDkhJFdFuaSmKVfBlFnRwppC
3Vim/ZCSEc2GkVDToAy/RW0RPE1OENzo8f8j77yW5La2bPsreuqnBgPY8NERHdHps2xWlucLIsvB
uw2Pr78DRZYOi6J0JBVvtG5cPkk0yCy4vfZac46pxf6yrHXsm4ohujuFB0Vb0T2RDfq6kuw0PSIj
zFdqBdNuOPJoj6lZ7iCwp8MKfyDzOcLH4LIhYpzVtsmLhRq1OSvLeIDPkOX5tk6r6q6aRt00qJ/i
tI0YwUre022SWMeBG0/TyUaBDcjM4lqtRXQ6OmJkNhD07a3h+fJE94LgXmvtiJ2FmY7LRiAp4IYl
TXxO90GlnV6O9mOFam/j0/1Qy9CAfp21+RFLiRnPfchlTwaxhB2adRT5nLyuOw2bxq/JhCGinmod
LutcqRqHFFGCux1Ek6Vlb0j5DRxchj6xhbHqVs8DWbLMM/opxqBglTHadCNTWR55VpixoYIyPIMr
y7A5JW+yXguw8gHeKcp0I7RqnCNjhqoX87lP0nZimXSUGyDY/PSqUS24NcuXvhucI7VGuahV0McQ
H/e8nNyE7HeFx60awxDTV1eW96FdkbfDwNa5qAspbiin4cBhLBAnapCLa7hw5Z2dR84RmWg+RbFd
g/h1Cl8/L2onO7dQq12Xgz2NYpCXkgWBvUqn3aUhO6zC9nSwa/ywgJ79G/Z4Km5tdJAvaqlqzjHf
MNDR0+CVQA86OPc1dF660ImoTnluzXTjGYIevOxMkh9CW54QNhadka8hVsxryKfwkEnMe0WiaU2I
FQ7myZhoK6XMw5No8OzbIVK7WYIu5jyOXHXOlgcPaZeHO9pS2TwYNY0Oj5XPNZi1N42vxteFqxcL
DU8soXz6VY38fRcnAxqRONI3pZmqVwAAlWcR5dglhS9IHtJzfYsIgOE/wEXvKlV9sCx5eJXnqrLz
yDhdxChJCY8KoninREKb+0aBzJdIaZN5D5lTwTJUp1zmmtMWzAc7mgZaiUNtH5IdXRxwBnurntwo
zJF23JDfnne4fZFUgZYBxJh042NCugxxxWUk4QHnwXluJdVJWmCbxAQSfsYnep8W/rjuG7dfeyEG
WWKLScxrCP9g6xrvHSykazQK4waHTrYqkdxZOEMF0edd6SyGJsAELgAky1Ob8M/PSdCOQDo10TP/
SGLSXABXTfDkgpdLpTvGlhlUfVWODEUyRQaMpVS5rCd1RkqoRziLc4KO1MrQ1wYvoDli5vbKZGm5
wPyt+/Oqg9qAKxEtQa521WEEhXnqVMjnkHhUAVltXnDmq624VI2m2KFSi2AZ+aZ9gp4JrK8ZDOWc
CDFE/pUu1uSlOmfwwvz6OGP8AlBRDUjPjOzkAAXXw0Edx/va1twXWSa6zapMKUHXt0BGoZUoc/gd
qRRz6BlZsgt7I4tnJiAx1u+UzHNZ1SEGekiGt2I03SlUpdjFBfSmmYEalxyFStMPFlnGcBAiP7ix
jCqQq45epHLWm4jGDD8aF5UJ3HWts48EBBE2Q7d1PVQMaAcj65bwc3GNy6Td235Zrus41c47EZCA
BGe5Rhqs8HqwMttfW6Q+3UM2zC/k4CsEePtNeAS6sjy2gphndcThRKqfjkqd/TiBAiTfXFDAdsDL
3Da4C7Qaa07StUiogFvoV2rUl7fI/4udW4H26cmsPXMaC1coy5bRL8wS2vxMynBMQS/ZT7lhsIOs
AzGcKa2XHblFpq7lSO4loay1gjLDth6JVq61hSON4VBjBhjmNImUpTEU7UMkIC6tXB10YgfXaBM1
Y3fRxrXWfPkpSwOXQsFEE5SgfaUzNp91Y2fe8nCieCvDrNg5k6IyKNNrcrP2uDKhPyV+deKmASM/
3WOQFRstMTipCSMKXFm9yHTabTPPs9zbQkMLQt5i59PMNQQOZbby+g3ZROWJq+X53s1za4+poThl
85KcVP6Q3ClowqK5BdfoEXN8sEYMahJyatnmWe9YLWbzpO4/O+GgDkd5r7cD01StjY+CTGhM3Hx/
2NRMxR+9xEdkn6k4pDJk1QlZStC5Z0I67llW+miUWLmeFa2ynn3fk82yjeIRBeRIO39hpVxrTHZ6
KNYiJ3YPILAgkymJ7kZFGfeqm2LNgPPnsrYF7Y0GwWpvDyI5A7E57sZQrwl0mhZfEmmrGSceknvn
e/shGKqHPneqUxtI65WE8qyVJGHNiA6yDgFEXRjShhNgu/BccjWFhd4URqx+Dt27W6gdIbWzIByQ
9VTJZLpTMyMmz7CJJpBSSeRiVeZokJJGmHeqr5Xgy8u6AiYRShgNqlo8GkqJcz2XWABIWL0I0668
xfGEqr803U0C/+YGSsSAQ5hG3pYouqpeaR2QtnkKghG/ozEq2zgr1Y2wUTDEUocFag6TW5BNMoHR
sm5OwkBPi3VsObUzizVgMmwJIE3KTmyKXi3jGUkGNCfNgDp0aJHuBg1p9Qu9mKSsEapAbY71h0tH
lvNRmkYMXVuIUeSLeRrpvjRZNk2iTycYz/raVKto45hkOs8waYg9Dglj02lW9uDkY/p52mXXfIKe
JovG0JVLtZHNDuu3vEXIOmxjTU8pVVnw5wiLx3mhMQCP+1alxFBEflypQ3GSuz4KRRi6uTfPkzw6
pHkig42oQ/8cBd0UphejJuZ5iKKLxk1fJCQtnccF8zjq5J0yJeWQRdbkxMea5rEf9ARPsq9UsWtA
Oe5FNC4NZxQGw+LGinHPtBQkOLEh24Qm8bRknRmTytAqNlUNJ681s1BhaxrQBEpEmJobWVdcGsp4
NXWB4ZsdQzlWpAM5sr01z0KvIuqUDn81y8iJIK+qrr12Jsy6X41dHU0NYSuYMM1Av2dqbC1RvQbH
lUAZLDFxPqWOZuGO6NN6KiOJ+rWbQDrzxIrDrRtTl/V+nJ/68lVsTsQarjZbvU7NaU9BQz1B8cYq
PlcdTZ4bjaafpCRabCBIZJsWavY2a4agJDgk7W+YYAp1DT4x3yok7TBoc0LkFNaYnGYkwIitDhHG
v7UJkqcAtDt6un99gvP/oz2CKTi7ZiRdTGf4D4Fg5I/aWieHp0P8rqH1wwN8bW0xyWbCjQTIco1J
CsbY8lfVmKlrKsNvF8AqCMlfO1u6/UmFCIafCw4R85jJZ/G1s6VPFgzboRfGdJx3OkPKvzD1cSaM
2DedLdoeaNmYqb7OOr+ZZRpJDagmroNN0tnpiqYxDPWIVcudO0UKZVKnr3VsK5mzboCAsScw7SOm
EQFvZqumlC5GChSSI810YTO9vDEVj9gG1xluqOJcYsApPQvIJ2mczIgtcPcptIcLO1aNfm5HqQPO
2R559c8K31fkvCANEpSWigqzikrhP0CbUApKtdw4rYSpH9Gc6A6tN2QPRRCb1VIaUbEmU1qiuDEx
uKEfqrBzdYNlfaal7gOVyN1+WA9qDYRJJGQPb6tc8ZQJ2mGA/Cg0Aiuh+YUXDF5Mf860vmQ0gEKl
ceB9W3FDlCjSFOteDHG663ttUOZ9K2IKkWhMiCAk+mnSxwTqfRkRfAA1mPfd3EUjv++zEMelGent
Y0R69pEbpcaR1vj+3lQIzy6dUFwKM2puVU+aO2Zj6d5OmRwrteFuEAuM61btMwjylu2dtEgD4DqY
sEp8mBs0jBRnhWYMxTjbiODR7aCwbpSkwlmaCKuF5Rl343GhWPpL57X9JWCC8TnsUqZQqN3K+1HE
xrnbDMgegiry5DwFrn5tGxMAvmnSehfgmDsjaBYjh9sjZSC1emjXcRL6dMyYK1zbmqXclEwFqT46
Xnekc6DKdy14QMuQrKedYwXiIdK6ktrNKeeaIEQJAbJP5yeziBKiA5ray7Tw3ONIj+uTKAtwyJY6
uiY7KsNqa2C6lSyjWf05NWIFCIzRVM8+CYFXZpt3WKCNmuAIp1acOWmPOHDh1jDeyLMkWdSugba/
jCr3nHoBKj9VMD08020NBPdKkofwKmFhzxgi5cYyAp+ur0gIsZ+ziGV0ERDNSzJ0lBXjEhMKkmrF
Tcm/qE0aXGRVBHfq5IFkG9Sz8zZ7s2VnmxKcS9Mp7YA92U3Nii77Zh4CqeH8tYS7zCGVZv0ipG7Y
mxqaYs6+5d+l7ExewqggRIbkTOhdnlVvsMo22iPSQDWdBdLSWoj+HqnRfFadQ2tgSd4xiNNOGhdT
D3u+hEjTrqseYXP1S0WC2l6oYcr/V6JSTjQlxK7cNghajHwco10dtBYz154ol6gb0msI7MYTgNfw
nuXMc2aS3UNBLC7NJ6wx5ipSldigD5V12yKwA7J9I8tml6mgzV4gcEucuZpTZc9b129WxEkDSAjG
wXl2W2khdatcei12YhJ409f2BZTQattabUU1kDb9pZK41YMrzeo2IsPoDBzEuDIpwvJFGvT4fwvp
thdwk6rbTprmTJpdfjyOWgmLFOH4sicvDoVa67VLQh1IWadbSsuL1HTORTplGY9RW9wOaRUfZ1ps
BksrsuDvRQDkmVj7NLpIixohAWY4oxK1I30zMFtz1ka2tbSqvH10x4ROohZBF5nXw1ifJuzu9+zB
A2eVe3nhgd8Z+vUEgVoTK6JusX/RkBNcxntJyvYTMQ84oUStDqcMrZTTBqLeqQuSK8CMYNj7Li3C
y7adgkST1tK2ameNGwPnzz50uva88gVdO9FlCmaTJrubRobLdqSvW3keKXdkLIR0D/1xBTEuIbfD
LcIl2zq26yOx9J+zsMvPo0Say6r0J6Jr32+xr4xPDXYKZz4EtHGJSsnZx+BT4tqj0wwwDnR+cY/a
NyYLwRf4NXS4eHOyliS5E2p9zdXpJ6avr53TusQ9nWCqOFLMvqtmHXtul/jXKMe9oDBXUCudKaWX
RPkDHgPrqjbo2FGgN3jS0fFEnyG7FXf47wDclaWcmuONUZsrwxoFYNs4YgNa26Sg4O5Ri5sq0qJ4
LxxaXFwSnZcOYqRyoSvoU4+DaFC7BUNEbQRcUiv9zCqINdmIpNOJwFYJZTovykKeghlDBdll7hAv
AC+6Z7K0k4c+8IOXQJH5oqjU8MoXsmISnDC/n2FRcdZRSYjqnLwnewkwhcQ7P7PDjYG3BIh2DiPH
aMs+oMvqJUdN19LJMkn8JWUjr0mBiATOfIxJ/qJ1vH7XkTY2LhRcY+uWaLWtVjPIxS6bGHPQaWYP
3kyPTnSpKXTt81pHVaYH6xbcSdOPPviRKkdTW7XjyRCB923SNJuCswwVFYSVRjAi4oxOi37c9VBu
Z1HS8K9yvuFFkdvVrZ44HWFPVBxgpWsT2UOsQmzJO9KOfJCBRzw2Zn6bMhGntVtXG9ty1nWVADgZ
tOQ+cZg2oHylfoDKg3k7c5OjQJ+AQFok4fOHlWeqNC3HjPcQaQpS2+tOfyG03J2BKx+fElYDFmp6
PkmWMMAa834+pJ4zZ5Bf7zOvaV8MFp81rgr9SHetgy07iJF0SDdjpyNVqavqWu9NfUOYNmGGQYKT
sXaIMSpDFywKrEp312iaDoqva/opNaQ4IuggXVpD2KCh0pCo6iGzsEUXRv3JqJf1Sebn6sJtvfg0
MXmRT6BCeoBaD4FoDtJDwUBiaQTCBK2iratocCMwQmW8HUM0HGi9E7LhOv2ETJzoeHRD47gJGkS8
eHCrO/z4Lh2bzHm0Bg/GuZUZ5bmRJs4eg5ON3a7OcPEUHo3CXhFPMDAEgGQtuygjF58l2V3GMo19
Y6OadXGtZii9uobLn4M4uUuZrqezTsRjNQstX51pdmSfZbTrHzFoIgKUNDLRwdfFpORDXV2XNNvo
zz2SM1XsLCQ+p5mMyAHu4giDulmRlUiGKVRYJiAY2Au9puYS9ud01KNhTiR1f20ZpDzMGMT7z15Q
BugIFf2Efr+dzhNCYHBUFrXGAsp88b41Bntpg6m+VAwdcFCpev69Df2IcUvY9p8VCzI2OX4yhPsQ
IWCkQbwOnMIGumjpR27fxS98X7kjdmN4cMcGlPpYDESF9SQTszOSTn3lDl1azqKKCKgFDW9HzCxk
ghcOqS8rpl/dzYiJeGWXWXpwhUWpUVSoL2Z15XX1zJN1RgBEqftrLlV3ovl+zdsh9ORFKHU8gDkC
pykbO+FNxVitJhKbXWF4ZEdKk6+bWiKlKeQUA+i4jGdX5CtqZ1VRGLfC7vDZi0qNhxXmw1ajd+DQ
Hw9p0hyHvj2mAIP6ql4gvpG4GtG+6/NGlIjYvaGT910dymhB4jzTyHBMvNPQEpBKzdoKttwh7kg7
NKwPEL5Z1DrT0fZxa3P+KxKV8S+lUbMRjJRuDCMo90WZEF0l2Q/to8FwF63W0tESqn0cVqZzTuif
+hwCXCQmyawysWTdzXgBCnBIs9iR5iVb+5Ae9EBJMOtkFWQYx0bc/Rq5MsYOOVmL2gWv2MZORJ4v
4tgokAsBOUBXxFLRnoqwAlHHVfD9eU/iwNrSamefJKIoF6PbOeOM3HjjJUoV11xk6JeuXVMZ6Gsr
6pPjJE0DhG1kJY8lHRiK1QgfVtmUfcHANmKkWZHbDRfSfxF+Hu7rEaLD4BZauKLGpONoOOFytHN5
0ThZtZC25BWVQY5YDVRtEeN7bIGggBzeU03szCyr8g5uV4q9mlFiLKl6XWUuU9dMln1h9RMJh3wp
ECQjNRo8cXfkB5+NaINWipf1S2nrPCYG6zK93L7RlmWk5gedvAKxi1o/WYIpRcVUiH6XqwmNzazI
O9gdhcSrx10l5qgGgp1H9stWjx0gP2rKRHSwKkA+SStKwIb6ZAW1OaR/HYUG30mTenFTdLZTLUps
Ey95Eoo9U3iERwkNj0XilVjcI2XELtBzkWWv0E6UNalreuEzDaUChMOETdIHj7akW8i9WISxOTNV
vzgEiSKPY4LNKPCJdNsoNa3wwbC9YY150+5P0VwrVwRxchQC/YB02E7Mlow9p1gjgvKOcu7pxyFx
KZpH6DB7Vm5YazqsmmNgH9m2qFVMIwBy9LXKoGzeljhXmVn3S1+KcmmJgFSlLLLHrRExqMbY2izd
XCEhaaiaU760ccRUW72jDpgyBFxmnrhGFR6ahCSuzhuxk7QlHg/wios+ihtM+g1y4hRiegVhBJQV
rb/wgslpstQKWF4zk4TbYzUVlFNm7C3JynygTnXXKs/kMm/qaokJ0/9MXkD9MACCAvmBgWLhDyL+
7Fe5fUHoR9XP2B1ER10Os3ZUUkKVGd9e4bvf0VnU7pE9BBdmKHkuRW/TVLbM/sgp225jFIl/bFlF
zHm3Qsy1AEqQoYfmOo9VcVvKkakRCRPWVKGnxJeqKn04+0tr3Y+oZokKfDB5xWxCylKYSX1UnULi
BSHTYqdtZIulRyhEpC58fUy24LkootU0zK9yn4qXEs4i76E3Lo2RIRYmdmWXVww8OnqX9Osiq70q
lQLHJG9esbV8x1nafRtc8eiRzmAJJCyO1xS8Hn2SSKqmZX6bZGp6xkg6OGLsau0QR1rwjhwH17xu
qfGpqehkEtJlPQuxszgzL4vgYSWlPyxMNcU8rhKGQ7D0AKGniepLWtPhNR6educqvvnIs6vttEC6
zyWj9xWUHQ84rhgQDSidod3Cu6aq1+Joy/w1wpCqMsNQW3oZac37ipmtIArASUGeZE2waLI0RXxZ
wnmEEbUVhVUsyPztj5WEHza2OcjMUzJEGbWfA1NL9OZWstQFfFqZrIgI45gqSkNPwEisgwaCwtAU
ArkICKpVGUcQbXXRn+ZwXDRyHTtE7Ri1syst1RDVGW20yw3xYrMZZFUmE6la9AxyTgajt3EqGHLZ
xjGhEklvdDdEgGCc8scyd1ZAn+un2CB76j/ZnCeFR1DrRh/wBtWJ7PuFakVAJMchMM9HlpRmkbiR
Wv3f0c39P8RYwflC/cHYUhiTYcXEDvNHTcQf+09/+R8MqYvD77hufvgRXw04mFOFTQjNlNmk2nyN
X9uMkwEHOIuJO3USl3+LZlGRydF5xLhK1xMHJWL1r31GoX5SDZAcuHpQl3DIv4Rm0XQ6lt/0Gfni
rw4cbmrwqsKEfMmff9NvZLvURaAejaXXXTdDfupeaSt/Fehzqjyw3c5kLVmp1V6/xjzvkqWOfbsM
MbfdepDAQ/p2TmugiUk/U9GDPd0EBMI3ysp2yM6mqADOvw2ch6GnewPefNaEt033mVJoqdDDg25x
qaOY6sRwjqJlpStHeNUlsq6NZ1214sx/CuCQZ+YJad9Y0k5zCTLceqFZBWwLkYGC/81CwFanjH+1
M16PiwHRWBIM63QqBQmUA7APT0FZ8/jIFaARf6qMz3qIc0TcWVn3oLrZdVWrF+lE+6LUcxgDg9iq
bMDy2WOdnFtE4dAqims2TtUMcz3K6hKzJBwwsUMmcuknqJd0uVIHsVGM9Chm0sfY8ETvkQNTXp5X
jWR/4MtFg0NpiuNJmA/2RcSiqOfPJrmX86w07lUUylymZQvLjxkPfZBuZVTxaoCaI+FMRJaEAVad
6mG9qy39jObIY2xbOyQYEeqDAYCeJhAMD9e5Mq5ESsIP6v1ZRNt6FljsPhhX+2inwp2fkp1QuhWR
Cw5MaAyUUX/6zWOz+2IA+iVr0l0eZnUFlEjD1/3+3uK5I/ZatTXsZ8RhfHdvxa1aoZQDUtmP6bWs
lZys72rXt+aGN+mS4K1ykdjWUR1n66Q4N9N+bWrGMdKxZjGoegu9BYyJ57nbiYkZK+oqbIB2R4gI
Gk/f6W2OONm81A1TohekiNLD4zI7VhtjLYvsWBvwgxFIQ8eLnOsLMwk2zJ+WUnPPai4hiqUXQ5p7
M75XOM0eb/FQpisfIDvcLhJz6kXZTTL76sRxcav24HSksilGdSdNuWp1Yzeo7oll+Kc9c1G3T9dp
UF9FBbImzUIdfWRony06kKQ4HpUWhOucvpOS++XMJn145nJXMoBaFS1+JWg7JRBjj61a6jyk9bBJ
EhUUGIEFFDykBzfjydgDyHO8w1CYqxwWTsoBgexNWz9tOOJ1cSuEfxZlV0LKU8nQsdK6q6z/PEZm
f1yQgjmPmLTdl54O0QS/gBLpy6DQkItzi3SWgfnT3dDpfVJ7vmObDuf+APCbSs9cuNSDxyVigsIa
P//xbSIme9g7+9i0O7RxWSA9wWL7/cRjzFUHqWQGfSGPn32gKB6nz5Pa55J91tjKI82W+9KLz8am
PfcrSWO0PwvRZmhxVa7q0j6J4c4uoqrYokc4DwQJB2G9r1DPMlSMd1HQvhRm9m/ubkZE331v7JT0
MFVe4CwwkLe+c9tXbNKYjuAILm0JNVjoRx5an5GU5L5BRyMxKntIxdaMNReFb0G04yVVwgXH+d7T
WCkD2oG2Qhdflh2DXtvmngWMyT4RW0uEJ99KzoawveTFutaTfhdGzWXBTmvUp/hN8eSboCvAfXi6
Uy/IDmB/HDLVkRYBIb3j8GpsxQt4dMYRda2c0Ackm3hElpcU3T5o213nNMeF5YFstTJMvR7Vi+V+
Lu1Rm+lxe2VpyTmZUuOsMYsX5tnB0tSLK8QeL26gw5gPrRdLSS4rK7pL6f3JtkpWpvZS0BEKsN24
Gd/AL7cSDseIEhb9102XQi1EUzuz5UMXKNuBOK487ZaVhmGxm6ttMGf/cpsBvQScBC4MyKdZn6pK
uCM0K4IPKpjbuhuFZFmG6M1tJOvrUqWJkBl3Y1xe+2F/TjrduGinTYtCDEZUzktf3ZhAwsyg26j+
OMvq6NFTi8skqI8agWCNLqaMTIwdzs7P1G1edDuEDwsKwMtUE+xXUmvRqO7S1VyY/+bKD9QVl/5E
JVS0I9keQfAtbegNvcFlbSMpopecn9TeuKwGc4VOjxRftH3VXTReTkbROHQWQXPsFvE2yrxbXNSE
ULHJYTaB2DJL1048LoNpTy/1+gWW+LyvrV2jGgtUOfclnKYZqp1sI0RCnq1u0FCx7Po2Su2L3NdJ
osCImUmGMW7R7tgw46sy2pkiXoDVbD3FvTXomnpK/oSrcYUePptMiycZjyEbrnxXl/FGjAwXcrwl
nbWP/ejYEKBcRqQP5WiCcUF86yn1ws2bVUWgsedXGSvTXSQ6qCr9Jm2gGoBpQfVWp9dQXO/8yjzp
pX6T1KQsm9adOZZXfdrUS+7qbenZL6PQj70msJZdBaUm0XzCqqEUNUDWFriikqVpjCexz6pl5ecp
4X1rW6oHg+iFJTr2fa4Ph7jEMhM39R09VfJ70GvMIb/upFFft6Nz1ILQRKVN+z3exsK8sWzgLrXW
I4KNrtDe3DWiOVZBS6cAowgwIDAi0TdK1y96Vd2BclvEpneTIhxzZIw9zd1bDdHG8f3I9h7U9NxF
v1a14QUMtCVV+g2j0JcxRIfLGet797If9FtRQrSvx63Uyr1HlH3svLij+rlngueLfqU17mMEgyBM
yWn0TXPvuc8pm0bbXRoK6UBnhXZGDkzW7LEA7aSS4oVC3qlD+kJ0HznXaV/NCRuY52M9x8Q3a9Hi
iug5Dgf8qux/qjvbvepoJiN4Ayz7wqxwoYn7xr+0/XRtORKW6MWk9vYrIAqN4HZRTiMVSUg4TY5O
VC+Z2cOULDNsQjxC0l6ZRrqEYD/pRVkfzrXuEeABkkD9rsbPYA0817G4I2gm7TskIhfqpGfiXXlb
eiIGrW8u/PChqyZ22Quhu/O0cB96XU9Wbls9AAzahNLfxKH21JIOOGewxtYudxcDyDXGKd2CgS/Q
oBzSMR3WmYI8auH46U1IGMeyF4PxpEgyCRzFWTBFcVZdPh4jx78K/NJejJF25cbKfT4Mt3k8vsLS
Ro/45rZgZqxDW9vSYiQ6OHHIAbLYdLVd9pg349oZ7Q2zo2nYKOeqQzmFiobOKXBAqQJoRYWbRt2h
RsPdaHJrdR7k3BqlnmU/pG175HbBM6jgK8wFxbyMxCaKBlKMKkoTROrx0rPBUAnE+VFL/50hWKHR
Fx+Nk7zQX2KVroi29mvryDDIQ8rlKUYz3r7GaVCa2CrrNcJ2QSSEjlvFIM3c6EwioxgN47SQyrwy
3HoJRnqY/WcwstO1G8q0wnR3sZiweU5zFarpHaoWPGh5QABV5e31QDvi3JCn6EJsFwV+5ty2MaRk
gLtUxeFDyAN4rQ5+go3rA5bkr5/+w1Q64u2+4MKnP30tba/y30TX/am/9McH+pMxd5PI5Jt66tcv
9Rqy90fHSA5k8TVPZOgJ/RMYT802TUCe0y+2v0me+V//2HY+CQfWu65ruJn5RZ2Dc+ybc/R7Z+GP
f8DfJgD+9jh/9AN8Qzu1xGQhe2dnez3WXzgJmvHJ1lRDGAY15g9OgvVJs7CXmRPa4n/zJPDqyGpJ
fCL4/OydNW/aXf2ZU/DdEb65D1AomWhaDWBUX369vw/cV7KHoxoA8KdfX075P+k+UOnhAHj4c+fh
u+jIb86D8wkYLTRaC8bX9Ou758H+RNyigcrr6/PwJWPyH3QegJNZtHH+zM3wuydB0z6pmkWIztR1
ev82MNiywy/4511+3XS+XIvvXtB/4TUg3E+wHDR0fe9/auuTDu3NUElgef31z7vmwJ0/es1ZCBz2
qrYK1fEHLwDH/uTSqBS0I7+chC+f9w+68blhAfLxjv7ozW9/4jpPcI7vbn73Ew0IYuZNhkDTL/74
n7UUTknmH30GNPeTQW8NpIj75Tp/9/5jKVQdF2Dfl3MwkU3+7En4E/fKr6UT3qnk6bWyCp+r10f4
S8Xwb//CW9nx2wN8S0hnuXz3Fyfb/JdDfykspv//73evx9eS55s/fCuBXj/n6z//+gP+9qPffdbb
T/X2m5vwWR7kI3jDV0jm1695dkipzpgrBPAud/Lw9FwF71Z8aIlv/z99/G/SkH9dAP7w+FX1PgJ5
UhZ//LCk+Bzk22EmJL3uCiYb/zp9f+/bbg5yOGSHtwO9su6/vPY/fOQwPTwCA/rhmQYaRVXx0Y84
OmDQ/+U/DmnxX78cHyoMSO/OEMXlVFt/9FOODzJjaxK/P0lfSuQPH5v7NPnuwMYkjP/ogU8OcRUc
nrrn5+LtYK/XdhLRv/3G37/HTw9PwfDjZ+jL/umjX//8KeTrv33R6ZsLer4/4WLumqfmMXiWcnh3
cKLgtbff+PunZddk0eHh7Tiv35rshZ/wrfeH6IBA5/BugzINOX/CsS/DOA7fZbYzGJiK0Y9ew6tD
GiYwhZ+at2NNZ+RrLf3Rg1/XxJ/+6NXCbmsCdn30+LfPVf3L7DnzD8nbwV6//Zeq8KNHPz3wMueF
Vb9PGflabHz06GtCgeWh/vZ729yGQv8J68U6f/dUTsfFivX2UX//0WFV/nXWfxY+5g9c3W2VQKWu
3g4+nX86BkCnf8Jd/z+yyX5/eULIpb1OTz96KU7DMZfvywEOrdrCpaj86MH/OKfm9/Hgf6qM+bEq
4+1LT9fi9QdBSfH2e3//4k/c8elSvx3p69En2uBPOE2nhwwt8fvK4LWxMXnbPnoN/h3w8KNX4TkJ
wrdv+a/TMrVkPvrNf1dbw3Wduj4/YT2cs2I9hb9hXn05/k+4b/4MVeuDF+B1ncHj+P3d+ZXb9RNW
miOWgt89/k/Yj1w982j539f4/9rYf/Q++rMe0A9eiB+/j/6OSuwPv8iP9pu/9uZ/uwt967n/6J+9
32JPf+MxeT7I//4/AAAA//8=</cx:binary>
              </cx:geoCache>
            </cx:geography>
          </cx:layoutPr>
          <cx:valueColors>
            <cx:minColor>
              <a:srgbClr val="C59EE2"/>
            </cx:minColor>
            <cx:maxColor>
              <a:srgbClr val="7030A0"/>
            </cx:maxColor>
          </cx:valueColors>
        </cx:series>
      </cx:plotAreaRegion>
    </cx:plotArea>
  </cx:chart>
  <cx:spPr>
    <a:ln w="12700">
      <a:solidFill>
        <a:srgbClr val="7030A0">
          <a:alpha val="48000"/>
        </a:srgb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12</xdr:col>
      <xdr:colOff>119572</xdr:colOff>
      <xdr:row>12</xdr:row>
      <xdr:rowOff>47355</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B6B67C6-4FBB-4EE0-BC9E-F2C7F30CFC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92750" y="0"/>
              <a:ext cx="3167572" cy="22571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236538</xdr:colOff>
      <xdr:row>1</xdr:row>
      <xdr:rowOff>171450</xdr:rowOff>
    </xdr:from>
    <xdr:to>
      <xdr:col>5</xdr:col>
      <xdr:colOff>421338</xdr:colOff>
      <xdr:row>5</xdr:row>
      <xdr:rowOff>82850</xdr:rowOff>
    </xdr:to>
    <xdr:grpSp>
      <xdr:nvGrpSpPr>
        <xdr:cNvPr id="14" name="Group 13">
          <a:extLst>
            <a:ext uri="{FF2B5EF4-FFF2-40B4-BE49-F238E27FC236}">
              <a16:creationId xmlns:a16="http://schemas.microsoft.com/office/drawing/2014/main" id="{F4E60B18-233D-0209-7A28-820DDA9A0EA0}"/>
            </a:ext>
          </a:extLst>
        </xdr:cNvPr>
        <xdr:cNvGrpSpPr/>
      </xdr:nvGrpSpPr>
      <xdr:grpSpPr>
        <a:xfrm>
          <a:off x="2055920" y="599540"/>
          <a:ext cx="1397721" cy="653422"/>
          <a:chOff x="2067317" y="600281"/>
          <a:chExt cx="1405320" cy="637114"/>
        </a:xfrm>
      </xdr:grpSpPr>
      <xdr:sp macro="" textlink="KPIs!#REF!">
        <xdr:nvSpPr>
          <xdr:cNvPr id="2" name="Rectangle 1">
            <a:extLst>
              <a:ext uri="{FF2B5EF4-FFF2-40B4-BE49-F238E27FC236}">
                <a16:creationId xmlns:a16="http://schemas.microsoft.com/office/drawing/2014/main" id="{80A29819-595E-7DC5-9BD2-523E6841533A}"/>
              </a:ext>
            </a:extLst>
          </xdr:cNvPr>
          <xdr:cNvSpPr/>
        </xdr:nvSpPr>
        <xdr:spPr>
          <a:xfrm>
            <a:off x="2067317" y="600281"/>
            <a:ext cx="1405320" cy="637114"/>
          </a:xfrm>
          <a:prstGeom prst="rect">
            <a:avLst/>
          </a:prstGeom>
          <a:solidFill>
            <a:srgbClr val="7030A0"/>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b="1"/>
              <a:t>🙍🏼‍♂️ Total</a:t>
            </a:r>
            <a:r>
              <a:rPr lang="en-IN" b="1" baseline="0"/>
              <a:t> Workforce</a:t>
            </a:r>
            <a:endParaRPr lang="en-US" sz="1100" b="1" i="0" u="none" strike="noStrike">
              <a:solidFill>
                <a:srgbClr val="000000"/>
              </a:solidFill>
              <a:latin typeface="Calibri"/>
              <a:ea typeface="Calibri"/>
              <a:cs typeface="Calibri"/>
            </a:endParaRPr>
          </a:p>
        </xdr:txBody>
      </xdr:sp>
      <xdr:sp macro="" textlink="KPIs!C3">
        <xdr:nvSpPr>
          <xdr:cNvPr id="16" name="TextBox 15">
            <a:extLst>
              <a:ext uri="{FF2B5EF4-FFF2-40B4-BE49-F238E27FC236}">
                <a16:creationId xmlns:a16="http://schemas.microsoft.com/office/drawing/2014/main" id="{FE84A072-7E33-1BB6-E7F3-6C95AF12989D}"/>
              </a:ext>
            </a:extLst>
          </xdr:cNvPr>
          <xdr:cNvSpPr txBox="1"/>
        </xdr:nvSpPr>
        <xdr:spPr>
          <a:xfrm>
            <a:off x="2520414" y="837991"/>
            <a:ext cx="53572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8E3EC06-6F08-4D19-B79E-CE79152D6E97}" type="TxLink">
              <a:rPr lang="en-US" sz="1800" b="1" i="0" u="none" strike="noStrike">
                <a:solidFill>
                  <a:srgbClr val="FFFF00"/>
                </a:solidFill>
                <a:latin typeface="Calibri"/>
                <a:ea typeface="Calibri"/>
                <a:cs typeface="Calibri"/>
              </a:rPr>
              <a:pPr/>
              <a:t>495</a:t>
            </a:fld>
            <a:endParaRPr lang="en-IN" sz="1800" b="1">
              <a:solidFill>
                <a:srgbClr val="FFFF00"/>
              </a:solidFill>
            </a:endParaRPr>
          </a:p>
        </xdr:txBody>
      </xdr:sp>
    </xdr:grpSp>
    <xdr:clientData/>
  </xdr:twoCellAnchor>
  <xdr:twoCellAnchor>
    <xdr:from>
      <xdr:col>7</xdr:col>
      <xdr:colOff>60469</xdr:colOff>
      <xdr:row>1</xdr:row>
      <xdr:rowOff>173182</xdr:rowOff>
    </xdr:from>
    <xdr:to>
      <xdr:col>9</xdr:col>
      <xdr:colOff>246987</xdr:colOff>
      <xdr:row>5</xdr:row>
      <xdr:rowOff>87303</xdr:rowOff>
    </xdr:to>
    <xdr:grpSp>
      <xdr:nvGrpSpPr>
        <xdr:cNvPr id="13" name="Group 12">
          <a:extLst>
            <a:ext uri="{FF2B5EF4-FFF2-40B4-BE49-F238E27FC236}">
              <a16:creationId xmlns:a16="http://schemas.microsoft.com/office/drawing/2014/main" id="{3F67415C-BA6E-333E-4FD6-0DA171D93113}"/>
            </a:ext>
          </a:extLst>
        </xdr:cNvPr>
        <xdr:cNvGrpSpPr/>
      </xdr:nvGrpSpPr>
      <xdr:grpSpPr>
        <a:xfrm>
          <a:off x="4305694" y="601272"/>
          <a:ext cx="1399439" cy="656143"/>
          <a:chOff x="4183846" y="610260"/>
          <a:chExt cx="1407038" cy="639835"/>
        </a:xfrm>
      </xdr:grpSpPr>
      <xdr:sp macro="" textlink="KPIs!#REF!">
        <xdr:nvSpPr>
          <xdr:cNvPr id="3" name="Rectangle 2">
            <a:extLst>
              <a:ext uri="{FF2B5EF4-FFF2-40B4-BE49-F238E27FC236}">
                <a16:creationId xmlns:a16="http://schemas.microsoft.com/office/drawing/2014/main" id="{CC1550CB-D899-4DFE-A44E-59D7EC1A1198}"/>
              </a:ext>
            </a:extLst>
          </xdr:cNvPr>
          <xdr:cNvSpPr/>
        </xdr:nvSpPr>
        <xdr:spPr>
          <a:xfrm>
            <a:off x="4183846" y="610260"/>
            <a:ext cx="1407038" cy="639835"/>
          </a:xfrm>
          <a:prstGeom prst="rect">
            <a:avLst/>
          </a:prstGeom>
          <a:solidFill>
            <a:srgbClr val="7030A0"/>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ctr"/>
            <a:r>
              <a:rPr lang="en-IN" sz="1100" b="1" i="0" u="none" strike="noStrike">
                <a:solidFill>
                  <a:schemeClr val="bg1"/>
                </a:solidFill>
                <a:latin typeface="Calibri"/>
                <a:ea typeface="Calibri"/>
                <a:cs typeface="Calibri"/>
              </a:rPr>
              <a:t>💰 </a:t>
            </a:r>
            <a:r>
              <a:rPr lang="en-US" sz="1100" b="1" i="0" u="none" strike="noStrike">
                <a:solidFill>
                  <a:schemeClr val="bg1"/>
                </a:solidFill>
                <a:latin typeface="Calibri"/>
                <a:ea typeface="Calibri"/>
                <a:cs typeface="Calibri"/>
              </a:rPr>
              <a:t>Top Salary</a:t>
            </a:r>
          </a:p>
        </xdr:txBody>
      </xdr:sp>
      <xdr:sp macro="" textlink="KPIs!C4">
        <xdr:nvSpPr>
          <xdr:cNvPr id="17" name="TextBox 16">
            <a:extLst>
              <a:ext uri="{FF2B5EF4-FFF2-40B4-BE49-F238E27FC236}">
                <a16:creationId xmlns:a16="http://schemas.microsoft.com/office/drawing/2014/main" id="{6B79BE8E-7C0F-4763-813D-BC9FA0C90C44}"/>
              </a:ext>
            </a:extLst>
          </xdr:cNvPr>
          <xdr:cNvSpPr txBox="1"/>
        </xdr:nvSpPr>
        <xdr:spPr>
          <a:xfrm>
            <a:off x="4410460" y="831376"/>
            <a:ext cx="100380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D89FE52-1787-4BF5-B8DE-5B8E632046CB}" type="TxLink">
              <a:rPr lang="en-US" sz="1800" b="1" i="0" u="none" strike="noStrike">
                <a:solidFill>
                  <a:srgbClr val="FFFF00"/>
                </a:solidFill>
                <a:latin typeface="Calibri"/>
                <a:ea typeface="Calibri"/>
                <a:cs typeface="Calibri"/>
              </a:rPr>
              <a:pPr/>
              <a:t>1920000</a:t>
            </a:fld>
            <a:endParaRPr lang="en-IN" sz="1800" b="1">
              <a:solidFill>
                <a:srgbClr val="FFFF00"/>
              </a:solidFill>
            </a:endParaRPr>
          </a:p>
        </xdr:txBody>
      </xdr:sp>
    </xdr:grpSp>
    <xdr:clientData/>
  </xdr:twoCellAnchor>
  <xdr:twoCellAnchor>
    <xdr:from>
      <xdr:col>10</xdr:col>
      <xdr:colOff>573074</xdr:colOff>
      <xdr:row>1</xdr:row>
      <xdr:rowOff>181428</xdr:rowOff>
    </xdr:from>
    <xdr:to>
      <xdr:col>13</xdr:col>
      <xdr:colOff>146556</xdr:colOff>
      <xdr:row>5</xdr:row>
      <xdr:rowOff>95549</xdr:rowOff>
    </xdr:to>
    <xdr:grpSp>
      <xdr:nvGrpSpPr>
        <xdr:cNvPr id="12" name="Group 11">
          <a:extLst>
            <a:ext uri="{FF2B5EF4-FFF2-40B4-BE49-F238E27FC236}">
              <a16:creationId xmlns:a16="http://schemas.microsoft.com/office/drawing/2014/main" id="{E11F364F-83DA-285E-181D-D2A84CB7972C}"/>
            </a:ext>
          </a:extLst>
        </xdr:cNvPr>
        <xdr:cNvGrpSpPr/>
      </xdr:nvGrpSpPr>
      <xdr:grpSpPr>
        <a:xfrm>
          <a:off x="6637681" y="609518"/>
          <a:ext cx="1392864" cy="656143"/>
          <a:chOff x="6238593" y="610260"/>
          <a:chExt cx="1404262" cy="639835"/>
        </a:xfrm>
      </xdr:grpSpPr>
      <xdr:sp macro="" textlink="KPIs!#REF!">
        <xdr:nvSpPr>
          <xdr:cNvPr id="5" name="Rectangle 4">
            <a:extLst>
              <a:ext uri="{FF2B5EF4-FFF2-40B4-BE49-F238E27FC236}">
                <a16:creationId xmlns:a16="http://schemas.microsoft.com/office/drawing/2014/main" id="{575E240B-47BB-4088-B368-7451654BB90F}"/>
              </a:ext>
            </a:extLst>
          </xdr:cNvPr>
          <xdr:cNvSpPr/>
        </xdr:nvSpPr>
        <xdr:spPr>
          <a:xfrm>
            <a:off x="6238593" y="610260"/>
            <a:ext cx="1404262" cy="639835"/>
          </a:xfrm>
          <a:prstGeom prst="rect">
            <a:avLst/>
          </a:prstGeom>
          <a:solidFill>
            <a:srgbClr val="7030A0"/>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ctr"/>
            <a:r>
              <a:rPr lang="en-IN" sz="1100" b="0" i="0" u="none" strike="noStrike">
                <a:solidFill>
                  <a:srgbClr val="000000"/>
                </a:solidFill>
                <a:latin typeface="Calibri"/>
                <a:ea typeface="Calibri"/>
                <a:cs typeface="Calibri"/>
              </a:rPr>
              <a:t>💸</a:t>
            </a:r>
            <a:r>
              <a:rPr lang="en-US" sz="1100" b="1" i="0" u="none" strike="noStrike">
                <a:solidFill>
                  <a:schemeClr val="bg1"/>
                </a:solidFill>
                <a:latin typeface="Calibri"/>
                <a:ea typeface="Calibri"/>
                <a:cs typeface="Calibri"/>
              </a:rPr>
              <a:t>Average Salary</a:t>
            </a:r>
            <a:endParaRPr lang="en-IN" sz="1800" b="1">
              <a:solidFill>
                <a:srgbClr val="FFFF00"/>
              </a:solidFill>
              <a:latin typeface="+mn-lt"/>
              <a:ea typeface="+mn-ea"/>
              <a:cs typeface="+mn-cs"/>
            </a:endParaRPr>
          </a:p>
        </xdr:txBody>
      </xdr:sp>
      <xdr:sp macro="" textlink="KPIs!C5">
        <xdr:nvSpPr>
          <xdr:cNvPr id="19" name="TextBox 18">
            <a:extLst>
              <a:ext uri="{FF2B5EF4-FFF2-40B4-BE49-F238E27FC236}">
                <a16:creationId xmlns:a16="http://schemas.microsoft.com/office/drawing/2014/main" id="{DDE475BB-5916-40E7-B943-B1EE04D84952}"/>
              </a:ext>
            </a:extLst>
          </xdr:cNvPr>
          <xdr:cNvSpPr txBox="1"/>
        </xdr:nvSpPr>
        <xdr:spPr>
          <a:xfrm>
            <a:off x="6542863" y="824762"/>
            <a:ext cx="88678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95A720E-F847-4102-BBE9-64E1443BE56D}" type="TxLink">
              <a:rPr lang="en-US" sz="1800" b="1" i="0" u="none" strike="noStrike">
                <a:solidFill>
                  <a:srgbClr val="FFFF00"/>
                </a:solidFill>
                <a:latin typeface="Calibri"/>
                <a:ea typeface="Calibri"/>
                <a:cs typeface="Calibri"/>
              </a:rPr>
              <a:pPr/>
              <a:t>548500</a:t>
            </a:fld>
            <a:endParaRPr lang="en-IN" sz="1800" b="1">
              <a:solidFill>
                <a:srgbClr val="FFFF00"/>
              </a:solidFill>
            </a:endParaRPr>
          </a:p>
        </xdr:txBody>
      </xdr:sp>
    </xdr:grpSp>
    <xdr:clientData/>
  </xdr:twoCellAnchor>
  <xdr:twoCellAnchor>
    <xdr:from>
      <xdr:col>14</xdr:col>
      <xdr:colOff>471324</xdr:colOff>
      <xdr:row>2</xdr:row>
      <xdr:rowOff>6349</xdr:rowOff>
    </xdr:from>
    <xdr:to>
      <xdr:col>17</xdr:col>
      <xdr:colOff>45863</xdr:colOff>
      <xdr:row>5</xdr:row>
      <xdr:rowOff>101899</xdr:rowOff>
    </xdr:to>
    <xdr:grpSp>
      <xdr:nvGrpSpPr>
        <xdr:cNvPr id="11" name="Group 10">
          <a:extLst>
            <a:ext uri="{FF2B5EF4-FFF2-40B4-BE49-F238E27FC236}">
              <a16:creationId xmlns:a16="http://schemas.microsoft.com/office/drawing/2014/main" id="{9EBCB51E-9A79-0F72-E357-6B907960F9CC}"/>
            </a:ext>
          </a:extLst>
        </xdr:cNvPr>
        <xdr:cNvGrpSpPr/>
      </xdr:nvGrpSpPr>
      <xdr:grpSpPr>
        <a:xfrm>
          <a:off x="8961773" y="619945"/>
          <a:ext cx="1393921" cy="652066"/>
          <a:chOff x="8239765" y="616610"/>
          <a:chExt cx="1405319" cy="639835"/>
        </a:xfrm>
      </xdr:grpSpPr>
      <xdr:sp macro="" textlink="KPIs!#REF!">
        <xdr:nvSpPr>
          <xdr:cNvPr id="6" name="Rectangle 5">
            <a:extLst>
              <a:ext uri="{FF2B5EF4-FFF2-40B4-BE49-F238E27FC236}">
                <a16:creationId xmlns:a16="http://schemas.microsoft.com/office/drawing/2014/main" id="{757E49C3-D2C4-433E-A73F-2D087A572CD5}"/>
              </a:ext>
            </a:extLst>
          </xdr:cNvPr>
          <xdr:cNvSpPr/>
        </xdr:nvSpPr>
        <xdr:spPr>
          <a:xfrm>
            <a:off x="8239765" y="616610"/>
            <a:ext cx="1405319" cy="639835"/>
          </a:xfrm>
          <a:prstGeom prst="rect">
            <a:avLst/>
          </a:prstGeom>
          <a:solidFill>
            <a:srgbClr val="7030A0"/>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ctr"/>
            <a:r>
              <a:rPr lang="en-IN" sz="1100" b="1" i="0" u="none" strike="noStrike">
                <a:solidFill>
                  <a:schemeClr val="bg1"/>
                </a:solidFill>
                <a:latin typeface="Calibri"/>
                <a:ea typeface="Calibri"/>
                <a:cs typeface="Calibri"/>
              </a:rPr>
              <a:t>🎁 </a:t>
            </a:r>
            <a:r>
              <a:rPr lang="en-US" sz="1100" b="1" i="0" u="none" strike="noStrike">
                <a:solidFill>
                  <a:schemeClr val="bg1"/>
                </a:solidFill>
                <a:latin typeface="Calibri"/>
                <a:ea typeface="Calibri"/>
                <a:cs typeface="Calibri"/>
              </a:rPr>
              <a:t>Average</a:t>
            </a:r>
            <a:r>
              <a:rPr lang="en-US" sz="1100" b="1" i="0" u="none" strike="noStrike" baseline="0">
                <a:solidFill>
                  <a:schemeClr val="bg1"/>
                </a:solidFill>
                <a:latin typeface="Calibri"/>
                <a:ea typeface="Calibri"/>
                <a:cs typeface="Calibri"/>
              </a:rPr>
              <a:t> Bonus</a:t>
            </a:r>
            <a:endParaRPr lang="en-IN" sz="1800" b="1">
              <a:solidFill>
                <a:srgbClr val="FFFF00"/>
              </a:solidFill>
              <a:latin typeface="+mn-lt"/>
              <a:ea typeface="+mn-ea"/>
              <a:cs typeface="+mn-cs"/>
            </a:endParaRPr>
          </a:p>
        </xdr:txBody>
      </xdr:sp>
      <xdr:sp macro="" textlink="KPIs!C6">
        <xdr:nvSpPr>
          <xdr:cNvPr id="20" name="TextBox 19">
            <a:extLst>
              <a:ext uri="{FF2B5EF4-FFF2-40B4-BE49-F238E27FC236}">
                <a16:creationId xmlns:a16="http://schemas.microsoft.com/office/drawing/2014/main" id="{4AF31280-1301-45BE-BBE2-7C608B4FE1DE}"/>
              </a:ext>
            </a:extLst>
          </xdr:cNvPr>
          <xdr:cNvSpPr txBox="1"/>
        </xdr:nvSpPr>
        <xdr:spPr>
          <a:xfrm>
            <a:off x="8585442" y="831111"/>
            <a:ext cx="7697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1325143-FAFC-4B07-A0ED-28C72DB5F52D}" type="TxLink">
              <a:rPr lang="en-US" sz="1800" b="1" i="0" u="none" strike="noStrike">
                <a:solidFill>
                  <a:srgbClr val="FFFF00"/>
                </a:solidFill>
                <a:latin typeface="Calibri"/>
                <a:ea typeface="Calibri"/>
                <a:cs typeface="Calibri"/>
              </a:rPr>
              <a:pPr/>
              <a:t>15288</a:t>
            </a:fld>
            <a:endParaRPr lang="en-IN" sz="1800" b="1">
              <a:solidFill>
                <a:srgbClr val="FFFF00"/>
              </a:solidFill>
            </a:endParaRPr>
          </a:p>
        </xdr:txBody>
      </xdr:sp>
    </xdr:grpSp>
    <xdr:clientData/>
  </xdr:twoCellAnchor>
  <xdr:twoCellAnchor>
    <xdr:from>
      <xdr:col>18</xdr:col>
      <xdr:colOff>322740</xdr:colOff>
      <xdr:row>2</xdr:row>
      <xdr:rowOff>30151</xdr:rowOff>
    </xdr:from>
    <xdr:to>
      <xdr:col>20</xdr:col>
      <xdr:colOff>509257</xdr:colOff>
      <xdr:row>5</xdr:row>
      <xdr:rowOff>121921</xdr:rowOff>
    </xdr:to>
    <xdr:grpSp>
      <xdr:nvGrpSpPr>
        <xdr:cNvPr id="9" name="Group 8">
          <a:extLst>
            <a:ext uri="{FF2B5EF4-FFF2-40B4-BE49-F238E27FC236}">
              <a16:creationId xmlns:a16="http://schemas.microsoft.com/office/drawing/2014/main" id="{B1E2487C-CA0A-42DD-64DE-C15210884348}"/>
            </a:ext>
          </a:extLst>
        </xdr:cNvPr>
        <xdr:cNvGrpSpPr/>
      </xdr:nvGrpSpPr>
      <xdr:grpSpPr>
        <a:xfrm>
          <a:off x="11239032" y="643747"/>
          <a:ext cx="1399438" cy="648286"/>
          <a:chOff x="10194104" y="607425"/>
          <a:chExt cx="1407037" cy="636055"/>
        </a:xfrm>
      </xdr:grpSpPr>
      <xdr:sp macro="" textlink="KPIs!#REF!">
        <xdr:nvSpPr>
          <xdr:cNvPr id="21" name="Rectangle 20">
            <a:extLst>
              <a:ext uri="{FF2B5EF4-FFF2-40B4-BE49-F238E27FC236}">
                <a16:creationId xmlns:a16="http://schemas.microsoft.com/office/drawing/2014/main" id="{C2AD2FF3-BC09-4FC8-BF21-44A3B8979C50}"/>
              </a:ext>
            </a:extLst>
          </xdr:cNvPr>
          <xdr:cNvSpPr/>
        </xdr:nvSpPr>
        <xdr:spPr>
          <a:xfrm>
            <a:off x="10194104" y="607425"/>
            <a:ext cx="1407037" cy="636055"/>
          </a:xfrm>
          <a:prstGeom prst="rect">
            <a:avLst/>
          </a:prstGeom>
          <a:solidFill>
            <a:srgbClr val="7030A0"/>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ctr"/>
            <a:r>
              <a:rPr lang="en-IN" sz="1100" b="1" i="0" u="none" strike="noStrike">
                <a:solidFill>
                  <a:schemeClr val="bg1"/>
                </a:solidFill>
                <a:latin typeface="Calibri"/>
                <a:ea typeface="Calibri"/>
                <a:cs typeface="Calibri"/>
              </a:rPr>
              <a:t>⭐ </a:t>
            </a:r>
            <a:r>
              <a:rPr lang="en-US" sz="1100" b="1" i="0" u="none" strike="noStrike">
                <a:solidFill>
                  <a:schemeClr val="bg1"/>
                </a:solidFill>
                <a:latin typeface="Calibri"/>
                <a:ea typeface="Calibri"/>
                <a:cs typeface="Calibri"/>
              </a:rPr>
              <a:t>Average</a:t>
            </a:r>
            <a:r>
              <a:rPr lang="en-US" sz="1100" b="1" i="0" u="none" strike="noStrike" baseline="0">
                <a:solidFill>
                  <a:schemeClr val="bg1"/>
                </a:solidFill>
                <a:latin typeface="Calibri"/>
                <a:ea typeface="Calibri"/>
                <a:cs typeface="Calibri"/>
              </a:rPr>
              <a:t> Rating</a:t>
            </a:r>
            <a:endParaRPr lang="en-IN" sz="1800" b="1">
              <a:solidFill>
                <a:srgbClr val="FFFF00"/>
              </a:solidFill>
              <a:latin typeface="+mn-lt"/>
              <a:ea typeface="+mn-ea"/>
              <a:cs typeface="+mn-cs"/>
            </a:endParaRPr>
          </a:p>
        </xdr:txBody>
      </xdr:sp>
      <xdr:sp macro="" textlink="KPIs!C7">
        <xdr:nvSpPr>
          <xdr:cNvPr id="22" name="TextBox 21">
            <a:extLst>
              <a:ext uri="{FF2B5EF4-FFF2-40B4-BE49-F238E27FC236}">
                <a16:creationId xmlns:a16="http://schemas.microsoft.com/office/drawing/2014/main" id="{D900A75E-302D-4BBA-A31C-C456FAE8CB5D}"/>
              </a:ext>
            </a:extLst>
          </xdr:cNvPr>
          <xdr:cNvSpPr txBox="1"/>
        </xdr:nvSpPr>
        <xdr:spPr>
          <a:xfrm>
            <a:off x="10612542" y="811531"/>
            <a:ext cx="59740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91E7793-A4FD-4689-8E3E-D632B5DBD325}" type="TxLink">
              <a:rPr lang="en-US" sz="1800" b="1" i="0" u="none" strike="noStrike">
                <a:solidFill>
                  <a:srgbClr val="FFFF00"/>
                </a:solidFill>
                <a:latin typeface="Calibri"/>
                <a:ea typeface="Calibri"/>
                <a:cs typeface="Calibri"/>
              </a:rPr>
              <a:pPr/>
              <a:t>2.68</a:t>
            </a:fld>
            <a:endParaRPr lang="en-IN" sz="1800" b="1">
              <a:solidFill>
                <a:srgbClr val="FFFF00"/>
              </a:solidFill>
            </a:endParaRPr>
          </a:p>
        </xdr:txBody>
      </xdr:sp>
    </xdr:grpSp>
    <xdr:clientData/>
  </xdr:twoCellAnchor>
  <xdr:twoCellAnchor>
    <xdr:from>
      <xdr:col>3</xdr:col>
      <xdr:colOff>271197</xdr:colOff>
      <xdr:row>6</xdr:row>
      <xdr:rowOff>132291</xdr:rowOff>
    </xdr:from>
    <xdr:to>
      <xdr:col>9</xdr:col>
      <xdr:colOff>52293</xdr:colOff>
      <xdr:row>18</xdr:row>
      <xdr:rowOff>123702</xdr:rowOff>
    </xdr:to>
    <xdr:graphicFrame macro="">
      <xdr:nvGraphicFramePr>
        <xdr:cNvPr id="4" name="Chart 3">
          <a:extLst>
            <a:ext uri="{FF2B5EF4-FFF2-40B4-BE49-F238E27FC236}">
              <a16:creationId xmlns:a16="http://schemas.microsoft.com/office/drawing/2014/main" id="{912BBEE2-7BDC-42F9-9FAE-5F5CBBA3C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171825</xdr:colOff>
      <xdr:row>6</xdr:row>
      <xdr:rowOff>141943</xdr:rowOff>
    </xdr:from>
    <xdr:to>
      <xdr:col>16</xdr:col>
      <xdr:colOff>149413</xdr:colOff>
      <xdr:row>20</xdr:row>
      <xdr:rowOff>22413</xdr:rowOff>
    </xdr:to>
    <xdr:graphicFrame macro="">
      <xdr:nvGraphicFramePr>
        <xdr:cNvPr id="7" name="Chart 6">
          <a:extLst>
            <a:ext uri="{FF2B5EF4-FFF2-40B4-BE49-F238E27FC236}">
              <a16:creationId xmlns:a16="http://schemas.microsoft.com/office/drawing/2014/main" id="{6E9CF7D9-7479-4120-83BE-67B273C2F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189675</xdr:colOff>
      <xdr:row>20</xdr:row>
      <xdr:rowOff>141942</xdr:rowOff>
    </xdr:from>
    <xdr:to>
      <xdr:col>16</xdr:col>
      <xdr:colOff>148442</xdr:colOff>
      <xdr:row>31</xdr:row>
      <xdr:rowOff>65974</xdr:rowOff>
    </xdr:to>
    <xdr:graphicFrame macro="">
      <xdr:nvGraphicFramePr>
        <xdr:cNvPr id="8" name="Chart 7">
          <a:extLst>
            <a:ext uri="{FF2B5EF4-FFF2-40B4-BE49-F238E27FC236}">
              <a16:creationId xmlns:a16="http://schemas.microsoft.com/office/drawing/2014/main" id="{F5A4C973-2BF2-455A-9DFD-E38A35517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283885</xdr:colOff>
      <xdr:row>19</xdr:row>
      <xdr:rowOff>52294</xdr:rowOff>
    </xdr:from>
    <xdr:to>
      <xdr:col>9</xdr:col>
      <xdr:colOff>65974</xdr:colOff>
      <xdr:row>31</xdr:row>
      <xdr:rowOff>82468</xdr:rowOff>
    </xdr:to>
    <xdr:graphicFrame macro="">
      <xdr:nvGraphicFramePr>
        <xdr:cNvPr id="10" name="Chart 9">
          <a:extLst>
            <a:ext uri="{FF2B5EF4-FFF2-40B4-BE49-F238E27FC236}">
              <a16:creationId xmlns:a16="http://schemas.microsoft.com/office/drawing/2014/main" id="{AD5BE976-9A0C-47C8-807C-A1335E0CE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16</xdr:col>
      <xdr:colOff>263897</xdr:colOff>
      <xdr:row>19</xdr:row>
      <xdr:rowOff>90714</xdr:rowOff>
    </xdr:from>
    <xdr:to>
      <xdr:col>21</xdr:col>
      <xdr:colOff>379865</xdr:colOff>
      <xdr:row>31</xdr:row>
      <xdr:rowOff>24741</xdr:rowOff>
    </xdr:to>
    <xdr:graphicFrame macro="">
      <xdr:nvGraphicFramePr>
        <xdr:cNvPr id="45" name="Chart 44">
          <a:extLst>
            <a:ext uri="{FF2B5EF4-FFF2-40B4-BE49-F238E27FC236}">
              <a16:creationId xmlns:a16="http://schemas.microsoft.com/office/drawing/2014/main" id="{7C63B505-F1FB-455E-B477-9C57442FB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263896</xdr:colOff>
      <xdr:row>6</xdr:row>
      <xdr:rowOff>148441</xdr:rowOff>
    </xdr:from>
    <xdr:to>
      <xdr:col>21</xdr:col>
      <xdr:colOff>368527</xdr:colOff>
      <xdr:row>18</xdr:row>
      <xdr:rowOff>164419</xdr:rowOff>
    </xdr:to>
    <mc:AlternateContent xmlns:mc="http://schemas.openxmlformats.org/markup-compatibility/2006">
      <mc:Choice xmlns:cx4="http://schemas.microsoft.com/office/drawing/2016/5/10/chartex" Requires="cx4">
        <xdr:graphicFrame macro="">
          <xdr:nvGraphicFramePr>
            <xdr:cNvPr id="51" name="Chart 50">
              <a:extLst>
                <a:ext uri="{FF2B5EF4-FFF2-40B4-BE49-F238E27FC236}">
                  <a16:creationId xmlns:a16="http://schemas.microsoft.com/office/drawing/2014/main" id="{C043EDF0-CCF3-45C8-9678-9C28A7312F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017496" y="1494641"/>
              <a:ext cx="3152631" cy="222577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72710</xdr:colOff>
      <xdr:row>1</xdr:row>
      <xdr:rowOff>19623</xdr:rowOff>
    </xdr:from>
    <xdr:to>
      <xdr:col>2</xdr:col>
      <xdr:colOff>533206</xdr:colOff>
      <xdr:row>10</xdr:row>
      <xdr:rowOff>4847</xdr:rowOff>
    </xdr:to>
    <mc:AlternateContent xmlns:mc="http://schemas.openxmlformats.org/markup-compatibility/2006" xmlns:a14="http://schemas.microsoft.com/office/drawing/2010/main">
      <mc:Choice Requires="a14">
        <xdr:graphicFrame macro="">
          <xdr:nvGraphicFramePr>
            <xdr:cNvPr id="55" name="Department">
              <a:extLst>
                <a:ext uri="{FF2B5EF4-FFF2-40B4-BE49-F238E27FC236}">
                  <a16:creationId xmlns:a16="http://schemas.microsoft.com/office/drawing/2014/main" id="{4D6C4812-BA37-4D20-9C4F-55442824F32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2710" y="445636"/>
              <a:ext cx="1682268" cy="1649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75089</xdr:colOff>
      <xdr:row>10</xdr:row>
      <xdr:rowOff>108496</xdr:rowOff>
    </xdr:from>
    <xdr:to>
      <xdr:col>2</xdr:col>
      <xdr:colOff>538053</xdr:colOff>
      <xdr:row>20</xdr:row>
      <xdr:rowOff>77557</xdr:rowOff>
    </xdr:to>
    <mc:AlternateContent xmlns:mc="http://schemas.openxmlformats.org/markup-compatibility/2006" xmlns:a14="http://schemas.microsoft.com/office/drawing/2010/main">
      <mc:Choice Requires="a14">
        <xdr:graphicFrame macro="">
          <xdr:nvGraphicFramePr>
            <xdr:cNvPr id="56" name="Role">
              <a:extLst>
                <a:ext uri="{FF2B5EF4-FFF2-40B4-BE49-F238E27FC236}">
                  <a16:creationId xmlns:a16="http://schemas.microsoft.com/office/drawing/2014/main" id="{3A55E686-F140-470E-9E3F-4227B64F318A}"/>
                </a:ext>
              </a:extLst>
            </xdr:cNvPr>
            <xdr:cNvGraphicFramePr/>
          </xdr:nvGraphicFramePr>
          <xdr:xfrm>
            <a:off x="0" y="0"/>
            <a:ext cx="0" cy="0"/>
          </xdr:xfrm>
          <a:graphic>
            <a:graphicData uri="http://schemas.microsoft.com/office/drawing/2010/slicer">
              <sle:slicer xmlns:sle="http://schemas.microsoft.com/office/drawing/2010/slicer" name="Role"/>
            </a:graphicData>
          </a:graphic>
        </xdr:graphicFrame>
      </mc:Choice>
      <mc:Fallback xmlns="">
        <xdr:sp macro="" textlink="">
          <xdr:nvSpPr>
            <xdr:cNvPr id="0" name=""/>
            <xdr:cNvSpPr>
              <a:spLocks noTextEdit="1"/>
            </xdr:cNvSpPr>
          </xdr:nvSpPr>
          <xdr:spPr>
            <a:xfrm>
              <a:off x="75089" y="2198369"/>
              <a:ext cx="1684736" cy="18177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82959</xdr:colOff>
      <xdr:row>21</xdr:row>
      <xdr:rowOff>6339</xdr:rowOff>
    </xdr:from>
    <xdr:to>
      <xdr:col>2</xdr:col>
      <xdr:colOff>518664</xdr:colOff>
      <xdr:row>27</xdr:row>
      <xdr:rowOff>101794</xdr:rowOff>
    </xdr:to>
    <mc:AlternateContent xmlns:mc="http://schemas.openxmlformats.org/markup-compatibility/2006" xmlns:a14="http://schemas.microsoft.com/office/drawing/2010/main">
      <mc:Choice Requires="a14">
        <xdr:graphicFrame macro="">
          <xdr:nvGraphicFramePr>
            <xdr:cNvPr id="57" name="Work_Mode">
              <a:extLst>
                <a:ext uri="{FF2B5EF4-FFF2-40B4-BE49-F238E27FC236}">
                  <a16:creationId xmlns:a16="http://schemas.microsoft.com/office/drawing/2014/main" id="{51295E7F-D28B-4A14-BEE1-E000ACBD67F2}"/>
                </a:ext>
              </a:extLst>
            </xdr:cNvPr>
            <xdr:cNvGraphicFramePr/>
          </xdr:nvGraphicFramePr>
          <xdr:xfrm>
            <a:off x="0" y="0"/>
            <a:ext cx="0" cy="0"/>
          </xdr:xfrm>
          <a:graphic>
            <a:graphicData uri="http://schemas.microsoft.com/office/drawing/2010/slicer">
              <sle:slicer xmlns:sle="http://schemas.microsoft.com/office/drawing/2010/slicer" name="Work_Mode"/>
            </a:graphicData>
          </a:graphic>
        </xdr:graphicFrame>
      </mc:Choice>
      <mc:Fallback xmlns="">
        <xdr:sp macro="" textlink="">
          <xdr:nvSpPr>
            <xdr:cNvPr id="0" name=""/>
            <xdr:cNvSpPr>
              <a:spLocks noTextEdit="1"/>
            </xdr:cNvSpPr>
          </xdr:nvSpPr>
          <xdr:spPr>
            <a:xfrm>
              <a:off x="82959" y="4129820"/>
              <a:ext cx="1657477" cy="1204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a Bhagat" refreshedDate="46139.948773379627" createdVersion="8" refreshedVersion="8" minRefreshableVersion="3" recordCount="495" xr:uid="{C45F562D-94A9-4297-ACBA-632AE47EBBF1}">
  <cacheSource type="worksheet">
    <worksheetSource name="Table52"/>
  </cacheSource>
  <cacheFields count="25">
    <cacheField name="Emp_ID" numFmtId="0">
      <sharedItems/>
    </cacheField>
    <cacheField name="Emp_Name" numFmtId="0">
      <sharedItems/>
    </cacheField>
    <cacheField name="Age" numFmtId="0">
      <sharedItems containsSemiMixedTypes="0" containsString="0" containsNumber="1" containsInteger="1" minValue="19" maxValue="53"/>
    </cacheField>
    <cacheField name="Gender" numFmtId="0">
      <sharedItems count="3">
        <s v="F"/>
        <s v=""/>
        <s v="M"/>
      </sharedItems>
    </cacheField>
    <cacheField name="City" numFmtId="0">
      <sharedItems containsBlank="1" count="11">
        <s v="Bangalore"/>
        <s v="Pune"/>
        <s v="Gurugram"/>
        <s v="Delhi"/>
        <m/>
        <s v="Chennai"/>
        <s v="Hyderabad"/>
        <s v="Mumbai"/>
        <s v="Kolkata"/>
        <s v="Noida"/>
        <s v="Indore"/>
      </sharedItems>
    </cacheField>
    <cacheField name="Department" numFmtId="0">
      <sharedItems count="6">
        <s v="Customer Support"/>
        <s v="Logistics"/>
        <s v="Operations"/>
        <s v="Analytics"/>
        <s v="HR"/>
        <s v="Finance"/>
      </sharedItems>
    </cacheField>
    <cacheField name="Role" numFmtId="0">
      <sharedItems count="11">
        <s v="Director"/>
        <s v="Lead Analyst"/>
        <s v="Senior Analyst"/>
        <s v="Senior Manager"/>
        <s v="Manager"/>
        <s v="Intern"/>
        <s v="Senior Director"/>
        <s v="Administrative Assistant"/>
        <s v="Specialist"/>
        <s v="Analyst"/>
        <s v="VP"/>
      </sharedItems>
    </cacheField>
    <cacheField name="Currency" numFmtId="0">
      <sharedItems/>
    </cacheField>
    <cacheField name="Monthly_Salary" numFmtId="0">
      <sharedItems containsSemiMixedTypes="0" containsString="0" containsNumber="1" containsInteger="1" minValue="6000" maxValue="160000"/>
    </cacheField>
    <cacheField name="Num_Month" numFmtId="0">
      <sharedItems containsSemiMixedTypes="0" containsString="0" containsNumber="1" containsInteger="1" minValue="12" maxValue="12"/>
    </cacheField>
    <cacheField name="Annual_Salary" numFmtId="0">
      <sharedItems containsSemiMixedTypes="0" containsString="0" containsNumber="1" containsInteger="1" minValue="72000" maxValue="1920000"/>
    </cacheField>
    <cacheField name="Exp_Years" numFmtId="0">
      <sharedItems containsSemiMixedTypes="0" containsString="0" containsNumber="1" containsInteger="1" minValue="0" maxValue="24" count="23">
        <n v="11"/>
        <n v="7"/>
        <n v="3"/>
        <n v="4"/>
        <n v="2"/>
        <n v="10"/>
        <n v="12"/>
        <n v="13"/>
        <n v="6"/>
        <n v="8"/>
        <n v="5"/>
        <n v="0"/>
        <n v="1"/>
        <n v="9"/>
        <n v="16"/>
        <n v="19"/>
        <n v="17"/>
        <n v="20"/>
        <n v="21"/>
        <n v="22"/>
        <n v="23"/>
        <n v="18"/>
        <n v="24"/>
      </sharedItems>
      <fieldGroup base="11">
        <rangePr startNum="0" endNum="24" groupInterval="3"/>
        <groupItems count="10">
          <s v="&lt;0"/>
          <s v="0-2"/>
          <s v="3-5"/>
          <s v="6-8"/>
          <s v="9-11"/>
          <s v="12-14"/>
          <s v="15-17"/>
          <s v="18-20"/>
          <s v="21-24"/>
          <s v="&gt;24"/>
        </groupItems>
      </fieldGroup>
    </cacheField>
    <cacheField name="Performance_Rating" numFmtId="0">
      <sharedItems containsString="0" containsBlank="1" containsNumber="1" containsInteger="1" minValue="1" maxValue="5" count="6">
        <n v="4"/>
        <n v="3"/>
        <n v="2"/>
        <n v="1"/>
        <n v="5"/>
        <m/>
      </sharedItems>
    </cacheField>
    <cacheField name="Bonus" numFmtId="0">
      <sharedItems containsMixedTypes="1" containsNumber="1" minValue="2700" maxValue="48000"/>
    </cacheField>
    <cacheField name="Attendance_%" numFmtId="0">
      <sharedItems containsSemiMixedTypes="0" containsString="0" containsNumber="1" containsInteger="1" minValue="72" maxValue="95"/>
    </cacheField>
    <cacheField name="Leaves_Taken" numFmtId="0">
      <sharedItems containsSemiMixedTypes="0" containsString="0" containsNumber="1" containsInteger="1" minValue="5" maxValue="31"/>
    </cacheField>
    <cacheField name="Projects_Handled" numFmtId="0">
      <sharedItems containsSemiMixedTypes="0" containsString="0" containsNumber="1" containsInteger="1" minValue="1" maxValue="13"/>
    </cacheField>
    <cacheField name="Promotion_Status" numFmtId="0">
      <sharedItems containsBlank="1"/>
    </cacheField>
    <cacheField name="Work_Mode" numFmtId="0">
      <sharedItems count="3">
        <s v="Hybrid"/>
        <s v="Office"/>
        <s v="Remote"/>
      </sharedItems>
    </cacheField>
    <cacheField name="Overtime_Hours" numFmtId="0">
      <sharedItems containsString="0" containsBlank="1" containsNumber="1" containsInteger="1" minValue="5" maxValue="25"/>
    </cacheField>
    <cacheField name="Overtime_Cost" numFmtId="0">
      <sharedItems containsMixedTypes="1" containsNumber="1" containsInteger="1" minValue="0" maxValue="7000"/>
    </cacheField>
    <cacheField name="Salary_Band" numFmtId="0">
      <sharedItems/>
    </cacheField>
    <cacheField name="Exclusion" numFmtId="0">
      <sharedItems count="1">
        <s v=""/>
      </sharedItems>
    </cacheField>
    <cacheField name="Shift" numFmtId="0">
      <sharedItems/>
    </cacheField>
    <cacheField name="Training_Hours" numFmtId="0">
      <sharedItems containsSemiMixedTypes="0" containsString="0" containsNumber="1" containsInteger="1" minValue="10" maxValue="25"/>
    </cacheField>
  </cacheFields>
  <extLst>
    <ext xmlns:x14="http://schemas.microsoft.com/office/spreadsheetml/2009/9/main" uri="{725AE2AE-9491-48be-B2B4-4EB974FC3084}">
      <x14:pivotCacheDefinition pivotCacheId="17342543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5">
  <r>
    <s v="ZOM1328"/>
    <s v="Employee_328_India"/>
    <n v="44"/>
    <x v="0"/>
    <x v="0"/>
    <x v="0"/>
    <x v="0"/>
    <s v="INR"/>
    <n v="99000"/>
    <n v="12"/>
    <n v="1188000"/>
    <x v="0"/>
    <x v="0"/>
    <n v="29700"/>
    <n v="90"/>
    <n v="15"/>
    <n v="3"/>
    <m/>
    <x v="0"/>
    <m/>
    <s v=""/>
    <s v="Medium"/>
    <x v="0"/>
    <s v="Day"/>
    <n v="12"/>
  </r>
  <r>
    <s v="ZOM1042"/>
    <s v="Employee_42_India"/>
    <n v="24"/>
    <x v="0"/>
    <x v="0"/>
    <x v="1"/>
    <x v="1"/>
    <s v="INR"/>
    <n v="70500"/>
    <n v="12"/>
    <n v="846000"/>
    <x v="1"/>
    <x v="0"/>
    <n v="21150"/>
    <n v="80"/>
    <n v="5"/>
    <n v="5"/>
    <m/>
    <x v="0"/>
    <n v="5"/>
    <n v="1500"/>
    <s v="Medium"/>
    <x v="0"/>
    <s v="Night"/>
    <n v="13"/>
  </r>
  <r>
    <s v="ZOM1377"/>
    <s v="Employee_377_India"/>
    <n v="25"/>
    <x v="1"/>
    <x v="1"/>
    <x v="2"/>
    <x v="2"/>
    <s v="INR"/>
    <n v="36000"/>
    <n v="12"/>
    <n v="432000"/>
    <x v="2"/>
    <x v="1"/>
    <n v="10800"/>
    <n v="90"/>
    <n v="5"/>
    <n v="1"/>
    <s v="No"/>
    <x v="0"/>
    <n v="10"/>
    <n v="3000"/>
    <s v="Medium"/>
    <x v="0"/>
    <s v="Day"/>
    <n v="14"/>
  </r>
  <r>
    <s v="ZOM1076"/>
    <s v="Employee_76_India"/>
    <n v="27"/>
    <x v="2"/>
    <x v="2"/>
    <x v="1"/>
    <x v="2"/>
    <s v="INR"/>
    <n v="36000"/>
    <n v="12"/>
    <n v="432000"/>
    <x v="2"/>
    <x v="1"/>
    <n v="10800"/>
    <n v="80"/>
    <n v="5"/>
    <n v="3"/>
    <m/>
    <x v="1"/>
    <n v="10"/>
    <n v="3000"/>
    <s v="Medium"/>
    <x v="0"/>
    <s v="Night"/>
    <n v="13"/>
  </r>
  <r>
    <s v="ZOM1103"/>
    <s v="Employee_103_India"/>
    <n v="27"/>
    <x v="2"/>
    <x v="3"/>
    <x v="1"/>
    <x v="2"/>
    <s v="INR"/>
    <n v="49000"/>
    <n v="12"/>
    <n v="588000"/>
    <x v="3"/>
    <x v="2"/>
    <s v=""/>
    <n v="95"/>
    <n v="5"/>
    <n v="3"/>
    <s v="Yes"/>
    <x v="0"/>
    <n v="5"/>
    <n v="1500"/>
    <s v="Low"/>
    <x v="0"/>
    <s v="Night"/>
    <n v="13"/>
  </r>
  <r>
    <s v="ZOM1014"/>
    <s v="Employee_14_India"/>
    <n v="27"/>
    <x v="1"/>
    <x v="3"/>
    <x v="3"/>
    <x v="2"/>
    <s v="INR"/>
    <n v="51000"/>
    <n v="12"/>
    <n v="612000"/>
    <x v="3"/>
    <x v="1"/>
    <n v="15300"/>
    <n v="88"/>
    <n v="5"/>
    <n v="5"/>
    <m/>
    <x v="0"/>
    <m/>
    <n v="0"/>
    <s v="Medium"/>
    <x v="0"/>
    <s v="Day"/>
    <n v="25"/>
  </r>
  <r>
    <s v="ZOM1333"/>
    <s v="Employee_333_India"/>
    <n v="26"/>
    <x v="0"/>
    <x v="4"/>
    <x v="2"/>
    <x v="2"/>
    <s v="INR"/>
    <n v="42000"/>
    <n v="12"/>
    <n v="504000"/>
    <x v="2"/>
    <x v="3"/>
    <s v=""/>
    <n v="95"/>
    <n v="15"/>
    <n v="5"/>
    <s v="No"/>
    <x v="0"/>
    <n v="10"/>
    <n v="3000"/>
    <s v="Low"/>
    <x v="0"/>
    <s v="Day"/>
    <n v="14"/>
  </r>
  <r>
    <s v="ZOM1625"/>
    <s v="Employee_25_India"/>
    <n v="25"/>
    <x v="0"/>
    <x v="5"/>
    <x v="2"/>
    <x v="2"/>
    <s v="INR"/>
    <n v="36000"/>
    <n v="12"/>
    <n v="432000"/>
    <x v="2"/>
    <x v="0"/>
    <n v="10800"/>
    <n v="80"/>
    <n v="7"/>
    <n v="5"/>
    <m/>
    <x v="2"/>
    <m/>
    <n v="0"/>
    <s v="High"/>
    <x v="0"/>
    <s v="Day"/>
    <n v="14"/>
  </r>
  <r>
    <s v="ZOM1005"/>
    <s v="Employee_5_India"/>
    <n v="26"/>
    <x v="1"/>
    <x v="6"/>
    <x v="2"/>
    <x v="2"/>
    <s v="INR"/>
    <n v="42333"/>
    <n v="12"/>
    <n v="507996"/>
    <x v="2"/>
    <x v="0"/>
    <n v="12699.9"/>
    <n v="85"/>
    <n v="10"/>
    <n v="3"/>
    <m/>
    <x v="1"/>
    <n v="5"/>
    <n v="1500"/>
    <s v="Medium"/>
    <x v="0"/>
    <s v="Day"/>
    <n v="14"/>
  </r>
  <r>
    <s v="ZOM1570"/>
    <s v="Employee_570_India"/>
    <n v="26"/>
    <x v="0"/>
    <x v="7"/>
    <x v="1"/>
    <x v="2"/>
    <s v="INR"/>
    <n v="48000"/>
    <n v="12"/>
    <n v="576000"/>
    <x v="3"/>
    <x v="3"/>
    <s v=""/>
    <n v="88"/>
    <n v="7"/>
    <n v="1"/>
    <s v="No"/>
    <x v="1"/>
    <m/>
    <n v="0"/>
    <s v="Low"/>
    <x v="0"/>
    <s v="Night"/>
    <n v="13"/>
  </r>
  <r>
    <s v="ZOM1142"/>
    <s v="Employee_142_India"/>
    <n v="26"/>
    <x v="0"/>
    <x v="8"/>
    <x v="0"/>
    <x v="2"/>
    <s v="INR"/>
    <n v="48000"/>
    <n v="12"/>
    <n v="576000"/>
    <x v="3"/>
    <x v="0"/>
    <n v="14400"/>
    <n v="90"/>
    <n v="10"/>
    <n v="1"/>
    <s v="Yes"/>
    <x v="0"/>
    <n v="5"/>
    <n v="1500"/>
    <s v="Medium"/>
    <x v="0"/>
    <s v="Day"/>
    <n v="12"/>
  </r>
  <r>
    <s v="ZOM1507"/>
    <s v="Employee_507_India"/>
    <n v="26"/>
    <x v="0"/>
    <x v="9"/>
    <x v="0"/>
    <x v="2"/>
    <s v="INR"/>
    <n v="31000"/>
    <n v="12"/>
    <n v="372000"/>
    <x v="4"/>
    <x v="4"/>
    <n v="9300"/>
    <n v="85"/>
    <n v="7"/>
    <n v="5"/>
    <m/>
    <x v="0"/>
    <n v="20"/>
    <n v="6000"/>
    <s v="High"/>
    <x v="0"/>
    <s v="Day"/>
    <n v="12"/>
  </r>
  <r>
    <s v="ZOM1068"/>
    <s v="Employee_68_India"/>
    <n v="27"/>
    <x v="1"/>
    <x v="10"/>
    <x v="2"/>
    <x v="2"/>
    <s v="INR"/>
    <n v="35000"/>
    <n v="12"/>
    <n v="420000"/>
    <x v="2"/>
    <x v="3"/>
    <s v=""/>
    <n v="90"/>
    <n v="5"/>
    <n v="3"/>
    <s v="No"/>
    <x v="0"/>
    <m/>
    <n v="0"/>
    <s v="Low"/>
    <x v="0"/>
    <s v="Day"/>
    <n v="14"/>
  </r>
  <r>
    <s v="ZOM1372"/>
    <s v="Employee_372_India"/>
    <n v="25"/>
    <x v="0"/>
    <x v="8"/>
    <x v="4"/>
    <x v="2"/>
    <s v="INR"/>
    <n v="38000"/>
    <n v="12"/>
    <n v="456000"/>
    <x v="2"/>
    <x v="4"/>
    <n v="11400"/>
    <n v="90"/>
    <n v="15"/>
    <n v="5"/>
    <m/>
    <x v="0"/>
    <m/>
    <n v="0"/>
    <s v="High"/>
    <x v="0"/>
    <s v="Day"/>
    <n v="10"/>
  </r>
  <r>
    <s v="ZOM1451"/>
    <s v="Employee_451_India"/>
    <n v="26"/>
    <x v="1"/>
    <x v="2"/>
    <x v="3"/>
    <x v="2"/>
    <s v="INR"/>
    <n v="48000"/>
    <n v="12"/>
    <n v="576000"/>
    <x v="3"/>
    <x v="0"/>
    <n v="14400"/>
    <n v="90"/>
    <n v="15"/>
    <n v="1"/>
    <s v="Yes"/>
    <x v="0"/>
    <n v="20"/>
    <n v="6000"/>
    <s v="High"/>
    <x v="0"/>
    <s v="Day"/>
    <n v="25"/>
  </r>
  <r>
    <s v="ZOM1206"/>
    <s v="Employee_206_India"/>
    <n v="45"/>
    <x v="0"/>
    <x v="0"/>
    <x v="3"/>
    <x v="0"/>
    <s v="INR"/>
    <n v="110000"/>
    <n v="12"/>
    <n v="1320000"/>
    <x v="5"/>
    <x v="2"/>
    <s v=""/>
    <n v="88"/>
    <n v="7"/>
    <n v="5"/>
    <s v="Yes"/>
    <x v="1"/>
    <m/>
    <s v=""/>
    <s v="Low"/>
    <x v="0"/>
    <s v="Day"/>
    <n v="25"/>
  </r>
  <r>
    <s v="ZOM1318"/>
    <s v="Employee_318_India"/>
    <n v="45"/>
    <x v="0"/>
    <x v="5"/>
    <x v="5"/>
    <x v="0"/>
    <s v="INR"/>
    <n v="120000"/>
    <n v="12"/>
    <n v="1440000"/>
    <x v="6"/>
    <x v="2"/>
    <s v=""/>
    <n v="80"/>
    <n v="5"/>
    <n v="3"/>
    <m/>
    <x v="0"/>
    <m/>
    <s v=""/>
    <s v="Low"/>
    <x v="0"/>
    <s v="Night"/>
    <n v="20"/>
  </r>
  <r>
    <s v="ZOM1212"/>
    <s v="Employee_212_India"/>
    <n v="37"/>
    <x v="0"/>
    <x v="2"/>
    <x v="3"/>
    <x v="3"/>
    <s v="INR"/>
    <n v="90000"/>
    <n v="12"/>
    <n v="1080000"/>
    <x v="6"/>
    <x v="0"/>
    <n v="27000"/>
    <n v="85"/>
    <n v="7"/>
    <n v="3"/>
    <s v="Yes"/>
    <x v="0"/>
    <n v="5"/>
    <n v="1750"/>
    <s v="High"/>
    <x v="0"/>
    <s v="Day"/>
    <n v="25"/>
  </r>
  <r>
    <s v="ZOM1255"/>
    <s v="Employee_255_India"/>
    <n v="41"/>
    <x v="0"/>
    <x v="10"/>
    <x v="5"/>
    <x v="0"/>
    <s v="INR"/>
    <n v="123000"/>
    <n v="12"/>
    <n v="1476000"/>
    <x v="7"/>
    <x v="1"/>
    <n v="36900"/>
    <n v="95"/>
    <n v="15"/>
    <n v="2"/>
    <s v="Yes"/>
    <x v="1"/>
    <n v="10"/>
    <s v=""/>
    <s v="Medium"/>
    <x v="0"/>
    <s v="Night"/>
    <n v="20"/>
  </r>
  <r>
    <s v="ZOM1390"/>
    <s v="Employee_390_India"/>
    <n v="26"/>
    <x v="0"/>
    <x v="4"/>
    <x v="2"/>
    <x v="2"/>
    <s v="INR"/>
    <n v="48000"/>
    <n v="12"/>
    <n v="576000"/>
    <x v="3"/>
    <x v="3"/>
    <s v=""/>
    <n v="88"/>
    <n v="15"/>
    <n v="2"/>
    <m/>
    <x v="0"/>
    <n v="20"/>
    <n v="6000"/>
    <s v="Low"/>
    <x v="0"/>
    <s v="Day"/>
    <n v="14"/>
  </r>
  <r>
    <s v="ZOM1234"/>
    <s v="Employee_234_India"/>
    <n v="26"/>
    <x v="0"/>
    <x v="6"/>
    <x v="3"/>
    <x v="2"/>
    <s v="INR"/>
    <n v="32000"/>
    <n v="12"/>
    <n v="384000"/>
    <x v="4"/>
    <x v="0"/>
    <n v="9600"/>
    <n v="88"/>
    <n v="10"/>
    <n v="5"/>
    <m/>
    <x v="1"/>
    <m/>
    <n v="0"/>
    <s v="Medium"/>
    <x v="0"/>
    <s v="Day"/>
    <n v="25"/>
  </r>
  <r>
    <s v="ZOM1385"/>
    <s v="Employee_385_India"/>
    <n v="34"/>
    <x v="2"/>
    <x v="6"/>
    <x v="1"/>
    <x v="4"/>
    <s v="INR"/>
    <n v="79000"/>
    <n v="12"/>
    <n v="948000"/>
    <x v="8"/>
    <x v="4"/>
    <n v="23700"/>
    <n v="85"/>
    <n v="10"/>
    <n v="3"/>
    <s v="Yes"/>
    <x v="0"/>
    <n v="10"/>
    <n v="3500"/>
    <s v="High"/>
    <x v="0"/>
    <s v="Night"/>
    <n v="13"/>
  </r>
  <r>
    <s v="ZOM1058"/>
    <s v="Employee_58_India"/>
    <n v="44"/>
    <x v="0"/>
    <x v="8"/>
    <x v="0"/>
    <x v="0"/>
    <s v="INR"/>
    <n v="120000"/>
    <n v="12"/>
    <n v="1440000"/>
    <x v="5"/>
    <x v="0"/>
    <n v="36000"/>
    <n v="85"/>
    <n v="7"/>
    <n v="3"/>
    <s v="No"/>
    <x v="0"/>
    <m/>
    <s v=""/>
    <s v="High"/>
    <x v="0"/>
    <s v="Day"/>
    <n v="12"/>
  </r>
  <r>
    <s v="ZOM1073"/>
    <s v="Employee_73_India"/>
    <n v="27"/>
    <x v="0"/>
    <x v="3"/>
    <x v="1"/>
    <x v="2"/>
    <s v="INR"/>
    <n v="38000"/>
    <n v="12"/>
    <n v="456000"/>
    <x v="2"/>
    <x v="3"/>
    <s v=""/>
    <n v="88"/>
    <n v="15"/>
    <n v="2"/>
    <s v="Yes"/>
    <x v="1"/>
    <n v="20"/>
    <n v="6000"/>
    <s v="Low"/>
    <x v="0"/>
    <s v="Night"/>
    <n v="13"/>
  </r>
  <r>
    <s v="ZOM1360"/>
    <s v="Employee_360_India"/>
    <n v="27"/>
    <x v="2"/>
    <x v="1"/>
    <x v="3"/>
    <x v="1"/>
    <s v="INR"/>
    <n v="78000"/>
    <n v="12"/>
    <n v="936000"/>
    <x v="8"/>
    <x v="1"/>
    <n v="23400"/>
    <n v="88"/>
    <n v="15"/>
    <n v="1"/>
    <m/>
    <x v="1"/>
    <n v="10"/>
    <n v="3000"/>
    <s v="Medium"/>
    <x v="0"/>
    <s v="Day"/>
    <n v="25"/>
  </r>
  <r>
    <s v="ZOM1051"/>
    <s v="Employee_51_India"/>
    <n v="27"/>
    <x v="0"/>
    <x v="8"/>
    <x v="0"/>
    <x v="2"/>
    <s v="INR"/>
    <n v="38000"/>
    <n v="12"/>
    <n v="456000"/>
    <x v="2"/>
    <x v="3"/>
    <s v=""/>
    <n v="80"/>
    <n v="10"/>
    <n v="5"/>
    <s v="No"/>
    <x v="0"/>
    <n v="10"/>
    <n v="3000"/>
    <s v="Low"/>
    <x v="0"/>
    <s v="Day"/>
    <n v="12"/>
  </r>
  <r>
    <s v="ZOM1459"/>
    <s v="Employee_459_India"/>
    <n v="45"/>
    <x v="1"/>
    <x v="10"/>
    <x v="0"/>
    <x v="0"/>
    <s v="INR"/>
    <n v="110000"/>
    <n v="12"/>
    <n v="1320000"/>
    <x v="5"/>
    <x v="3"/>
    <s v=""/>
    <n v="90"/>
    <n v="10"/>
    <n v="1"/>
    <s v="No"/>
    <x v="1"/>
    <m/>
    <s v=""/>
    <s v="Low"/>
    <x v="0"/>
    <s v="Day"/>
    <n v="12"/>
  </r>
  <r>
    <s v="ZOM1278"/>
    <s v="Employee_278_India"/>
    <n v="38"/>
    <x v="2"/>
    <x v="8"/>
    <x v="5"/>
    <x v="3"/>
    <s v="INR"/>
    <n v="91600"/>
    <n v="12"/>
    <n v="1099200"/>
    <x v="6"/>
    <x v="0"/>
    <n v="27480"/>
    <n v="90"/>
    <n v="5"/>
    <n v="5"/>
    <s v="Yes"/>
    <x v="1"/>
    <n v="20"/>
    <n v="7000"/>
    <s v="Medium"/>
    <x v="0"/>
    <s v="Night"/>
    <n v="20"/>
  </r>
  <r>
    <s v="ZOM1572"/>
    <s v="Employee_572_India"/>
    <n v="26"/>
    <x v="0"/>
    <x v="9"/>
    <x v="1"/>
    <x v="2"/>
    <s v="INR"/>
    <n v="42500"/>
    <n v="12"/>
    <n v="510000"/>
    <x v="2"/>
    <x v="2"/>
    <s v=""/>
    <n v="80"/>
    <n v="10"/>
    <n v="1"/>
    <s v="Yes"/>
    <x v="1"/>
    <n v="5"/>
    <n v="1500"/>
    <s v="Low"/>
    <x v="0"/>
    <s v="Night"/>
    <n v="13"/>
  </r>
  <r>
    <s v="ZOM1529"/>
    <s v="Employee_529_India"/>
    <n v="36"/>
    <x v="0"/>
    <x v="1"/>
    <x v="5"/>
    <x v="3"/>
    <s v="INR"/>
    <n v="91700"/>
    <n v="12"/>
    <n v="1100400"/>
    <x v="6"/>
    <x v="2"/>
    <s v=""/>
    <n v="88"/>
    <n v="7"/>
    <n v="5"/>
    <s v="No"/>
    <x v="0"/>
    <n v="20"/>
    <n v="7000"/>
    <s v="Low"/>
    <x v="0"/>
    <s v="Night"/>
    <n v="20"/>
  </r>
  <r>
    <s v="ZOM1609"/>
    <s v="Employee_9_Foreign"/>
    <n v="25"/>
    <x v="2"/>
    <x v="4"/>
    <x v="2"/>
    <x v="2"/>
    <s v="USD"/>
    <n v="31000"/>
    <n v="12"/>
    <n v="372000"/>
    <x v="4"/>
    <x v="2"/>
    <s v=""/>
    <n v="80"/>
    <n v="10"/>
    <n v="3"/>
    <s v="Yes"/>
    <x v="2"/>
    <m/>
    <n v="0"/>
    <s v="Low"/>
    <x v="0"/>
    <s v="Day"/>
    <n v="14"/>
  </r>
  <r>
    <s v="ZOM1339"/>
    <s v="Employee_339_India"/>
    <n v="25"/>
    <x v="2"/>
    <x v="3"/>
    <x v="3"/>
    <x v="2"/>
    <s v="INR"/>
    <n v="33000"/>
    <n v="12"/>
    <n v="396000"/>
    <x v="4"/>
    <x v="3"/>
    <s v=""/>
    <n v="85"/>
    <n v="5"/>
    <n v="1"/>
    <m/>
    <x v="1"/>
    <n v="20"/>
    <n v="6000"/>
    <s v="Low"/>
    <x v="0"/>
    <s v="Day"/>
    <n v="25"/>
  </r>
  <r>
    <s v="ZOM1597"/>
    <s v="Employee_597_India"/>
    <n v="25"/>
    <x v="0"/>
    <x v="6"/>
    <x v="5"/>
    <x v="2"/>
    <s v="INR"/>
    <n v="45000"/>
    <n v="12"/>
    <n v="540000"/>
    <x v="3"/>
    <x v="3"/>
    <s v=""/>
    <n v="95"/>
    <n v="15"/>
    <n v="1"/>
    <m/>
    <x v="0"/>
    <n v="10"/>
    <n v="3000"/>
    <s v="Low"/>
    <x v="0"/>
    <s v="Night"/>
    <n v="20"/>
  </r>
  <r>
    <s v="ZOM1188"/>
    <s v="Employee_188_India"/>
    <n v="27"/>
    <x v="2"/>
    <x v="9"/>
    <x v="3"/>
    <x v="2"/>
    <s v="INR"/>
    <n v="43000"/>
    <n v="12"/>
    <n v="516000"/>
    <x v="2"/>
    <x v="3"/>
    <s v=""/>
    <n v="88"/>
    <n v="15"/>
    <n v="1"/>
    <s v="No"/>
    <x v="0"/>
    <n v="5"/>
    <n v="1500"/>
    <s v="Low"/>
    <x v="0"/>
    <s v="Day"/>
    <n v="25"/>
  </r>
  <r>
    <s v="ZOM1655"/>
    <s v="Employee_55_Foreign"/>
    <n v="32"/>
    <x v="2"/>
    <x v="0"/>
    <x v="1"/>
    <x v="4"/>
    <s v="INR"/>
    <n v="80000"/>
    <n v="12"/>
    <n v="960000"/>
    <x v="9"/>
    <x v="0"/>
    <n v="24000"/>
    <n v="90"/>
    <n v="5"/>
    <n v="7"/>
    <s v="Yes"/>
    <x v="1"/>
    <n v="20"/>
    <n v="7000"/>
    <s v="Medium"/>
    <x v="0"/>
    <s v="Night"/>
    <n v="13"/>
  </r>
  <r>
    <s v="ZOM1098"/>
    <s v="Employee_98_India"/>
    <n v="29"/>
    <x v="1"/>
    <x v="8"/>
    <x v="1"/>
    <x v="1"/>
    <s v="INR"/>
    <n v="78000"/>
    <n v="12"/>
    <n v="936000"/>
    <x v="10"/>
    <x v="3"/>
    <s v=""/>
    <n v="85"/>
    <n v="10"/>
    <n v="1"/>
    <m/>
    <x v="0"/>
    <n v="20"/>
    <n v="6000"/>
    <s v="Low"/>
    <x v="0"/>
    <s v="Night"/>
    <n v="13"/>
  </r>
  <r>
    <s v="ZOM1040"/>
    <s v="Employee_40_India"/>
    <n v="38"/>
    <x v="1"/>
    <x v="3"/>
    <x v="1"/>
    <x v="0"/>
    <s v="INR"/>
    <n v="110000"/>
    <n v="12"/>
    <n v="1320000"/>
    <x v="0"/>
    <x v="4"/>
    <n v="33000"/>
    <n v="95"/>
    <n v="10"/>
    <n v="5"/>
    <s v="Yes"/>
    <x v="0"/>
    <m/>
    <s v=""/>
    <s v="High"/>
    <x v="0"/>
    <s v="Night"/>
    <n v="13"/>
  </r>
  <r>
    <s v="ZOM1273"/>
    <s v="Employee_273_India"/>
    <n v="38"/>
    <x v="0"/>
    <x v="7"/>
    <x v="4"/>
    <x v="0"/>
    <s v="INR"/>
    <n v="99000"/>
    <n v="12"/>
    <n v="1188000"/>
    <x v="7"/>
    <x v="0"/>
    <n v="29700"/>
    <n v="90"/>
    <n v="7"/>
    <n v="2"/>
    <s v="Yes"/>
    <x v="0"/>
    <m/>
    <s v=""/>
    <s v="Medium"/>
    <x v="0"/>
    <s v="Day"/>
    <n v="10"/>
  </r>
  <r>
    <s v="ZOM1045"/>
    <s v="Employee_45_India"/>
    <n v="27"/>
    <x v="0"/>
    <x v="5"/>
    <x v="1"/>
    <x v="1"/>
    <s v="INR"/>
    <n v="79000"/>
    <n v="12"/>
    <n v="948000"/>
    <x v="8"/>
    <x v="0"/>
    <n v="23700"/>
    <n v="87"/>
    <n v="15"/>
    <n v="2"/>
    <s v="Yes"/>
    <x v="1"/>
    <n v="10"/>
    <n v="3000"/>
    <s v="High"/>
    <x v="0"/>
    <s v="Night"/>
    <n v="13"/>
  </r>
  <r>
    <s v="ZOM1161"/>
    <s v="Employee_161_India"/>
    <n v="42"/>
    <x v="2"/>
    <x v="6"/>
    <x v="1"/>
    <x v="0"/>
    <s v="INR"/>
    <n v="100000"/>
    <n v="12"/>
    <n v="1200000"/>
    <x v="0"/>
    <x v="0"/>
    <n v="30000"/>
    <n v="85"/>
    <n v="10"/>
    <n v="2"/>
    <s v="No"/>
    <x v="0"/>
    <m/>
    <s v=""/>
    <s v="High"/>
    <x v="0"/>
    <s v="Night"/>
    <n v="13"/>
  </r>
  <r>
    <s v="ZOM1612"/>
    <s v="Employee_12_Foreign"/>
    <n v="28"/>
    <x v="0"/>
    <x v="0"/>
    <x v="4"/>
    <x v="1"/>
    <s v="USD"/>
    <n v="80000"/>
    <n v="12"/>
    <n v="960000"/>
    <x v="8"/>
    <x v="2"/>
    <s v=""/>
    <n v="80"/>
    <n v="5"/>
    <n v="5"/>
    <m/>
    <x v="2"/>
    <n v="5"/>
    <n v="1500"/>
    <s v="Low"/>
    <x v="0"/>
    <s v="Day"/>
    <n v="10"/>
  </r>
  <r>
    <s v="ZOM1268"/>
    <s v="Employee_268_India"/>
    <n v="27"/>
    <x v="2"/>
    <x v="7"/>
    <x v="0"/>
    <x v="2"/>
    <s v="INR"/>
    <n v="48000"/>
    <n v="12"/>
    <n v="576000"/>
    <x v="3"/>
    <x v="2"/>
    <s v=""/>
    <n v="95"/>
    <n v="5"/>
    <n v="13"/>
    <m/>
    <x v="0"/>
    <n v="5"/>
    <n v="1500"/>
    <s v="Low"/>
    <x v="0"/>
    <s v="Day"/>
    <n v="12"/>
  </r>
  <r>
    <s v="ZOM1481"/>
    <s v="Employee_481_India"/>
    <n v="27"/>
    <x v="1"/>
    <x v="3"/>
    <x v="1"/>
    <x v="2"/>
    <s v="INR"/>
    <n v="35000"/>
    <n v="12"/>
    <n v="420000"/>
    <x v="4"/>
    <x v="4"/>
    <n v="10500"/>
    <n v="80"/>
    <n v="7"/>
    <n v="10"/>
    <m/>
    <x v="1"/>
    <n v="20"/>
    <n v="6000"/>
    <s v="High"/>
    <x v="0"/>
    <s v="Night"/>
    <n v="13"/>
  </r>
  <r>
    <s v="ZOM1071"/>
    <s v="Employee_71_India"/>
    <n v="25"/>
    <x v="2"/>
    <x v="7"/>
    <x v="1"/>
    <x v="1"/>
    <s v="INR"/>
    <n v="78000"/>
    <n v="12"/>
    <n v="936000"/>
    <x v="8"/>
    <x v="2"/>
    <s v=""/>
    <n v="87"/>
    <n v="10"/>
    <n v="6"/>
    <s v="No"/>
    <x v="0"/>
    <n v="10"/>
    <n v="3000"/>
    <s v="Low"/>
    <x v="0"/>
    <s v="Night"/>
    <n v="13"/>
  </r>
  <r>
    <s v="ZOM1163"/>
    <s v="Employee_163_India"/>
    <n v="30"/>
    <x v="0"/>
    <x v="1"/>
    <x v="2"/>
    <x v="1"/>
    <s v="INR"/>
    <n v="78000"/>
    <n v="12"/>
    <n v="936000"/>
    <x v="8"/>
    <x v="0"/>
    <n v="23400"/>
    <n v="80"/>
    <n v="7"/>
    <n v="1"/>
    <m/>
    <x v="0"/>
    <m/>
    <n v="0"/>
    <s v="High"/>
    <x v="0"/>
    <s v="Day"/>
    <n v="14"/>
  </r>
  <r>
    <s v="ZOM1347"/>
    <s v="Employee_347_India"/>
    <n v="26"/>
    <x v="0"/>
    <x v="10"/>
    <x v="5"/>
    <x v="2"/>
    <s v="INR"/>
    <n v="56000"/>
    <n v="12"/>
    <n v="672000"/>
    <x v="3"/>
    <x v="0"/>
    <n v="16800"/>
    <n v="90"/>
    <n v="10"/>
    <n v="1"/>
    <s v="No"/>
    <x v="0"/>
    <m/>
    <n v="0"/>
    <s v="Medium"/>
    <x v="0"/>
    <s v="Night"/>
    <n v="20"/>
  </r>
  <r>
    <s v="ZOM1055"/>
    <s v="Employee_55_India"/>
    <n v="25"/>
    <x v="0"/>
    <x v="2"/>
    <x v="2"/>
    <x v="1"/>
    <s v="INR"/>
    <n v="78000"/>
    <n v="12"/>
    <n v="936000"/>
    <x v="1"/>
    <x v="0"/>
    <n v="23400"/>
    <n v="95"/>
    <n v="7"/>
    <n v="1"/>
    <s v="Yes"/>
    <x v="0"/>
    <n v="5"/>
    <n v="1500"/>
    <s v="Medium"/>
    <x v="0"/>
    <s v="Day"/>
    <n v="14"/>
  </r>
  <r>
    <s v="ZOM1145"/>
    <s v="Employee_145_India"/>
    <n v="43"/>
    <x v="0"/>
    <x v="1"/>
    <x v="1"/>
    <x v="0"/>
    <s v="INR"/>
    <n v="99000"/>
    <n v="12"/>
    <n v="1188000"/>
    <x v="6"/>
    <x v="3"/>
    <s v=""/>
    <n v="85"/>
    <n v="7"/>
    <n v="3"/>
    <s v="Yes"/>
    <x v="0"/>
    <n v="12"/>
    <s v=""/>
    <s v="Low"/>
    <x v="0"/>
    <s v="Night"/>
    <n v="13"/>
  </r>
  <r>
    <s v="ZOM1617"/>
    <s v="Employee_17_Foreign"/>
    <n v="26"/>
    <x v="1"/>
    <x v="10"/>
    <x v="5"/>
    <x v="2"/>
    <s v="USD"/>
    <n v="48000"/>
    <n v="12"/>
    <n v="576000"/>
    <x v="3"/>
    <x v="1"/>
    <n v="14400"/>
    <n v="87"/>
    <n v="15"/>
    <n v="2"/>
    <s v="No"/>
    <x v="2"/>
    <n v="10"/>
    <n v="3000"/>
    <s v="Medium"/>
    <x v="0"/>
    <s v="Night"/>
    <n v="20"/>
  </r>
  <r>
    <s v="ZOM1095"/>
    <s v="Employee_95_India"/>
    <n v="19"/>
    <x v="2"/>
    <x v="3"/>
    <x v="0"/>
    <x v="5"/>
    <s v="INR"/>
    <n v="9000"/>
    <n v="12"/>
    <n v="108000"/>
    <x v="11"/>
    <x v="3"/>
    <s v=""/>
    <n v="85"/>
    <n v="15"/>
    <n v="3"/>
    <s v="No"/>
    <x v="0"/>
    <n v="10"/>
    <n v="2500"/>
    <s v="Low"/>
    <x v="0"/>
    <s v="Day"/>
    <n v="12"/>
  </r>
  <r>
    <s v="ZOM1543"/>
    <s v="Employee_543_India"/>
    <n v="25"/>
    <x v="2"/>
    <x v="4"/>
    <x v="1"/>
    <x v="2"/>
    <s v="INR"/>
    <n v="48000"/>
    <n v="12"/>
    <n v="576000"/>
    <x v="3"/>
    <x v="2"/>
    <s v=""/>
    <n v="87"/>
    <n v="15"/>
    <n v="3"/>
    <s v="Yes"/>
    <x v="0"/>
    <m/>
    <n v="0"/>
    <s v="Low"/>
    <x v="0"/>
    <s v="Night"/>
    <n v="13"/>
  </r>
  <r>
    <s v="ZOM1487"/>
    <s v="Employee_487_India"/>
    <n v="21"/>
    <x v="2"/>
    <x v="3"/>
    <x v="3"/>
    <x v="5"/>
    <s v="INR"/>
    <n v="15000"/>
    <n v="12"/>
    <n v="180000"/>
    <x v="12"/>
    <x v="2"/>
    <s v=""/>
    <n v="90"/>
    <n v="7"/>
    <n v="3"/>
    <s v="No"/>
    <x v="0"/>
    <m/>
    <n v="0"/>
    <s v="Low"/>
    <x v="0"/>
    <s v="Day"/>
    <n v="25"/>
  </r>
  <r>
    <s v="ZOM1230"/>
    <s v="Employee_230_India"/>
    <n v="24"/>
    <x v="1"/>
    <x v="6"/>
    <x v="1"/>
    <x v="1"/>
    <s v="INR"/>
    <n v="78000"/>
    <n v="12"/>
    <n v="936000"/>
    <x v="1"/>
    <x v="3"/>
    <s v=""/>
    <n v="80"/>
    <n v="15"/>
    <n v="12"/>
    <s v="Yes"/>
    <x v="1"/>
    <n v="20"/>
    <n v="6000"/>
    <s v="Low"/>
    <x v="0"/>
    <s v="Night"/>
    <n v="13"/>
  </r>
  <r>
    <s v="ZOM1017"/>
    <s v="Employee_17_India"/>
    <n v="25"/>
    <x v="0"/>
    <x v="9"/>
    <x v="5"/>
    <x v="2"/>
    <s v="INR"/>
    <n v="37000"/>
    <n v="12"/>
    <n v="444000"/>
    <x v="4"/>
    <x v="4"/>
    <n v="11100"/>
    <n v="95"/>
    <n v="10"/>
    <n v="1"/>
    <s v="Yes"/>
    <x v="1"/>
    <m/>
    <n v="0"/>
    <s v="High"/>
    <x v="0"/>
    <s v="Night"/>
    <n v="20"/>
  </r>
  <r>
    <s v="ZOM1528"/>
    <s v="Employee_528_India"/>
    <n v="25"/>
    <x v="1"/>
    <x v="4"/>
    <x v="5"/>
    <x v="2"/>
    <s v="INR"/>
    <n v="43000"/>
    <n v="12"/>
    <n v="516000"/>
    <x v="2"/>
    <x v="0"/>
    <n v="12900"/>
    <n v="85"/>
    <n v="5"/>
    <n v="12"/>
    <s v="Yes"/>
    <x v="0"/>
    <n v="20"/>
    <n v="6000"/>
    <s v="High"/>
    <x v="0"/>
    <s v="Night"/>
    <n v="20"/>
  </r>
  <r>
    <s v="ZOM1118"/>
    <s v="Employee_118_India"/>
    <n v="26"/>
    <x v="2"/>
    <x v="1"/>
    <x v="3"/>
    <x v="2"/>
    <s v="INR"/>
    <n v="37000"/>
    <n v="12"/>
    <n v="444000"/>
    <x v="4"/>
    <x v="3"/>
    <s v=""/>
    <n v="90"/>
    <n v="10"/>
    <n v="6"/>
    <s v="No"/>
    <x v="0"/>
    <m/>
    <n v="0"/>
    <s v="Low"/>
    <x v="0"/>
    <s v="Day"/>
    <n v="25"/>
  </r>
  <r>
    <s v="ZOM1527"/>
    <s v="Employee_527_India"/>
    <n v="27"/>
    <x v="0"/>
    <x v="10"/>
    <x v="3"/>
    <x v="2"/>
    <s v="INR"/>
    <n v="48000"/>
    <n v="12"/>
    <n v="576000"/>
    <x v="3"/>
    <x v="1"/>
    <n v="14400"/>
    <n v="80"/>
    <n v="7"/>
    <n v="1"/>
    <s v="Yes"/>
    <x v="0"/>
    <m/>
    <n v="0"/>
    <s v="Medium"/>
    <x v="0"/>
    <s v="Day"/>
    <n v="25"/>
  </r>
  <r>
    <s v="ZOM1157"/>
    <s v="Employee_157_India"/>
    <n v="26"/>
    <x v="1"/>
    <x v="0"/>
    <x v="4"/>
    <x v="2"/>
    <s v="INR"/>
    <n v="53500"/>
    <n v="12"/>
    <n v="642000"/>
    <x v="3"/>
    <x v="2"/>
    <s v=""/>
    <n v="85"/>
    <n v="5"/>
    <n v="3"/>
    <m/>
    <x v="0"/>
    <m/>
    <n v="0"/>
    <s v="Low"/>
    <x v="0"/>
    <s v="Day"/>
    <n v="10"/>
  </r>
  <r>
    <s v="ZOM1540"/>
    <s v="Employee_540_India"/>
    <n v="25"/>
    <x v="2"/>
    <x v="6"/>
    <x v="3"/>
    <x v="2"/>
    <s v="INR"/>
    <n v="43000"/>
    <n v="12"/>
    <n v="516000"/>
    <x v="2"/>
    <x v="3"/>
    <s v=""/>
    <n v="80"/>
    <n v="15"/>
    <n v="3"/>
    <m/>
    <x v="1"/>
    <n v="10"/>
    <n v="3000"/>
    <s v="Low"/>
    <x v="0"/>
    <s v="Day"/>
    <n v="25"/>
  </r>
  <r>
    <s v="ZOM1341"/>
    <s v="Employee_341_India"/>
    <n v="45"/>
    <x v="2"/>
    <x v="8"/>
    <x v="5"/>
    <x v="0"/>
    <s v="INR"/>
    <n v="120000"/>
    <n v="12"/>
    <n v="1440000"/>
    <x v="7"/>
    <x v="2"/>
    <s v=""/>
    <n v="90"/>
    <n v="10"/>
    <n v="13"/>
    <m/>
    <x v="0"/>
    <m/>
    <s v=""/>
    <s v="Low"/>
    <x v="0"/>
    <s v="Night"/>
    <n v="20"/>
  </r>
  <r>
    <s v="ZOM1325"/>
    <s v="Employee_325_India"/>
    <n v="25"/>
    <x v="0"/>
    <x v="10"/>
    <x v="0"/>
    <x v="2"/>
    <s v="INR"/>
    <n v="48000"/>
    <n v="12"/>
    <n v="576000"/>
    <x v="3"/>
    <x v="0"/>
    <n v="14400"/>
    <n v="90"/>
    <n v="5"/>
    <n v="3"/>
    <m/>
    <x v="0"/>
    <n v="20"/>
    <n v="6000"/>
    <s v="High"/>
    <x v="0"/>
    <s v="Day"/>
    <n v="12"/>
  </r>
  <r>
    <s v="ZOM1123"/>
    <s v="Employee_123_India"/>
    <n v="35"/>
    <x v="0"/>
    <x v="10"/>
    <x v="1"/>
    <x v="1"/>
    <s v="INR"/>
    <n v="76500"/>
    <n v="12"/>
    <n v="918000"/>
    <x v="10"/>
    <x v="1"/>
    <n v="22950"/>
    <n v="85"/>
    <n v="10"/>
    <n v="2"/>
    <s v="Yes"/>
    <x v="0"/>
    <n v="10"/>
    <n v="3000"/>
    <s v="Medium"/>
    <x v="0"/>
    <s v="Night"/>
    <n v="13"/>
  </r>
  <r>
    <s v="ZOM1063"/>
    <s v="Employee_63_India"/>
    <n v="26"/>
    <x v="0"/>
    <x v="9"/>
    <x v="5"/>
    <x v="2"/>
    <s v="INR"/>
    <n v="37000"/>
    <n v="12"/>
    <n v="444000"/>
    <x v="4"/>
    <x v="0"/>
    <n v="11100"/>
    <n v="80"/>
    <n v="15"/>
    <n v="11"/>
    <s v="No"/>
    <x v="1"/>
    <n v="10"/>
    <n v="3000"/>
    <s v="Medium"/>
    <x v="0"/>
    <s v="Night"/>
    <n v="20"/>
  </r>
  <r>
    <s v="ZOM1611"/>
    <s v="Employee_11_Foreign"/>
    <n v="28"/>
    <x v="2"/>
    <x v="4"/>
    <x v="4"/>
    <x v="1"/>
    <s v="USD"/>
    <n v="78000"/>
    <n v="12"/>
    <n v="936000"/>
    <x v="1"/>
    <x v="3"/>
    <s v=""/>
    <n v="90"/>
    <n v="7"/>
    <n v="1"/>
    <s v="Yes"/>
    <x v="2"/>
    <n v="20"/>
    <n v="6000"/>
    <s v="Low"/>
    <x v="0"/>
    <s v="Day"/>
    <n v="10"/>
  </r>
  <r>
    <s v="ZOM1311"/>
    <s v="Employee_311_India"/>
    <n v="27"/>
    <x v="2"/>
    <x v="10"/>
    <x v="5"/>
    <x v="2"/>
    <s v="INR"/>
    <n v="37000"/>
    <n v="12"/>
    <n v="444000"/>
    <x v="4"/>
    <x v="0"/>
    <n v="11100"/>
    <n v="85"/>
    <n v="10"/>
    <n v="1"/>
    <s v="No"/>
    <x v="0"/>
    <n v="5"/>
    <n v="1500"/>
    <s v="Medium"/>
    <x v="0"/>
    <s v="Night"/>
    <n v="20"/>
  </r>
  <r>
    <s v="ZOM1381"/>
    <s v="Employee_381_India"/>
    <n v="26"/>
    <x v="0"/>
    <x v="7"/>
    <x v="4"/>
    <x v="2"/>
    <s v="INR"/>
    <n v="43000"/>
    <n v="12"/>
    <n v="516000"/>
    <x v="2"/>
    <x v="2"/>
    <s v=""/>
    <n v="85"/>
    <n v="10"/>
    <n v="3"/>
    <s v="Yes"/>
    <x v="1"/>
    <n v="10"/>
    <n v="3000"/>
    <s v="Low"/>
    <x v="0"/>
    <s v="Day"/>
    <n v="10"/>
  </r>
  <r>
    <s v="ZOM1676"/>
    <s v="Employee_76_Foreign"/>
    <n v="35"/>
    <x v="0"/>
    <x v="10"/>
    <x v="2"/>
    <x v="4"/>
    <s v="USD"/>
    <n v="80000"/>
    <n v="12"/>
    <n v="960000"/>
    <x v="13"/>
    <x v="3"/>
    <s v=""/>
    <n v="90"/>
    <n v="10"/>
    <n v="11"/>
    <s v="Yes"/>
    <x v="2"/>
    <m/>
    <n v="0"/>
    <s v="Low"/>
    <x v="0"/>
    <s v="Day"/>
    <n v="14"/>
  </r>
  <r>
    <s v="ZOM1226"/>
    <s v="Employee_226_India"/>
    <n v="26"/>
    <x v="1"/>
    <x v="6"/>
    <x v="0"/>
    <x v="2"/>
    <s v="INR"/>
    <n v="43000"/>
    <n v="12"/>
    <n v="516000"/>
    <x v="2"/>
    <x v="3"/>
    <s v=""/>
    <n v="87"/>
    <n v="5"/>
    <n v="5"/>
    <m/>
    <x v="1"/>
    <n v="5"/>
    <n v="1500"/>
    <s v="Low"/>
    <x v="0"/>
    <s v="Day"/>
    <n v="12"/>
  </r>
  <r>
    <s v="ZOM1344"/>
    <s v="Employee_344_India"/>
    <n v="28"/>
    <x v="2"/>
    <x v="10"/>
    <x v="4"/>
    <x v="1"/>
    <s v="INR"/>
    <n v="78000"/>
    <n v="12"/>
    <n v="936000"/>
    <x v="1"/>
    <x v="1"/>
    <n v="23400"/>
    <n v="90"/>
    <n v="7"/>
    <n v="2"/>
    <s v="Yes"/>
    <x v="1"/>
    <m/>
    <n v="0"/>
    <s v="Medium"/>
    <x v="0"/>
    <s v="Day"/>
    <n v="10"/>
  </r>
  <r>
    <s v="ZOM1566"/>
    <s v="Employee_566_India"/>
    <n v="40"/>
    <x v="0"/>
    <x v="3"/>
    <x v="4"/>
    <x v="0"/>
    <s v="INR"/>
    <n v="130000"/>
    <n v="12"/>
    <n v="1560000"/>
    <x v="7"/>
    <x v="3"/>
    <s v=""/>
    <n v="87"/>
    <n v="15"/>
    <n v="2"/>
    <s v="Yes"/>
    <x v="1"/>
    <m/>
    <s v=""/>
    <s v="Low"/>
    <x v="0"/>
    <s v="Day"/>
    <n v="10"/>
  </r>
  <r>
    <s v="ZOM1648"/>
    <s v="Employee_48_Foreign"/>
    <n v="27"/>
    <x v="2"/>
    <x v="2"/>
    <x v="1"/>
    <x v="1"/>
    <s v="INR"/>
    <n v="78000"/>
    <n v="12"/>
    <n v="936000"/>
    <x v="1"/>
    <x v="3"/>
    <s v=""/>
    <n v="87"/>
    <n v="15"/>
    <n v="5"/>
    <s v="Yes"/>
    <x v="1"/>
    <n v="10"/>
    <n v="3000"/>
    <s v="Low"/>
    <x v="0"/>
    <s v="Night"/>
    <n v="13"/>
  </r>
  <r>
    <s v="ZOM1420"/>
    <s v="Employee_420_India"/>
    <n v="25"/>
    <x v="1"/>
    <x v="2"/>
    <x v="4"/>
    <x v="2"/>
    <s v="INR"/>
    <n v="38000"/>
    <n v="12"/>
    <n v="456000"/>
    <x v="4"/>
    <x v="0"/>
    <n v="11400"/>
    <n v="85"/>
    <n v="5"/>
    <n v="2"/>
    <s v="Yes"/>
    <x v="0"/>
    <n v="10"/>
    <n v="3000"/>
    <s v="Medium"/>
    <x v="0"/>
    <s v="Day"/>
    <n v="10"/>
  </r>
  <r>
    <s v="ZOM1533"/>
    <s v="Employee_533_India"/>
    <n v="33"/>
    <x v="2"/>
    <x v="4"/>
    <x v="0"/>
    <x v="3"/>
    <s v="INR"/>
    <n v="94500"/>
    <n v="12"/>
    <n v="1134000"/>
    <x v="13"/>
    <x v="4"/>
    <n v="28350"/>
    <n v="90"/>
    <n v="5"/>
    <n v="5"/>
    <s v="No"/>
    <x v="0"/>
    <m/>
    <n v="0"/>
    <s v="High"/>
    <x v="0"/>
    <s v="Day"/>
    <n v="12"/>
  </r>
  <r>
    <s v="ZOM1680"/>
    <s v="Employee_80_Foreign"/>
    <n v="25"/>
    <x v="1"/>
    <x v="0"/>
    <x v="4"/>
    <x v="2"/>
    <s v="USD"/>
    <n v="48000"/>
    <n v="12"/>
    <n v="576000"/>
    <x v="3"/>
    <x v="3"/>
    <s v=""/>
    <n v="95"/>
    <n v="5"/>
    <n v="1"/>
    <s v="Yes"/>
    <x v="2"/>
    <n v="10"/>
    <n v="3000"/>
    <s v="Low"/>
    <x v="0"/>
    <s v="Day"/>
    <n v="10"/>
  </r>
  <r>
    <s v="ZOM1216"/>
    <s v="Employee_216_India"/>
    <n v="25"/>
    <x v="0"/>
    <x v="9"/>
    <x v="5"/>
    <x v="2"/>
    <s v="INR"/>
    <n v="45000"/>
    <n v="12"/>
    <n v="540000"/>
    <x v="2"/>
    <x v="0"/>
    <n v="13500"/>
    <n v="85"/>
    <n v="5"/>
    <n v="8"/>
    <s v="No"/>
    <x v="0"/>
    <n v="5"/>
    <n v="1500"/>
    <s v="Medium"/>
    <x v="0"/>
    <s v="Night"/>
    <n v="20"/>
  </r>
  <r>
    <s v="ZOM1494"/>
    <s v="Employee_494_India"/>
    <n v="27"/>
    <x v="1"/>
    <x v="3"/>
    <x v="1"/>
    <x v="2"/>
    <s v="INR"/>
    <n v="37000"/>
    <n v="12"/>
    <n v="444000"/>
    <x v="4"/>
    <x v="3"/>
    <s v=""/>
    <n v="85"/>
    <n v="7"/>
    <n v="13"/>
    <s v="No"/>
    <x v="0"/>
    <n v="10"/>
    <n v="3000"/>
    <s v="Low"/>
    <x v="0"/>
    <s v="Night"/>
    <n v="13"/>
  </r>
  <r>
    <s v="ZOM1048"/>
    <s v="Employee_48_India"/>
    <n v="26"/>
    <x v="2"/>
    <x v="1"/>
    <x v="4"/>
    <x v="2"/>
    <s v="INR"/>
    <n v="45000"/>
    <n v="12"/>
    <n v="540000"/>
    <x v="2"/>
    <x v="0"/>
    <n v="13500"/>
    <n v="90"/>
    <n v="7"/>
    <n v="2"/>
    <s v="No"/>
    <x v="0"/>
    <m/>
    <n v="0"/>
    <s v="Medium"/>
    <x v="0"/>
    <s v="Day"/>
    <n v="10"/>
  </r>
  <r>
    <s v="ZOM1416"/>
    <s v="Employee_416_India"/>
    <n v="33"/>
    <x v="2"/>
    <x v="4"/>
    <x v="0"/>
    <x v="3"/>
    <s v="INR"/>
    <n v="90000"/>
    <n v="12"/>
    <n v="1080000"/>
    <x v="6"/>
    <x v="2"/>
    <s v=""/>
    <n v="85"/>
    <n v="7"/>
    <n v="2"/>
    <m/>
    <x v="0"/>
    <n v="5"/>
    <n v="1750"/>
    <s v="Low"/>
    <x v="0"/>
    <s v="Day"/>
    <n v="12"/>
  </r>
  <r>
    <s v="ZOM1620"/>
    <s v="Employee_20_Foreign"/>
    <n v="27"/>
    <x v="2"/>
    <x v="1"/>
    <x v="2"/>
    <x v="2"/>
    <s v="USD"/>
    <n v="37000"/>
    <n v="12"/>
    <n v="444000"/>
    <x v="4"/>
    <x v="1"/>
    <n v="11100"/>
    <n v="90"/>
    <n v="7"/>
    <n v="6"/>
    <m/>
    <x v="2"/>
    <m/>
    <n v="0"/>
    <s v="Medium"/>
    <x v="0"/>
    <s v="Day"/>
    <n v="14"/>
  </r>
  <r>
    <s v="ZOM1024"/>
    <s v="Employee_24_India"/>
    <n v="19"/>
    <x v="1"/>
    <x v="9"/>
    <x v="3"/>
    <x v="5"/>
    <s v="INR"/>
    <n v="12000"/>
    <n v="12"/>
    <n v="144000"/>
    <x v="11"/>
    <x v="3"/>
    <s v=""/>
    <n v="85"/>
    <n v="10"/>
    <n v="8"/>
    <s v="No"/>
    <x v="0"/>
    <n v="5"/>
    <n v="1250"/>
    <s v="Low"/>
    <x v="0"/>
    <s v="Day"/>
    <n v="25"/>
  </r>
  <r>
    <s v="ZOM1285"/>
    <s v="Employee_285_India"/>
    <n v="27"/>
    <x v="0"/>
    <x v="1"/>
    <x v="1"/>
    <x v="1"/>
    <s v="INR"/>
    <n v="78000"/>
    <n v="12"/>
    <n v="936000"/>
    <x v="1"/>
    <x v="2"/>
    <s v=""/>
    <n v="85"/>
    <n v="7"/>
    <n v="5"/>
    <m/>
    <x v="0"/>
    <m/>
    <n v="0"/>
    <s v="Low"/>
    <x v="0"/>
    <s v="Night"/>
    <n v="13"/>
  </r>
  <r>
    <s v="ZOM1239"/>
    <s v="Employee_239_India"/>
    <n v="34"/>
    <x v="0"/>
    <x v="8"/>
    <x v="2"/>
    <x v="4"/>
    <s v="INR"/>
    <n v="88000"/>
    <n v="12"/>
    <n v="1056000"/>
    <x v="9"/>
    <x v="3"/>
    <s v=""/>
    <n v="85"/>
    <n v="10"/>
    <n v="5"/>
    <s v="No"/>
    <x v="0"/>
    <n v="10"/>
    <n v="3500"/>
    <s v="Low"/>
    <x v="0"/>
    <s v="Day"/>
    <n v="14"/>
  </r>
  <r>
    <s v="ZOM1026"/>
    <s v="Employee_26_India"/>
    <n v="25"/>
    <x v="2"/>
    <x v="0"/>
    <x v="4"/>
    <x v="2"/>
    <s v="INR"/>
    <n v="47000"/>
    <n v="12"/>
    <n v="564000"/>
    <x v="2"/>
    <x v="2"/>
    <s v=""/>
    <n v="90"/>
    <n v="15"/>
    <n v="1"/>
    <m/>
    <x v="0"/>
    <n v="10"/>
    <n v="3000"/>
    <s v="Low"/>
    <x v="0"/>
    <s v="Day"/>
    <n v="10"/>
  </r>
  <r>
    <s v="ZOM1681"/>
    <s v="Employee_81_Foreign"/>
    <n v="37"/>
    <x v="0"/>
    <x v="0"/>
    <x v="4"/>
    <x v="3"/>
    <s v="USD"/>
    <n v="90000"/>
    <n v="12"/>
    <n v="1080000"/>
    <x v="6"/>
    <x v="0"/>
    <n v="27000"/>
    <n v="80"/>
    <n v="7"/>
    <n v="2"/>
    <s v="Yes"/>
    <x v="2"/>
    <n v="10"/>
    <n v="3500"/>
    <s v="High"/>
    <x v="0"/>
    <s v="Day"/>
    <n v="10"/>
  </r>
  <r>
    <s v="ZOM1112"/>
    <s v="Employee_112_India"/>
    <n v="34"/>
    <x v="0"/>
    <x v="8"/>
    <x v="3"/>
    <x v="3"/>
    <s v="INR"/>
    <n v="93200"/>
    <n v="12"/>
    <n v="1118400"/>
    <x v="13"/>
    <x v="2"/>
    <s v=""/>
    <n v="80"/>
    <n v="15"/>
    <n v="6"/>
    <s v="No"/>
    <x v="0"/>
    <n v="5"/>
    <n v="1750"/>
    <s v="Low"/>
    <x v="0"/>
    <s v="Day"/>
    <n v="25"/>
  </r>
  <r>
    <s v="ZOM1613"/>
    <s v="Employee_13_Foreign"/>
    <n v="27"/>
    <x v="0"/>
    <x v="5"/>
    <x v="1"/>
    <x v="2"/>
    <s v="INR"/>
    <n v="48000"/>
    <n v="12"/>
    <n v="576000"/>
    <x v="3"/>
    <x v="3"/>
    <s v=""/>
    <n v="85"/>
    <n v="10"/>
    <n v="1"/>
    <s v="No"/>
    <x v="0"/>
    <n v="5"/>
    <n v="1500"/>
    <s v="Low"/>
    <x v="0"/>
    <s v="Night"/>
    <n v="13"/>
  </r>
  <r>
    <s v="ZOM1371"/>
    <s v="Employee_371_India"/>
    <n v="27"/>
    <x v="1"/>
    <x v="2"/>
    <x v="3"/>
    <x v="2"/>
    <s v="INR"/>
    <n v="47000"/>
    <n v="12"/>
    <n v="564000"/>
    <x v="2"/>
    <x v="4"/>
    <n v="14100"/>
    <n v="85"/>
    <n v="5"/>
    <n v="5"/>
    <s v="No"/>
    <x v="0"/>
    <n v="20"/>
    <n v="6000"/>
    <s v="High"/>
    <x v="0"/>
    <s v="Day"/>
    <n v="25"/>
  </r>
  <r>
    <s v="ZOM1403"/>
    <s v="Employee_403_India"/>
    <n v="27"/>
    <x v="1"/>
    <x v="3"/>
    <x v="3"/>
    <x v="2"/>
    <s v="INR"/>
    <n v="47500"/>
    <n v="12"/>
    <n v="570000"/>
    <x v="3"/>
    <x v="4"/>
    <n v="14250"/>
    <n v="85"/>
    <n v="5"/>
    <n v="5"/>
    <m/>
    <x v="0"/>
    <n v="5"/>
    <n v="1500"/>
    <s v="High"/>
    <x v="0"/>
    <s v="Day"/>
    <n v="25"/>
  </r>
  <r>
    <s v="ZOM1526"/>
    <s v="Employee_526_India"/>
    <n v="27"/>
    <x v="2"/>
    <x v="0"/>
    <x v="5"/>
    <x v="2"/>
    <s v="INR"/>
    <n v="47000"/>
    <n v="12"/>
    <n v="564000"/>
    <x v="2"/>
    <x v="1"/>
    <n v="14100"/>
    <n v="85"/>
    <n v="7"/>
    <n v="1"/>
    <s v="Yes"/>
    <x v="0"/>
    <n v="20"/>
    <n v="6000"/>
    <s v="Medium"/>
    <x v="0"/>
    <s v="Night"/>
    <n v="20"/>
  </r>
  <r>
    <s v="ZOM1324"/>
    <s v="Employee_324_India"/>
    <n v="26"/>
    <x v="2"/>
    <x v="9"/>
    <x v="3"/>
    <x v="2"/>
    <s v="INR"/>
    <n v="47000"/>
    <n v="12"/>
    <n v="564000"/>
    <x v="2"/>
    <x v="3"/>
    <s v=""/>
    <n v="95"/>
    <n v="7"/>
    <n v="3"/>
    <s v="No"/>
    <x v="0"/>
    <n v="20"/>
    <n v="6000"/>
    <s v="Low"/>
    <x v="0"/>
    <s v="Day"/>
    <n v="25"/>
  </r>
  <r>
    <s v="ZOM1684"/>
    <s v="Employee_84_Foreign"/>
    <n v="25"/>
    <x v="2"/>
    <x v="6"/>
    <x v="5"/>
    <x v="2"/>
    <s v="INR"/>
    <n v="48000"/>
    <n v="12"/>
    <n v="576000"/>
    <x v="3"/>
    <x v="0"/>
    <n v="14400"/>
    <n v="85"/>
    <n v="5"/>
    <n v="3"/>
    <s v="Yes"/>
    <x v="0"/>
    <n v="20"/>
    <n v="6000"/>
    <s v="High"/>
    <x v="0"/>
    <s v="Night"/>
    <n v="20"/>
  </r>
  <r>
    <s v="ZOM1286"/>
    <s v="Employee_286_India"/>
    <n v="25"/>
    <x v="1"/>
    <x v="7"/>
    <x v="2"/>
    <x v="2"/>
    <s v="INR"/>
    <n v="48000"/>
    <n v="12"/>
    <n v="576000"/>
    <x v="3"/>
    <x v="0"/>
    <n v="14400"/>
    <n v="80"/>
    <n v="7"/>
    <n v="1"/>
    <s v="Yes"/>
    <x v="0"/>
    <n v="5"/>
    <n v="1500"/>
    <s v="Medium"/>
    <x v="0"/>
    <s v="Day"/>
    <n v="14"/>
  </r>
  <r>
    <s v="ZOM1151"/>
    <s v="Employee_151_India"/>
    <n v="25"/>
    <x v="1"/>
    <x v="4"/>
    <x v="2"/>
    <x v="2"/>
    <s v="INR"/>
    <n v="44000"/>
    <n v="12"/>
    <n v="528000"/>
    <x v="2"/>
    <x v="4"/>
    <n v="13200"/>
    <n v="95"/>
    <n v="5"/>
    <n v="2"/>
    <s v="No"/>
    <x v="1"/>
    <n v="5"/>
    <n v="1500"/>
    <s v="High"/>
    <x v="0"/>
    <s v="Day"/>
    <n v="14"/>
  </r>
  <r>
    <s v="ZOM1464"/>
    <s v="Employee_464_India"/>
    <n v="26"/>
    <x v="1"/>
    <x v="3"/>
    <x v="0"/>
    <x v="2"/>
    <s v="INR"/>
    <n v="33000"/>
    <n v="12"/>
    <n v="396000"/>
    <x v="4"/>
    <x v="0"/>
    <n v="9900"/>
    <n v="80"/>
    <n v="5"/>
    <n v="1"/>
    <s v="Yes"/>
    <x v="0"/>
    <m/>
    <n v="0"/>
    <s v="High"/>
    <x v="0"/>
    <s v="Day"/>
    <n v="12"/>
  </r>
  <r>
    <s v="ZOM1664"/>
    <s v="Employee_64_Foreign"/>
    <n v="27"/>
    <x v="1"/>
    <x v="0"/>
    <x v="4"/>
    <x v="2"/>
    <s v="USD"/>
    <n v="48000"/>
    <n v="12"/>
    <n v="576000"/>
    <x v="3"/>
    <x v="4"/>
    <n v="14400"/>
    <n v="95"/>
    <n v="10"/>
    <n v="1"/>
    <s v="Yes"/>
    <x v="2"/>
    <n v="10"/>
    <n v="3000"/>
    <s v="High"/>
    <x v="0"/>
    <s v="Day"/>
    <n v="10"/>
  </r>
  <r>
    <s v="ZOM1532"/>
    <s v="Employee_532_India"/>
    <n v="26"/>
    <x v="2"/>
    <x v="10"/>
    <x v="4"/>
    <x v="2"/>
    <s v="INR"/>
    <n v="37000"/>
    <n v="12"/>
    <n v="444000"/>
    <x v="4"/>
    <x v="2"/>
    <s v=""/>
    <n v="80"/>
    <n v="5"/>
    <n v="1"/>
    <s v="No"/>
    <x v="0"/>
    <n v="5"/>
    <n v="1500"/>
    <s v="Low"/>
    <x v="0"/>
    <s v="Day"/>
    <n v="10"/>
  </r>
  <r>
    <s v="ZOM1407"/>
    <s v="Employee_407_India"/>
    <n v="27"/>
    <x v="1"/>
    <x v="1"/>
    <x v="2"/>
    <x v="2"/>
    <s v="INR"/>
    <n v="37000"/>
    <n v="12"/>
    <n v="444000"/>
    <x v="4"/>
    <x v="3"/>
    <s v=""/>
    <n v="90"/>
    <n v="15"/>
    <n v="5"/>
    <s v="Yes"/>
    <x v="0"/>
    <n v="5"/>
    <n v="1500"/>
    <s v="Low"/>
    <x v="0"/>
    <s v="Day"/>
    <n v="14"/>
  </r>
  <r>
    <s v="ZOM1417"/>
    <s v="Employee_417_India"/>
    <n v="25"/>
    <x v="2"/>
    <x v="0"/>
    <x v="1"/>
    <x v="2"/>
    <s v="INR"/>
    <n v="37000"/>
    <n v="12"/>
    <n v="444000"/>
    <x v="4"/>
    <x v="2"/>
    <s v=""/>
    <n v="85"/>
    <n v="15"/>
    <n v="3"/>
    <m/>
    <x v="0"/>
    <m/>
    <n v="0"/>
    <s v="Low"/>
    <x v="0"/>
    <s v="Night"/>
    <n v="13"/>
  </r>
  <r>
    <s v="ZOM1054"/>
    <s v="Employee_54_India"/>
    <n v="26"/>
    <x v="1"/>
    <x v="0"/>
    <x v="3"/>
    <x v="2"/>
    <s v="INR"/>
    <n v="47000"/>
    <n v="12"/>
    <n v="564000"/>
    <x v="2"/>
    <x v="2"/>
    <s v=""/>
    <n v="95"/>
    <n v="10"/>
    <n v="3"/>
    <m/>
    <x v="0"/>
    <n v="20"/>
    <n v="6000"/>
    <s v="Low"/>
    <x v="0"/>
    <s v="Day"/>
    <n v="25"/>
  </r>
  <r>
    <s v="ZOM1064"/>
    <s v="Employee_64_India"/>
    <n v="26"/>
    <x v="2"/>
    <x v="4"/>
    <x v="1"/>
    <x v="2"/>
    <s v="INR"/>
    <n v="35000"/>
    <n v="12"/>
    <n v="420000"/>
    <x v="4"/>
    <x v="0"/>
    <n v="10500"/>
    <n v="80"/>
    <n v="7"/>
    <n v="5"/>
    <s v="No"/>
    <x v="1"/>
    <n v="10"/>
    <n v="3000"/>
    <s v="Medium"/>
    <x v="0"/>
    <s v="Night"/>
    <n v="13"/>
  </r>
  <r>
    <s v="ZOM1643"/>
    <s v="Employee_43_Foreign"/>
    <n v="27"/>
    <x v="1"/>
    <x v="0"/>
    <x v="1"/>
    <x v="1"/>
    <s v="USD"/>
    <n v="81000"/>
    <n v="12"/>
    <n v="972000"/>
    <x v="8"/>
    <x v="3"/>
    <s v=""/>
    <n v="80"/>
    <n v="15"/>
    <n v="11"/>
    <s v="Yes"/>
    <x v="2"/>
    <n v="10"/>
    <n v="3000"/>
    <s v="Low"/>
    <x v="0"/>
    <s v="Night"/>
    <n v="13"/>
  </r>
  <r>
    <s v="ZOM1003"/>
    <s v="Employee_3_India"/>
    <n v="29"/>
    <x v="1"/>
    <x v="3"/>
    <x v="2"/>
    <x v="1"/>
    <s v="INR"/>
    <n v="78000"/>
    <n v="12"/>
    <n v="936000"/>
    <x v="10"/>
    <x v="4"/>
    <n v="23400"/>
    <n v="85"/>
    <n v="10"/>
    <n v="1"/>
    <m/>
    <x v="1"/>
    <n v="20"/>
    <n v="6000"/>
    <s v="High"/>
    <x v="0"/>
    <s v="Day"/>
    <n v="14"/>
  </r>
  <r>
    <s v="ZOM1297"/>
    <s v="Employee_297_India"/>
    <n v="34"/>
    <x v="0"/>
    <x v="1"/>
    <x v="0"/>
    <x v="3"/>
    <s v="INR"/>
    <n v="90000"/>
    <n v="12"/>
    <n v="1080000"/>
    <x v="13"/>
    <x v="3"/>
    <s v=""/>
    <n v="85"/>
    <n v="10"/>
    <n v="3"/>
    <m/>
    <x v="0"/>
    <m/>
    <n v="0"/>
    <s v="Low"/>
    <x v="0"/>
    <s v="Day"/>
    <n v="12"/>
  </r>
  <r>
    <s v="ZOM1431"/>
    <s v="Employee_431_India"/>
    <n v="43"/>
    <x v="1"/>
    <x v="8"/>
    <x v="5"/>
    <x v="0"/>
    <s v="INR"/>
    <n v="120000"/>
    <n v="12"/>
    <n v="1440000"/>
    <x v="7"/>
    <x v="1"/>
    <n v="36000"/>
    <n v="95"/>
    <n v="5"/>
    <n v="1"/>
    <m/>
    <x v="0"/>
    <m/>
    <s v=""/>
    <s v="Medium"/>
    <x v="0"/>
    <s v="Night"/>
    <n v="20"/>
  </r>
  <r>
    <s v="ZOM1553"/>
    <s v="Employee_553_India"/>
    <n v="38"/>
    <x v="2"/>
    <x v="2"/>
    <x v="0"/>
    <x v="3"/>
    <s v="INR"/>
    <n v="93500"/>
    <n v="12"/>
    <n v="1122000"/>
    <x v="6"/>
    <x v="2"/>
    <s v=""/>
    <n v="90"/>
    <n v="10"/>
    <n v="5"/>
    <s v="Yes"/>
    <x v="1"/>
    <n v="5"/>
    <n v="1750"/>
    <s v="Low"/>
    <x v="0"/>
    <s v="Day"/>
    <n v="12"/>
  </r>
  <r>
    <s v="ZOM1637"/>
    <s v="Employee_37_Foreign"/>
    <n v="24"/>
    <x v="2"/>
    <x v="1"/>
    <x v="2"/>
    <x v="1"/>
    <s v="USD"/>
    <n v="78000"/>
    <n v="12"/>
    <n v="936000"/>
    <x v="10"/>
    <x v="0"/>
    <n v="23400"/>
    <n v="85"/>
    <n v="7"/>
    <n v="4"/>
    <s v="No"/>
    <x v="2"/>
    <n v="5"/>
    <n v="1500"/>
    <s v="Medium"/>
    <x v="0"/>
    <s v="Day"/>
    <n v="14"/>
  </r>
  <r>
    <s v="ZOM1393"/>
    <s v="Employee_393_India"/>
    <n v="26"/>
    <x v="1"/>
    <x v="0"/>
    <x v="0"/>
    <x v="2"/>
    <s v="INR"/>
    <n v="48000"/>
    <n v="12"/>
    <n v="576000"/>
    <x v="3"/>
    <x v="2"/>
    <s v=""/>
    <n v="95"/>
    <n v="7"/>
    <n v="3"/>
    <m/>
    <x v="1"/>
    <n v="5"/>
    <n v="1500"/>
    <s v="Low"/>
    <x v="0"/>
    <s v="Day"/>
    <n v="12"/>
  </r>
  <r>
    <s v="ZOM1019"/>
    <s v="Employee_19_India"/>
    <n v="27"/>
    <x v="2"/>
    <x v="3"/>
    <x v="2"/>
    <x v="1"/>
    <s v="INR"/>
    <n v="78000"/>
    <n v="12"/>
    <n v="936000"/>
    <x v="1"/>
    <x v="0"/>
    <n v="23400"/>
    <n v="90"/>
    <n v="5"/>
    <n v="1"/>
    <s v="Yes"/>
    <x v="1"/>
    <n v="20"/>
    <n v="6000"/>
    <s v="High"/>
    <x v="0"/>
    <s v="Day"/>
    <n v="14"/>
  </r>
  <r>
    <s v="ZOM1549"/>
    <s v="Employee_549_India"/>
    <n v="25"/>
    <x v="2"/>
    <x v="6"/>
    <x v="1"/>
    <x v="2"/>
    <s v="INR"/>
    <n v="37000"/>
    <n v="12"/>
    <n v="444000"/>
    <x v="4"/>
    <x v="2"/>
    <s v=""/>
    <n v="80"/>
    <n v="15"/>
    <n v="5"/>
    <m/>
    <x v="1"/>
    <m/>
    <n v="0"/>
    <s v="Low"/>
    <x v="0"/>
    <s v="Night"/>
    <n v="13"/>
  </r>
  <r>
    <s v="ZOM1594"/>
    <s v="Employee_594_India"/>
    <n v="27"/>
    <x v="2"/>
    <x v="2"/>
    <x v="4"/>
    <x v="2"/>
    <s v="INR"/>
    <n v="47000"/>
    <n v="12"/>
    <n v="564000"/>
    <x v="2"/>
    <x v="4"/>
    <n v="14100"/>
    <n v="85"/>
    <n v="5"/>
    <n v="10"/>
    <s v="Yes"/>
    <x v="0"/>
    <m/>
    <n v="0"/>
    <s v="High"/>
    <x v="0"/>
    <s v="Day"/>
    <n v="10"/>
  </r>
  <r>
    <s v="ZOM1442"/>
    <s v="Employee_442_India"/>
    <n v="27"/>
    <x v="0"/>
    <x v="5"/>
    <x v="2"/>
    <x v="2"/>
    <s v="INR"/>
    <n v="47000"/>
    <n v="12"/>
    <n v="564000"/>
    <x v="2"/>
    <x v="2"/>
    <s v=""/>
    <n v="80"/>
    <n v="5"/>
    <n v="3"/>
    <s v="Yes"/>
    <x v="0"/>
    <n v="10"/>
    <n v="3000"/>
    <s v="Low"/>
    <x v="0"/>
    <s v="Day"/>
    <n v="14"/>
  </r>
  <r>
    <s v="ZOM1448"/>
    <s v="Employee_448_India"/>
    <n v="25"/>
    <x v="0"/>
    <x v="3"/>
    <x v="2"/>
    <x v="2"/>
    <s v="INR"/>
    <n v="35500"/>
    <n v="12"/>
    <n v="426000"/>
    <x v="4"/>
    <x v="3"/>
    <s v=""/>
    <n v="90"/>
    <n v="5"/>
    <n v="5"/>
    <s v="Yes"/>
    <x v="0"/>
    <m/>
    <n v="0"/>
    <s v="Low"/>
    <x v="0"/>
    <s v="Day"/>
    <n v="14"/>
  </r>
  <r>
    <s v="ZOM1428"/>
    <s v="Employee_428_India"/>
    <n v="26"/>
    <x v="1"/>
    <x v="4"/>
    <x v="3"/>
    <x v="2"/>
    <s v="INR"/>
    <n v="48000"/>
    <n v="12"/>
    <n v="576000"/>
    <x v="3"/>
    <x v="3"/>
    <s v=""/>
    <n v="85"/>
    <n v="5"/>
    <n v="5"/>
    <s v="Yes"/>
    <x v="0"/>
    <n v="20"/>
    <n v="6000"/>
    <s v="Low"/>
    <x v="0"/>
    <s v="Day"/>
    <n v="25"/>
  </r>
  <r>
    <s v="ZOM1070"/>
    <s v="Employee_70_India"/>
    <n v="25"/>
    <x v="2"/>
    <x v="9"/>
    <x v="5"/>
    <x v="2"/>
    <s v="INR"/>
    <n v="43000"/>
    <n v="12"/>
    <n v="516000"/>
    <x v="2"/>
    <x v="2"/>
    <s v=""/>
    <n v="80"/>
    <n v="23"/>
    <n v="9"/>
    <m/>
    <x v="0"/>
    <m/>
    <n v="0"/>
    <s v="Low"/>
    <x v="0"/>
    <s v="Night"/>
    <n v="20"/>
  </r>
  <r>
    <s v="ZOM1363"/>
    <s v="Employee_363_India"/>
    <n v="26"/>
    <x v="0"/>
    <x v="0"/>
    <x v="5"/>
    <x v="2"/>
    <s v="INR"/>
    <n v="48000"/>
    <n v="12"/>
    <n v="576000"/>
    <x v="3"/>
    <x v="2"/>
    <s v=""/>
    <n v="80"/>
    <n v="10"/>
    <n v="3"/>
    <s v="No"/>
    <x v="1"/>
    <n v="20"/>
    <n v="6000"/>
    <s v="Low"/>
    <x v="0"/>
    <s v="Night"/>
    <n v="20"/>
  </r>
  <r>
    <s v="ZOM1122"/>
    <s v="Employee_122_India"/>
    <n v="27"/>
    <x v="0"/>
    <x v="10"/>
    <x v="1"/>
    <x v="2"/>
    <s v="INR"/>
    <n v="43000"/>
    <n v="12"/>
    <n v="516000"/>
    <x v="2"/>
    <x v="4"/>
    <n v="12900"/>
    <n v="90"/>
    <n v="15"/>
    <n v="3"/>
    <s v="Yes"/>
    <x v="1"/>
    <n v="10"/>
    <n v="3000"/>
    <s v="High"/>
    <x v="0"/>
    <s v="Night"/>
    <n v="13"/>
  </r>
  <r>
    <s v="ZOM1556"/>
    <s v="Employee_556_India"/>
    <n v="26"/>
    <x v="0"/>
    <x v="0"/>
    <x v="1"/>
    <x v="2"/>
    <s v="INR"/>
    <n v="37000"/>
    <n v="12"/>
    <n v="444000"/>
    <x v="4"/>
    <x v="2"/>
    <s v=""/>
    <n v="85"/>
    <n v="5"/>
    <n v="1"/>
    <s v="Yes"/>
    <x v="0"/>
    <n v="20"/>
    <n v="6000"/>
    <s v="Low"/>
    <x v="0"/>
    <s v="Night"/>
    <n v="13"/>
  </r>
  <r>
    <s v="ZOM1468"/>
    <s v="Employee_468_India"/>
    <n v="26"/>
    <x v="2"/>
    <x v="10"/>
    <x v="0"/>
    <x v="2"/>
    <s v="INR"/>
    <n v="43000"/>
    <n v="12"/>
    <n v="516000"/>
    <x v="2"/>
    <x v="0"/>
    <n v="12900"/>
    <n v="85"/>
    <n v="15"/>
    <n v="2"/>
    <m/>
    <x v="0"/>
    <n v="10"/>
    <n v="3000"/>
    <s v="Medium"/>
    <x v="0"/>
    <s v="Day"/>
    <n v="12"/>
  </r>
  <r>
    <s v="ZOM1020"/>
    <s v="Employee_20_India"/>
    <n v="25"/>
    <x v="2"/>
    <x v="9"/>
    <x v="2"/>
    <x v="2"/>
    <s v="INR"/>
    <n v="43000"/>
    <n v="12"/>
    <n v="516000"/>
    <x v="2"/>
    <x v="3"/>
    <s v=""/>
    <n v="85"/>
    <n v="15"/>
    <n v="5"/>
    <s v="No"/>
    <x v="0"/>
    <n v="20"/>
    <n v="6000"/>
    <s v="Low"/>
    <x v="0"/>
    <s v="Day"/>
    <n v="14"/>
  </r>
  <r>
    <s v="ZOM1663"/>
    <s v="Employee_63_Foreign"/>
    <n v="25"/>
    <x v="2"/>
    <x v="1"/>
    <x v="1"/>
    <x v="2"/>
    <s v="INR"/>
    <n v="48000"/>
    <n v="12"/>
    <n v="576000"/>
    <x v="3"/>
    <x v="0"/>
    <n v="14400"/>
    <n v="85"/>
    <n v="15"/>
    <n v="3"/>
    <m/>
    <x v="0"/>
    <n v="20"/>
    <n v="6000"/>
    <s v="High"/>
    <x v="0"/>
    <s v="Night"/>
    <n v="13"/>
  </r>
  <r>
    <s v="ZOM1682"/>
    <s v="Employee_82_Foreign"/>
    <n v="25"/>
    <x v="1"/>
    <x v="0"/>
    <x v="3"/>
    <x v="2"/>
    <s v="USD"/>
    <n v="43000"/>
    <n v="12"/>
    <n v="516000"/>
    <x v="2"/>
    <x v="0"/>
    <n v="12900"/>
    <n v="90"/>
    <n v="10"/>
    <n v="2"/>
    <s v="No"/>
    <x v="2"/>
    <n v="5"/>
    <n v="1500"/>
    <s v="Medium"/>
    <x v="0"/>
    <s v="Day"/>
    <n v="25"/>
  </r>
  <r>
    <s v="ZOM1100"/>
    <s v="Employee_100_India"/>
    <n v="40"/>
    <x v="0"/>
    <x v="1"/>
    <x v="0"/>
    <x v="3"/>
    <s v="INR"/>
    <n v="89000"/>
    <n v="12"/>
    <n v="1068000"/>
    <x v="0"/>
    <x v="3"/>
    <s v=""/>
    <n v="80"/>
    <n v="5"/>
    <n v="3"/>
    <m/>
    <x v="1"/>
    <n v="20"/>
    <n v="7000"/>
    <s v="Low"/>
    <x v="0"/>
    <s v="Day"/>
    <n v="12"/>
  </r>
  <r>
    <s v="ZOM1218"/>
    <s v="Employee_218_India"/>
    <n v="25"/>
    <x v="2"/>
    <x v="7"/>
    <x v="5"/>
    <x v="2"/>
    <s v="INR"/>
    <n v="35000"/>
    <n v="12"/>
    <n v="420000"/>
    <x v="2"/>
    <x v="2"/>
    <s v=""/>
    <n v="85"/>
    <n v="23"/>
    <n v="1"/>
    <m/>
    <x v="0"/>
    <n v="20"/>
    <n v="6000"/>
    <s v="Low"/>
    <x v="0"/>
    <s v="Night"/>
    <n v="20"/>
  </r>
  <r>
    <s v="ZOM1332"/>
    <s v="Employee_332_India"/>
    <n v="25"/>
    <x v="2"/>
    <x v="7"/>
    <x v="2"/>
    <x v="2"/>
    <s v="INR"/>
    <n v="48000"/>
    <n v="12"/>
    <n v="576000"/>
    <x v="3"/>
    <x v="2"/>
    <s v=""/>
    <n v="90"/>
    <n v="15"/>
    <n v="2"/>
    <s v="No"/>
    <x v="1"/>
    <n v="10"/>
    <n v="3000"/>
    <s v="Low"/>
    <x v="0"/>
    <s v="Day"/>
    <n v="14"/>
  </r>
  <r>
    <s v="ZOM1044"/>
    <s v="Employee_44_India"/>
    <n v="39"/>
    <x v="1"/>
    <x v="5"/>
    <x v="2"/>
    <x v="0"/>
    <s v="INR"/>
    <n v="123000"/>
    <n v="12"/>
    <n v="1476000"/>
    <x v="7"/>
    <x v="3"/>
    <s v=""/>
    <n v="85"/>
    <n v="31"/>
    <n v="5"/>
    <s v="No"/>
    <x v="0"/>
    <m/>
    <s v=""/>
    <s v="Low"/>
    <x v="0"/>
    <s v="Day"/>
    <n v="14"/>
  </r>
  <r>
    <s v="ZOM1183"/>
    <s v="Employee_183_India"/>
    <n v="26"/>
    <x v="2"/>
    <x v="8"/>
    <x v="2"/>
    <x v="2"/>
    <s v="INR"/>
    <n v="48000"/>
    <n v="12"/>
    <n v="576000"/>
    <x v="3"/>
    <x v="3"/>
    <s v=""/>
    <n v="95"/>
    <n v="10"/>
    <n v="1"/>
    <s v="Yes"/>
    <x v="1"/>
    <n v="5"/>
    <n v="1500"/>
    <s v="Low"/>
    <x v="0"/>
    <s v="Day"/>
    <n v="14"/>
  </r>
  <r>
    <s v="ZOM1660"/>
    <s v="Employee_60_Foreign"/>
    <n v="27"/>
    <x v="0"/>
    <x v="8"/>
    <x v="2"/>
    <x v="2"/>
    <s v="USD"/>
    <n v="49500"/>
    <n v="12"/>
    <n v="594000"/>
    <x v="3"/>
    <x v="4"/>
    <n v="14850"/>
    <n v="80"/>
    <n v="23"/>
    <n v="1"/>
    <m/>
    <x v="2"/>
    <n v="20"/>
    <n v="6000"/>
    <s v="High"/>
    <x v="0"/>
    <s v="Day"/>
    <n v="14"/>
  </r>
  <r>
    <s v="ZOM1229"/>
    <s v="Employee_229_India"/>
    <n v="27"/>
    <x v="1"/>
    <x v="8"/>
    <x v="0"/>
    <x v="2"/>
    <s v="INR"/>
    <n v="48000"/>
    <n v="12"/>
    <n v="576000"/>
    <x v="3"/>
    <x v="3"/>
    <s v=""/>
    <n v="85"/>
    <n v="15"/>
    <n v="5"/>
    <m/>
    <x v="1"/>
    <m/>
    <n v="0"/>
    <s v="Low"/>
    <x v="0"/>
    <s v="Day"/>
    <n v="12"/>
  </r>
  <r>
    <s v="ZOM1214"/>
    <s v="Employee_214_India"/>
    <n v="25"/>
    <x v="0"/>
    <x v="10"/>
    <x v="2"/>
    <x v="2"/>
    <s v="INR"/>
    <n v="35000"/>
    <n v="12"/>
    <n v="420000"/>
    <x v="2"/>
    <x v="4"/>
    <n v="10500"/>
    <n v="85"/>
    <n v="5"/>
    <n v="4"/>
    <s v="No"/>
    <x v="0"/>
    <n v="10"/>
    <n v="3000"/>
    <s v="High"/>
    <x v="0"/>
    <s v="Day"/>
    <n v="14"/>
  </r>
  <r>
    <s v="ZOM1415"/>
    <s v="Employee_415_India"/>
    <n v="25"/>
    <x v="2"/>
    <x v="6"/>
    <x v="2"/>
    <x v="2"/>
    <s v="INR"/>
    <n v="37000"/>
    <n v="12"/>
    <n v="444000"/>
    <x v="4"/>
    <x v="3"/>
    <s v=""/>
    <n v="87"/>
    <n v="5"/>
    <n v="12"/>
    <s v="Yes"/>
    <x v="0"/>
    <n v="5"/>
    <n v="1500"/>
    <s v="Low"/>
    <x v="0"/>
    <s v="Day"/>
    <n v="14"/>
  </r>
  <r>
    <s v="ZOM1629"/>
    <s v="Employee_29_Foreign"/>
    <n v="25"/>
    <x v="1"/>
    <x v="2"/>
    <x v="2"/>
    <x v="1"/>
    <s v="INR"/>
    <n v="78000"/>
    <n v="12"/>
    <n v="936000"/>
    <x v="1"/>
    <x v="1"/>
    <n v="23400"/>
    <n v="90"/>
    <n v="23"/>
    <n v="1"/>
    <s v="Yes"/>
    <x v="1"/>
    <n v="20"/>
    <n v="6000"/>
    <s v="Medium"/>
    <x v="0"/>
    <s v="Day"/>
    <n v="14"/>
  </r>
  <r>
    <s v="ZOM1314"/>
    <s v="Employee_314_India"/>
    <n v="33"/>
    <x v="2"/>
    <x v="10"/>
    <x v="3"/>
    <x v="3"/>
    <s v="INR"/>
    <n v="90000"/>
    <n v="12"/>
    <n v="1080000"/>
    <x v="13"/>
    <x v="3"/>
    <s v=""/>
    <n v="90"/>
    <n v="5"/>
    <n v="1"/>
    <m/>
    <x v="1"/>
    <m/>
    <n v="0"/>
    <s v="Low"/>
    <x v="0"/>
    <s v="Day"/>
    <n v="25"/>
  </r>
  <r>
    <s v="ZOM1551"/>
    <s v="Employee_551_India"/>
    <n v="26"/>
    <x v="0"/>
    <x v="10"/>
    <x v="0"/>
    <x v="2"/>
    <s v="INR"/>
    <n v="37000"/>
    <n v="12"/>
    <n v="444000"/>
    <x v="4"/>
    <x v="0"/>
    <n v="11100"/>
    <n v="90"/>
    <n v="5"/>
    <n v="1"/>
    <s v="No"/>
    <x v="0"/>
    <m/>
    <n v="0"/>
    <s v="Medium"/>
    <x v="0"/>
    <s v="Day"/>
    <n v="12"/>
  </r>
  <r>
    <s v="ZOM1306"/>
    <s v="Employee_306_India"/>
    <n v="25"/>
    <x v="0"/>
    <x v="0"/>
    <x v="5"/>
    <x v="2"/>
    <s v="INR"/>
    <n v="31500"/>
    <n v="12"/>
    <n v="378000"/>
    <x v="4"/>
    <x v="2"/>
    <s v=""/>
    <n v="87"/>
    <n v="15"/>
    <n v="1"/>
    <s v="Yes"/>
    <x v="0"/>
    <n v="5"/>
    <n v="1500"/>
    <s v="Low"/>
    <x v="0"/>
    <s v="Night"/>
    <n v="20"/>
  </r>
  <r>
    <s v="ZOM1007"/>
    <s v="Employee_7_India"/>
    <n v="40"/>
    <x v="2"/>
    <x v="7"/>
    <x v="0"/>
    <x v="3"/>
    <s v="INR"/>
    <n v="90000"/>
    <n v="12"/>
    <n v="1080000"/>
    <x v="5"/>
    <x v="2"/>
    <s v=""/>
    <n v="90"/>
    <n v="10"/>
    <n v="5"/>
    <m/>
    <x v="1"/>
    <n v="5"/>
    <n v="1750"/>
    <s v="Low"/>
    <x v="0"/>
    <s v="Day"/>
    <n v="12"/>
  </r>
  <r>
    <s v="ZOM1220"/>
    <s v="Employee_220_India"/>
    <n v="25"/>
    <x v="1"/>
    <x v="9"/>
    <x v="2"/>
    <x v="2"/>
    <s v="INR"/>
    <n v="35000"/>
    <n v="12"/>
    <n v="420000"/>
    <x v="2"/>
    <x v="1"/>
    <n v="10500"/>
    <n v="95"/>
    <n v="22"/>
    <n v="10"/>
    <s v="No"/>
    <x v="1"/>
    <n v="5"/>
    <n v="1500"/>
    <s v="Medium"/>
    <x v="0"/>
    <s v="Day"/>
    <n v="14"/>
  </r>
  <r>
    <s v="ZOM1248"/>
    <s v="Employee_248_India"/>
    <n v="40"/>
    <x v="2"/>
    <x v="7"/>
    <x v="1"/>
    <x v="1"/>
    <s v="INR"/>
    <n v="78000"/>
    <n v="12"/>
    <n v="936000"/>
    <x v="1"/>
    <x v="0"/>
    <n v="23400"/>
    <n v="95"/>
    <n v="15"/>
    <n v="1"/>
    <m/>
    <x v="0"/>
    <n v="5"/>
    <n v="1500"/>
    <s v="High"/>
    <x v="0"/>
    <s v="Night"/>
    <n v="13"/>
  </r>
  <r>
    <s v="ZOM1506"/>
    <s v="Employee_506_India"/>
    <n v="43"/>
    <x v="2"/>
    <x v="8"/>
    <x v="1"/>
    <x v="0"/>
    <s v="INR"/>
    <n v="124500"/>
    <n v="12"/>
    <n v="1494000"/>
    <x v="6"/>
    <x v="1"/>
    <n v="37350"/>
    <n v="80"/>
    <n v="5"/>
    <n v="10"/>
    <m/>
    <x v="0"/>
    <m/>
    <s v=""/>
    <s v="Medium"/>
    <x v="0"/>
    <s v="Night"/>
    <n v="13"/>
  </r>
  <r>
    <s v="ZOM1383"/>
    <s v="Employee_383_India"/>
    <n v="27"/>
    <x v="1"/>
    <x v="7"/>
    <x v="0"/>
    <x v="2"/>
    <s v="INR"/>
    <n v="48000"/>
    <n v="12"/>
    <n v="576000"/>
    <x v="3"/>
    <x v="1"/>
    <n v="14400"/>
    <n v="95"/>
    <n v="5"/>
    <n v="12"/>
    <s v="No"/>
    <x v="1"/>
    <n v="20"/>
    <n v="6000"/>
    <s v="Medium"/>
    <x v="0"/>
    <s v="Day"/>
    <n v="12"/>
  </r>
  <r>
    <s v="ZOM1247"/>
    <s v="Employee_247_India"/>
    <n v="27"/>
    <x v="2"/>
    <x v="7"/>
    <x v="2"/>
    <x v="2"/>
    <s v="INR"/>
    <n v="51000"/>
    <n v="12"/>
    <n v="612000"/>
    <x v="3"/>
    <x v="0"/>
    <n v="15300"/>
    <n v="95"/>
    <n v="15"/>
    <n v="2"/>
    <s v="Yes"/>
    <x v="1"/>
    <n v="10"/>
    <n v="3000"/>
    <s v="Medium"/>
    <x v="0"/>
    <s v="Day"/>
    <n v="14"/>
  </r>
  <r>
    <s v="ZOM1047"/>
    <s v="Employee_47_India"/>
    <n v="41"/>
    <x v="0"/>
    <x v="2"/>
    <x v="3"/>
    <x v="6"/>
    <s v="INR"/>
    <n v="125000"/>
    <n v="12"/>
    <n v="1500000"/>
    <x v="14"/>
    <x v="0"/>
    <n v="37500"/>
    <n v="80"/>
    <n v="23"/>
    <n v="5"/>
    <s v="Yes"/>
    <x v="1"/>
    <m/>
    <s v=""/>
    <s v="Medium"/>
    <x v="0"/>
    <s v="Day"/>
    <n v="25"/>
  </r>
  <r>
    <s v="ZOM1584"/>
    <s v="Employee_584_India"/>
    <n v="25"/>
    <x v="2"/>
    <x v="1"/>
    <x v="5"/>
    <x v="2"/>
    <s v="INR"/>
    <n v="48000"/>
    <n v="12"/>
    <n v="576000"/>
    <x v="3"/>
    <x v="1"/>
    <n v="14400"/>
    <n v="85"/>
    <n v="22"/>
    <n v="5"/>
    <s v="Yes"/>
    <x v="0"/>
    <m/>
    <n v="0"/>
    <s v="Medium"/>
    <x v="0"/>
    <s v="Night"/>
    <n v="20"/>
  </r>
  <r>
    <s v="ZOM1657"/>
    <s v="Employee_57_Foreign"/>
    <n v="32"/>
    <x v="1"/>
    <x v="7"/>
    <x v="2"/>
    <x v="4"/>
    <s v="USD"/>
    <n v="88000"/>
    <n v="12"/>
    <n v="1056000"/>
    <x v="9"/>
    <x v="1"/>
    <n v="26400"/>
    <n v="87"/>
    <n v="5"/>
    <n v="8"/>
    <s v="Yes"/>
    <x v="2"/>
    <m/>
    <n v="0"/>
    <s v="Medium"/>
    <x v="0"/>
    <s v="Day"/>
    <n v="14"/>
  </r>
  <r>
    <s v="ZOM1499"/>
    <s v="Employee_499_India"/>
    <n v="42"/>
    <x v="0"/>
    <x v="1"/>
    <x v="5"/>
    <x v="6"/>
    <s v="INR"/>
    <n v="135000"/>
    <n v="12"/>
    <n v="1620000"/>
    <x v="15"/>
    <x v="3"/>
    <s v=""/>
    <n v="90"/>
    <n v="5"/>
    <n v="5"/>
    <s v="Yes"/>
    <x v="0"/>
    <m/>
    <s v=""/>
    <s v="Low"/>
    <x v="0"/>
    <s v="Night"/>
    <n v="20"/>
  </r>
  <r>
    <s v="ZOM1269"/>
    <s v="Employee_269_India"/>
    <n v="27"/>
    <x v="2"/>
    <x v="0"/>
    <x v="5"/>
    <x v="2"/>
    <s v="INR"/>
    <n v="40000"/>
    <n v="12"/>
    <n v="480000"/>
    <x v="4"/>
    <x v="0"/>
    <n v="12000"/>
    <n v="80"/>
    <n v="5"/>
    <n v="7"/>
    <m/>
    <x v="0"/>
    <n v="10"/>
    <n v="3000"/>
    <s v="Medium"/>
    <x v="0"/>
    <s v="Night"/>
    <n v="20"/>
  </r>
  <r>
    <s v="ZOM1659"/>
    <s v="Employee_59_Foreign"/>
    <n v="27"/>
    <x v="2"/>
    <x v="6"/>
    <x v="5"/>
    <x v="2"/>
    <s v="USD"/>
    <n v="36000"/>
    <n v="12"/>
    <n v="432000"/>
    <x v="2"/>
    <x v="0"/>
    <n v="10800"/>
    <n v="95"/>
    <n v="23"/>
    <n v="2"/>
    <m/>
    <x v="2"/>
    <n v="10"/>
    <n v="3000"/>
    <s v="High"/>
    <x v="0"/>
    <s v="Night"/>
    <n v="20"/>
  </r>
  <r>
    <s v="ZOM1365"/>
    <s v="Employee_365_India"/>
    <n v="25"/>
    <x v="1"/>
    <x v="3"/>
    <x v="1"/>
    <x v="2"/>
    <s v="INR"/>
    <n v="48000"/>
    <n v="12"/>
    <n v="576000"/>
    <x v="3"/>
    <x v="0"/>
    <n v="14400"/>
    <n v="95"/>
    <n v="10"/>
    <n v="3"/>
    <s v="Yes"/>
    <x v="0"/>
    <m/>
    <n v="0"/>
    <s v="Medium"/>
    <x v="0"/>
    <s v="Night"/>
    <n v="13"/>
  </r>
  <r>
    <s v="ZOM1598"/>
    <s v="Employee_598_India"/>
    <n v="26"/>
    <x v="2"/>
    <x v="8"/>
    <x v="2"/>
    <x v="2"/>
    <s v="INR"/>
    <n v="37000"/>
    <n v="12"/>
    <n v="444000"/>
    <x v="4"/>
    <x v="2"/>
    <s v=""/>
    <n v="90"/>
    <n v="5"/>
    <n v="1"/>
    <s v="Yes"/>
    <x v="0"/>
    <n v="10"/>
    <n v="3000"/>
    <s v="Low"/>
    <x v="0"/>
    <s v="Day"/>
    <n v="14"/>
  </r>
  <r>
    <s v="ZOM1034"/>
    <s v="Employee_34_India"/>
    <n v="25"/>
    <x v="0"/>
    <x v="0"/>
    <x v="3"/>
    <x v="2"/>
    <s v="INR"/>
    <n v="36000"/>
    <n v="12"/>
    <n v="432000"/>
    <x v="2"/>
    <x v="1"/>
    <n v="10800"/>
    <n v="90"/>
    <n v="23"/>
    <n v="2"/>
    <m/>
    <x v="0"/>
    <n v="10"/>
    <n v="3000"/>
    <s v="Medium"/>
    <x v="0"/>
    <s v="Day"/>
    <n v="25"/>
  </r>
  <r>
    <s v="ZOM1021"/>
    <s v="Employee_21_India"/>
    <n v="26"/>
    <x v="2"/>
    <x v="0"/>
    <x v="5"/>
    <x v="2"/>
    <s v="INR"/>
    <n v="37000"/>
    <n v="12"/>
    <n v="444000"/>
    <x v="4"/>
    <x v="3"/>
    <s v=""/>
    <n v="80"/>
    <n v="5"/>
    <n v="5"/>
    <m/>
    <x v="1"/>
    <n v="5"/>
    <n v="1500"/>
    <s v="Low"/>
    <x v="0"/>
    <s v="Night"/>
    <n v="20"/>
  </r>
  <r>
    <s v="ZOM1061"/>
    <s v="Employee_61_India"/>
    <n v="26"/>
    <x v="2"/>
    <x v="1"/>
    <x v="0"/>
    <x v="2"/>
    <s v="INR"/>
    <n v="36000"/>
    <n v="12"/>
    <n v="432000"/>
    <x v="2"/>
    <x v="1"/>
    <n v="10800"/>
    <n v="80"/>
    <n v="23"/>
    <n v="7"/>
    <s v="Yes"/>
    <x v="0"/>
    <n v="10"/>
    <n v="3000"/>
    <s v="Medium"/>
    <x v="0"/>
    <s v="Day"/>
    <n v="12"/>
  </r>
  <r>
    <s v="ZOM1450"/>
    <s v="Employee_450_India"/>
    <n v="25"/>
    <x v="0"/>
    <x v="7"/>
    <x v="4"/>
    <x v="2"/>
    <s v="INR"/>
    <n v="36000"/>
    <n v="12"/>
    <n v="432000"/>
    <x v="2"/>
    <x v="4"/>
    <n v="10800"/>
    <n v="95"/>
    <n v="23"/>
    <n v="2"/>
    <s v="Yes"/>
    <x v="1"/>
    <n v="20"/>
    <n v="6000"/>
    <s v="High"/>
    <x v="0"/>
    <s v="Day"/>
    <n v="10"/>
  </r>
  <r>
    <s v="ZOM1677"/>
    <s v="Employee_77_Foreign"/>
    <n v="20"/>
    <x v="1"/>
    <x v="8"/>
    <x v="3"/>
    <x v="5"/>
    <s v="USD"/>
    <n v="12000"/>
    <n v="12"/>
    <n v="144000"/>
    <x v="11"/>
    <x v="3"/>
    <s v=""/>
    <n v="85"/>
    <n v="5"/>
    <n v="3"/>
    <s v="No"/>
    <x v="2"/>
    <m/>
    <n v="0"/>
    <s v="Low"/>
    <x v="0"/>
    <s v="Day"/>
    <n v="25"/>
  </r>
  <r>
    <s v="ZOM1573"/>
    <s v="Employee_573_India"/>
    <n v="21"/>
    <x v="2"/>
    <x v="7"/>
    <x v="2"/>
    <x v="5"/>
    <s v="INR"/>
    <n v="7000"/>
    <n v="12"/>
    <n v="84000"/>
    <x v="12"/>
    <x v="2"/>
    <s v=""/>
    <n v="95"/>
    <n v="10"/>
    <n v="12"/>
    <s v="No"/>
    <x v="0"/>
    <n v="5"/>
    <n v="1250"/>
    <s v="Low"/>
    <x v="0"/>
    <s v="Day"/>
    <n v="14"/>
  </r>
  <r>
    <s v="ZOM1559"/>
    <s v="Employee_559_India"/>
    <n v="20"/>
    <x v="1"/>
    <x v="9"/>
    <x v="0"/>
    <x v="5"/>
    <s v="INR"/>
    <n v="9000"/>
    <n v="12"/>
    <n v="108000"/>
    <x v="11"/>
    <x v="2"/>
    <s v=""/>
    <n v="95"/>
    <n v="10"/>
    <n v="9"/>
    <s v="No"/>
    <x v="0"/>
    <n v="10"/>
    <n v="2500"/>
    <s v="Low"/>
    <x v="0"/>
    <s v="Day"/>
    <n v="12"/>
  </r>
  <r>
    <s v="ZOM1159"/>
    <s v="Employee_159_India"/>
    <n v="21"/>
    <x v="0"/>
    <x v="5"/>
    <x v="0"/>
    <x v="5"/>
    <s v="INR"/>
    <n v="6000"/>
    <n v="12"/>
    <n v="72000"/>
    <x v="12"/>
    <x v="2"/>
    <s v=""/>
    <n v="90"/>
    <n v="10"/>
    <n v="5"/>
    <s v="No"/>
    <x v="0"/>
    <n v="10"/>
    <n v="2500"/>
    <s v="Low"/>
    <x v="0"/>
    <s v="Day"/>
    <n v="12"/>
  </r>
  <r>
    <s v="ZOM1398"/>
    <s v="Employee_398_India"/>
    <n v="26"/>
    <x v="2"/>
    <x v="2"/>
    <x v="1"/>
    <x v="1"/>
    <s v="INR"/>
    <n v="74000"/>
    <n v="12"/>
    <n v="888000"/>
    <x v="10"/>
    <x v="2"/>
    <s v=""/>
    <n v="87"/>
    <n v="23"/>
    <n v="3"/>
    <s v="Yes"/>
    <x v="0"/>
    <n v="10"/>
    <n v="3000"/>
    <s v="Low"/>
    <x v="0"/>
    <s v="Night"/>
    <n v="13"/>
  </r>
  <r>
    <s v="ZOM1379"/>
    <s v="Employee_379_India"/>
    <n v="20"/>
    <x v="0"/>
    <x v="9"/>
    <x v="0"/>
    <x v="5"/>
    <s v="INR"/>
    <n v="9000"/>
    <n v="12"/>
    <n v="108000"/>
    <x v="11"/>
    <x v="2"/>
    <s v=""/>
    <n v="80"/>
    <n v="5"/>
    <n v="7"/>
    <s v="No"/>
    <x v="1"/>
    <n v="5"/>
    <n v="1250"/>
    <s v="Low"/>
    <x v="0"/>
    <s v="Day"/>
    <n v="12"/>
  </r>
  <r>
    <s v="ZOM1335"/>
    <s v="Employee_335_India"/>
    <n v="19"/>
    <x v="0"/>
    <x v="9"/>
    <x v="2"/>
    <x v="5"/>
    <s v="INR"/>
    <n v="9000"/>
    <n v="12"/>
    <n v="108000"/>
    <x v="12"/>
    <x v="0"/>
    <n v="2700"/>
    <n v="90"/>
    <n v="23"/>
    <n v="3"/>
    <s v="No"/>
    <x v="1"/>
    <n v="25"/>
    <n v="6250"/>
    <s v="Medium"/>
    <x v="0"/>
    <s v="Day"/>
    <n v="14"/>
  </r>
  <r>
    <s v="ZOM1537"/>
    <s v="Employee_537_India"/>
    <n v="21"/>
    <x v="0"/>
    <x v="3"/>
    <x v="5"/>
    <x v="5"/>
    <s v="INR"/>
    <n v="9000"/>
    <n v="12"/>
    <n v="108000"/>
    <x v="11"/>
    <x v="1"/>
    <n v="2700"/>
    <n v="87"/>
    <n v="10"/>
    <n v="5"/>
    <s v="No"/>
    <x v="1"/>
    <m/>
    <n v="0"/>
    <s v="Medium"/>
    <x v="0"/>
    <s v="Night"/>
    <n v="20"/>
  </r>
  <r>
    <s v="ZOM1547"/>
    <s v="Employee_547_India"/>
    <n v="21"/>
    <x v="2"/>
    <x v="5"/>
    <x v="2"/>
    <x v="7"/>
    <s v="INR"/>
    <n v="20000"/>
    <n v="12"/>
    <n v="240000"/>
    <x v="11"/>
    <x v="2"/>
    <s v=""/>
    <n v="80"/>
    <n v="12"/>
    <n v="2"/>
    <s v="Yes"/>
    <x v="0"/>
    <n v="10"/>
    <n v="2500"/>
    <s v="Low"/>
    <x v="0"/>
    <s v="Day"/>
    <n v="14"/>
  </r>
  <r>
    <s v="ZOM1590"/>
    <s v="Employee_590_India"/>
    <n v="23"/>
    <x v="2"/>
    <x v="6"/>
    <x v="0"/>
    <x v="7"/>
    <s v="INR"/>
    <n v="29000"/>
    <n v="12"/>
    <n v="348000"/>
    <x v="11"/>
    <x v="0"/>
    <n v="8700"/>
    <n v="90"/>
    <n v="12"/>
    <n v="5"/>
    <s v="No"/>
    <x v="0"/>
    <n v="5"/>
    <n v="1250"/>
    <s v="Medium"/>
    <x v="0"/>
    <s v="Day"/>
    <n v="12"/>
  </r>
  <r>
    <s v="ZOM1645"/>
    <s v="Employee_45_Foreign"/>
    <n v="20"/>
    <x v="0"/>
    <x v="8"/>
    <x v="3"/>
    <x v="5"/>
    <s v="USD"/>
    <n v="9000"/>
    <n v="12"/>
    <n v="108000"/>
    <x v="11"/>
    <x v="3"/>
    <s v=""/>
    <n v="95"/>
    <n v="12"/>
    <n v="3"/>
    <s v="No"/>
    <x v="2"/>
    <m/>
    <n v="0"/>
    <s v="Low"/>
    <x v="0"/>
    <s v="Day"/>
    <n v="25"/>
  </r>
  <r>
    <s v="ZOM1009"/>
    <s v="Employee_9_India"/>
    <n v="21"/>
    <x v="0"/>
    <x v="2"/>
    <x v="2"/>
    <x v="7"/>
    <s v="INR"/>
    <n v="24000"/>
    <n v="12"/>
    <n v="288000"/>
    <x v="4"/>
    <x v="4"/>
    <n v="7200"/>
    <n v="80"/>
    <n v="5"/>
    <n v="1"/>
    <m/>
    <x v="0"/>
    <m/>
    <n v="0"/>
    <s v="High"/>
    <x v="0"/>
    <s v="Day"/>
    <n v="14"/>
  </r>
  <r>
    <s v="ZOM1283"/>
    <s v="Employee_283_India"/>
    <n v="20"/>
    <x v="0"/>
    <x v="6"/>
    <x v="3"/>
    <x v="5"/>
    <s v="INR"/>
    <n v="9000"/>
    <n v="12"/>
    <n v="108000"/>
    <x v="12"/>
    <x v="3"/>
    <s v=""/>
    <n v="85"/>
    <n v="15"/>
    <n v="3"/>
    <s v="No"/>
    <x v="0"/>
    <n v="10"/>
    <n v="2500"/>
    <s v="Low"/>
    <x v="0"/>
    <s v="Day"/>
    <n v="25"/>
  </r>
  <r>
    <s v="ZOM1187"/>
    <s v="Employee_187_India"/>
    <n v="24"/>
    <x v="2"/>
    <x v="0"/>
    <x v="2"/>
    <x v="8"/>
    <s v="INR"/>
    <n v="65600"/>
    <n v="12"/>
    <n v="787200"/>
    <x v="10"/>
    <x v="1"/>
    <n v="19680"/>
    <n v="80"/>
    <n v="5"/>
    <n v="5"/>
    <s v="Yes"/>
    <x v="0"/>
    <n v="10"/>
    <n v="3000"/>
    <s v="Medium"/>
    <x v="0"/>
    <s v="Day"/>
    <n v="14"/>
  </r>
  <r>
    <s v="ZOM1675"/>
    <s v="Employee_75_Foreign"/>
    <n v="25"/>
    <x v="0"/>
    <x v="8"/>
    <x v="4"/>
    <x v="9"/>
    <s v="USD"/>
    <n v="24000"/>
    <n v="12"/>
    <n v="288000"/>
    <x v="12"/>
    <x v="3"/>
    <s v=""/>
    <n v="95"/>
    <n v="15"/>
    <n v="3"/>
    <s v="Yes"/>
    <x v="2"/>
    <m/>
    <n v="0"/>
    <s v="Low"/>
    <x v="0"/>
    <s v="Day"/>
    <n v="10"/>
  </r>
  <r>
    <s v="ZOM1479"/>
    <s v="Employee_479_India"/>
    <n v="33"/>
    <x v="0"/>
    <x v="0"/>
    <x v="1"/>
    <x v="4"/>
    <s v="INR"/>
    <n v="88000"/>
    <n v="12"/>
    <n v="1056000"/>
    <x v="1"/>
    <x v="1"/>
    <n v="26400"/>
    <n v="95"/>
    <n v="12"/>
    <n v="12"/>
    <s v="No"/>
    <x v="0"/>
    <n v="10"/>
    <n v="3500"/>
    <s v="Medium"/>
    <x v="0"/>
    <s v="Night"/>
    <n v="13"/>
  </r>
  <r>
    <s v="ZOM1359"/>
    <s v="Employee_359_India"/>
    <n v="49"/>
    <x v="0"/>
    <x v="0"/>
    <x v="5"/>
    <x v="6"/>
    <s v="INR"/>
    <n v="140000"/>
    <n v="12"/>
    <n v="1680000"/>
    <x v="16"/>
    <x v="2"/>
    <s v=""/>
    <n v="80"/>
    <n v="15"/>
    <n v="1"/>
    <s v="Yes"/>
    <x v="0"/>
    <m/>
    <s v=""/>
    <s v="Low"/>
    <x v="0"/>
    <s v="Night"/>
    <n v="20"/>
  </r>
  <r>
    <s v="ZOM1217"/>
    <s v="Employee_217_India"/>
    <n v="20"/>
    <x v="0"/>
    <x v="1"/>
    <x v="3"/>
    <x v="7"/>
    <s v="INR"/>
    <n v="20000"/>
    <n v="12"/>
    <n v="240000"/>
    <x v="12"/>
    <x v="0"/>
    <n v="6000"/>
    <n v="80"/>
    <n v="5"/>
    <n v="1"/>
    <s v="Yes"/>
    <x v="1"/>
    <n v="20"/>
    <n v="5000"/>
    <s v="Medium"/>
    <x v="0"/>
    <s v="Day"/>
    <n v="25"/>
  </r>
  <r>
    <s v="ZOM1127"/>
    <s v="Employee_127_India"/>
    <n v="35"/>
    <x v="0"/>
    <x v="7"/>
    <x v="5"/>
    <x v="4"/>
    <s v="INR"/>
    <n v="87000"/>
    <n v="12"/>
    <n v="1044000"/>
    <x v="13"/>
    <x v="3"/>
    <s v=""/>
    <n v="85"/>
    <n v="15"/>
    <n v="1"/>
    <s v="No"/>
    <x v="0"/>
    <n v="5"/>
    <n v="1750"/>
    <s v="Low"/>
    <x v="0"/>
    <s v="Night"/>
    <n v="20"/>
  </r>
  <r>
    <s v="ZOM1510"/>
    <s v="Employee_510_India"/>
    <n v="40"/>
    <x v="1"/>
    <x v="1"/>
    <x v="3"/>
    <x v="6"/>
    <s v="INR"/>
    <n v="145000"/>
    <n v="12"/>
    <n v="1740000"/>
    <x v="17"/>
    <x v="0"/>
    <n v="43500"/>
    <n v="95"/>
    <n v="12"/>
    <n v="5"/>
    <s v="Yes"/>
    <x v="1"/>
    <m/>
    <s v=""/>
    <s v="Medium"/>
    <x v="0"/>
    <s v="Day"/>
    <n v="25"/>
  </r>
  <r>
    <s v="ZOM1259"/>
    <s v="Employee_259_India"/>
    <n v="23"/>
    <x v="0"/>
    <x v="10"/>
    <x v="2"/>
    <x v="9"/>
    <s v="INR"/>
    <n v="28000"/>
    <n v="12"/>
    <n v="336000"/>
    <x v="4"/>
    <x v="0"/>
    <n v="8400"/>
    <n v="95"/>
    <n v="5"/>
    <n v="2"/>
    <s v="No"/>
    <x v="0"/>
    <m/>
    <n v="0"/>
    <s v="Medium"/>
    <x v="0"/>
    <s v="Day"/>
    <n v="14"/>
  </r>
  <r>
    <s v="ZOM1105"/>
    <s v="Employee_105_India"/>
    <n v="31"/>
    <x v="1"/>
    <x v="5"/>
    <x v="5"/>
    <x v="4"/>
    <s v="INR"/>
    <n v="87000"/>
    <n v="12"/>
    <n v="1044000"/>
    <x v="1"/>
    <x v="0"/>
    <n v="26100"/>
    <n v="80"/>
    <n v="15"/>
    <n v="2"/>
    <s v="No"/>
    <x v="0"/>
    <n v="20"/>
    <n v="7000"/>
    <s v="Medium"/>
    <x v="0"/>
    <s v="Night"/>
    <n v="20"/>
  </r>
  <r>
    <s v="ZOM1169"/>
    <s v="Employee_169_India"/>
    <n v="25"/>
    <x v="0"/>
    <x v="10"/>
    <x v="2"/>
    <x v="9"/>
    <s v="INR"/>
    <n v="28000"/>
    <n v="12"/>
    <n v="336000"/>
    <x v="4"/>
    <x v="3"/>
    <s v=""/>
    <n v="80"/>
    <n v="12"/>
    <n v="7"/>
    <m/>
    <x v="0"/>
    <n v="10"/>
    <n v="2500"/>
    <s v="Low"/>
    <x v="0"/>
    <s v="Day"/>
    <n v="14"/>
  </r>
  <r>
    <s v="ZOM1102"/>
    <s v="Employee_102_India"/>
    <n v="21"/>
    <x v="2"/>
    <x v="7"/>
    <x v="4"/>
    <x v="7"/>
    <s v="INR"/>
    <n v="29000"/>
    <n v="12"/>
    <n v="348000"/>
    <x v="12"/>
    <x v="1"/>
    <n v="8700"/>
    <n v="95"/>
    <n v="5"/>
    <n v="2"/>
    <s v="Yes"/>
    <x v="1"/>
    <n v="10"/>
    <n v="2500"/>
    <s v="Medium"/>
    <x v="0"/>
    <s v="Day"/>
    <n v="10"/>
  </r>
  <r>
    <s v="ZOM1119"/>
    <s v="Employee_119_India"/>
    <n v="23"/>
    <x v="0"/>
    <x v="5"/>
    <x v="5"/>
    <x v="9"/>
    <s v="INR"/>
    <n v="24000"/>
    <n v="12"/>
    <n v="288000"/>
    <x v="12"/>
    <x v="1"/>
    <n v="7200"/>
    <n v="87"/>
    <n v="10"/>
    <n v="3"/>
    <s v="No"/>
    <x v="0"/>
    <n v="5"/>
    <n v="1250"/>
    <s v="Medium"/>
    <x v="0"/>
    <s v="Night"/>
    <n v="20"/>
  </r>
  <r>
    <s v="ZOM1032"/>
    <s v="Employee_32_India"/>
    <n v="22"/>
    <x v="1"/>
    <x v="5"/>
    <x v="3"/>
    <x v="7"/>
    <s v="INR"/>
    <n v="20000"/>
    <n v="12"/>
    <n v="240000"/>
    <x v="4"/>
    <x v="0"/>
    <n v="6000"/>
    <n v="80"/>
    <n v="5"/>
    <n v="1"/>
    <s v="Yes"/>
    <x v="1"/>
    <n v="20"/>
    <n v="5000"/>
    <s v="High"/>
    <x v="0"/>
    <s v="Day"/>
    <n v="25"/>
  </r>
  <r>
    <s v="ZOM1323"/>
    <s v="Employee_323_India"/>
    <n v="22"/>
    <x v="0"/>
    <x v="1"/>
    <x v="5"/>
    <x v="7"/>
    <s v="INR"/>
    <n v="20000"/>
    <n v="12"/>
    <n v="240000"/>
    <x v="4"/>
    <x v="2"/>
    <s v=""/>
    <n v="80"/>
    <n v="12"/>
    <n v="2"/>
    <s v="No"/>
    <x v="0"/>
    <n v="20"/>
    <n v="5000"/>
    <s v="Low"/>
    <x v="0"/>
    <s v="Night"/>
    <n v="20"/>
  </r>
  <r>
    <s v="ZOM1367"/>
    <s v="Employee_367_India"/>
    <n v="20"/>
    <x v="0"/>
    <x v="1"/>
    <x v="4"/>
    <x v="7"/>
    <s v="INR"/>
    <n v="29000"/>
    <n v="12"/>
    <n v="348000"/>
    <x v="12"/>
    <x v="4"/>
    <n v="8700"/>
    <n v="90"/>
    <n v="12"/>
    <n v="10"/>
    <m/>
    <x v="1"/>
    <n v="10"/>
    <n v="2500"/>
    <s v="High"/>
    <x v="0"/>
    <s v="Day"/>
    <n v="10"/>
  </r>
  <r>
    <s v="ZOM1453"/>
    <s v="Employee_453_India"/>
    <n v="23"/>
    <x v="1"/>
    <x v="9"/>
    <x v="0"/>
    <x v="7"/>
    <s v="INR"/>
    <n v="20000"/>
    <n v="12"/>
    <n v="240000"/>
    <x v="12"/>
    <x v="3"/>
    <s v=""/>
    <n v="95"/>
    <n v="12"/>
    <n v="5"/>
    <s v="No"/>
    <x v="0"/>
    <m/>
    <n v="0"/>
    <s v="Low"/>
    <x v="0"/>
    <s v="Day"/>
    <n v="12"/>
  </r>
  <r>
    <s v="ZOM1115"/>
    <s v="Employee_115_India"/>
    <n v="22"/>
    <x v="2"/>
    <x v="9"/>
    <x v="3"/>
    <x v="7"/>
    <s v="INR"/>
    <n v="29000"/>
    <n v="12"/>
    <n v="348000"/>
    <x v="11"/>
    <x v="0"/>
    <n v="8700"/>
    <n v="80"/>
    <n v="15"/>
    <n v="5"/>
    <m/>
    <x v="0"/>
    <n v="5"/>
    <n v="1250"/>
    <s v="Medium"/>
    <x v="0"/>
    <s v="Day"/>
    <n v="25"/>
  </r>
  <r>
    <s v="ZOM1465"/>
    <s v="Employee_465_India"/>
    <n v="28"/>
    <x v="2"/>
    <x v="3"/>
    <x v="4"/>
    <x v="8"/>
    <s v="INR"/>
    <n v="55000"/>
    <n v="12"/>
    <n v="660000"/>
    <x v="2"/>
    <x v="0"/>
    <n v="16500"/>
    <n v="80"/>
    <n v="10"/>
    <n v="2"/>
    <s v="No"/>
    <x v="0"/>
    <n v="5"/>
    <n v="1500"/>
    <s v="Medium"/>
    <x v="0"/>
    <s v="Day"/>
    <n v="10"/>
  </r>
  <r>
    <s v="ZOM1505"/>
    <s v="Employee_505_India"/>
    <n v="24"/>
    <x v="0"/>
    <x v="1"/>
    <x v="4"/>
    <x v="7"/>
    <s v="INR"/>
    <n v="29000"/>
    <n v="12"/>
    <n v="348000"/>
    <x v="11"/>
    <x v="2"/>
    <s v=""/>
    <n v="95"/>
    <n v="12"/>
    <n v="11"/>
    <m/>
    <x v="0"/>
    <n v="10"/>
    <n v="2500"/>
    <s v="Low"/>
    <x v="0"/>
    <s v="Day"/>
    <n v="10"/>
  </r>
  <r>
    <s v="ZOM1308"/>
    <s v="Employee_308_India"/>
    <n v="40"/>
    <x v="0"/>
    <x v="0"/>
    <x v="3"/>
    <x v="3"/>
    <s v="INR"/>
    <n v="90000"/>
    <n v="12"/>
    <n v="1080000"/>
    <x v="6"/>
    <x v="4"/>
    <n v="27000"/>
    <n v="87"/>
    <n v="12"/>
    <n v="3"/>
    <m/>
    <x v="1"/>
    <n v="5"/>
    <n v="1750"/>
    <s v="High"/>
    <x v="0"/>
    <s v="Day"/>
    <n v="25"/>
  </r>
  <r>
    <s v="ZOM1280"/>
    <s v="Employee_280_India"/>
    <n v="23"/>
    <x v="0"/>
    <x v="0"/>
    <x v="1"/>
    <x v="7"/>
    <s v="INR"/>
    <n v="29000"/>
    <n v="12"/>
    <n v="348000"/>
    <x v="11"/>
    <x v="4"/>
    <n v="8700"/>
    <n v="85"/>
    <n v="10"/>
    <n v="3"/>
    <m/>
    <x v="1"/>
    <n v="20"/>
    <n v="5000"/>
    <s v="High"/>
    <x v="0"/>
    <s v="Night"/>
    <n v="13"/>
  </r>
  <r>
    <s v="ZOM1455"/>
    <s v="Employee_455_India"/>
    <n v="23"/>
    <x v="2"/>
    <x v="7"/>
    <x v="3"/>
    <x v="7"/>
    <s v="INR"/>
    <n v="29000"/>
    <n v="12"/>
    <n v="348000"/>
    <x v="4"/>
    <x v="2"/>
    <s v=""/>
    <n v="85"/>
    <n v="12"/>
    <n v="3"/>
    <s v="No"/>
    <x v="1"/>
    <n v="20"/>
    <n v="5000"/>
    <s v="Low"/>
    <x v="0"/>
    <s v="Day"/>
    <n v="25"/>
  </r>
  <r>
    <s v="ZOM1596"/>
    <s v="Employee_596_India"/>
    <n v="20"/>
    <x v="1"/>
    <x v="8"/>
    <x v="1"/>
    <x v="7"/>
    <s v="INR"/>
    <n v="29000"/>
    <n v="12"/>
    <n v="348000"/>
    <x v="12"/>
    <x v="0"/>
    <n v="8700"/>
    <n v="95"/>
    <n v="12"/>
    <n v="5"/>
    <s v="No"/>
    <x v="0"/>
    <m/>
    <n v="0"/>
    <s v="Medium"/>
    <x v="0"/>
    <s v="Night"/>
    <n v="13"/>
  </r>
  <r>
    <s v="ZOM1249"/>
    <s v="Employee_249_India"/>
    <n v="22"/>
    <x v="1"/>
    <x v="3"/>
    <x v="2"/>
    <x v="7"/>
    <s v="INR"/>
    <n v="29000"/>
    <n v="12"/>
    <n v="348000"/>
    <x v="11"/>
    <x v="1"/>
    <n v="8700"/>
    <n v="90"/>
    <n v="5"/>
    <n v="5"/>
    <s v="Yes"/>
    <x v="0"/>
    <m/>
    <n v="0"/>
    <s v="Medium"/>
    <x v="0"/>
    <s v="Day"/>
    <n v="14"/>
  </r>
  <r>
    <s v="ZOM1146"/>
    <s v="Employee_146_India"/>
    <n v="20"/>
    <x v="2"/>
    <x v="2"/>
    <x v="3"/>
    <x v="7"/>
    <s v="INR"/>
    <n v="29000"/>
    <n v="12"/>
    <n v="348000"/>
    <x v="11"/>
    <x v="1"/>
    <n v="8700"/>
    <n v="85"/>
    <n v="15"/>
    <n v="1"/>
    <s v="Yes"/>
    <x v="1"/>
    <n v="10"/>
    <n v="2500"/>
    <s v="Medium"/>
    <x v="0"/>
    <s v="Day"/>
    <n v="25"/>
  </r>
  <r>
    <s v="ZOM1616"/>
    <s v="Employee_16_Foreign"/>
    <n v="22"/>
    <x v="0"/>
    <x v="0"/>
    <x v="4"/>
    <x v="7"/>
    <s v="USD"/>
    <n v="29000"/>
    <n v="12"/>
    <n v="348000"/>
    <x v="12"/>
    <x v="4"/>
    <n v="8700"/>
    <n v="85"/>
    <n v="12"/>
    <n v="12"/>
    <s v="No"/>
    <x v="2"/>
    <m/>
    <n v="0"/>
    <s v="High"/>
    <x v="0"/>
    <s v="Day"/>
    <n v="10"/>
  </r>
  <r>
    <s v="ZOM1405"/>
    <s v="Employee_405_India"/>
    <n v="23"/>
    <x v="0"/>
    <x v="10"/>
    <x v="2"/>
    <x v="7"/>
    <s v="INR"/>
    <n v="29000"/>
    <n v="12"/>
    <n v="348000"/>
    <x v="4"/>
    <x v="1"/>
    <n v="8700"/>
    <n v="95"/>
    <n v="5"/>
    <n v="3"/>
    <s v="Yes"/>
    <x v="1"/>
    <n v="20"/>
    <n v="5000"/>
    <s v="Medium"/>
    <x v="0"/>
    <s v="Day"/>
    <n v="14"/>
  </r>
  <r>
    <s v="ZOM1141"/>
    <s v="Employee_141_India"/>
    <n v="22"/>
    <x v="2"/>
    <x v="2"/>
    <x v="3"/>
    <x v="7"/>
    <s v="INR"/>
    <n v="29000"/>
    <n v="12"/>
    <n v="348000"/>
    <x v="11"/>
    <x v="0"/>
    <n v="8700"/>
    <n v="87"/>
    <n v="10"/>
    <n v="8"/>
    <s v="Yes"/>
    <x v="0"/>
    <n v="20"/>
    <n v="5000"/>
    <s v="Medium"/>
    <x v="0"/>
    <s v="Day"/>
    <n v="25"/>
  </r>
  <r>
    <s v="ZOM1579"/>
    <s v="Employee_579_India"/>
    <n v="23"/>
    <x v="0"/>
    <x v="8"/>
    <x v="4"/>
    <x v="9"/>
    <s v="INR"/>
    <n v="24000"/>
    <n v="12"/>
    <n v="288000"/>
    <x v="12"/>
    <x v="0"/>
    <n v="7200"/>
    <n v="85"/>
    <n v="15"/>
    <n v="2"/>
    <s v="No"/>
    <x v="0"/>
    <n v="10"/>
    <n v="2500"/>
    <s v="Medium"/>
    <x v="0"/>
    <s v="Day"/>
    <n v="10"/>
  </r>
  <r>
    <s v="ZOM1340"/>
    <s v="Employee_340_India"/>
    <n v="23"/>
    <x v="0"/>
    <x v="5"/>
    <x v="4"/>
    <x v="9"/>
    <s v="INR"/>
    <n v="24000"/>
    <n v="12"/>
    <n v="288000"/>
    <x v="12"/>
    <x v="0"/>
    <n v="7200"/>
    <n v="80"/>
    <n v="10"/>
    <n v="2"/>
    <m/>
    <x v="0"/>
    <n v="5"/>
    <n v="1250"/>
    <s v="High"/>
    <x v="0"/>
    <s v="Day"/>
    <n v="10"/>
  </r>
  <r>
    <s v="ZOM1067"/>
    <s v="Employee_67_India"/>
    <n v="23"/>
    <x v="2"/>
    <x v="0"/>
    <x v="1"/>
    <x v="9"/>
    <s v="INR"/>
    <n v="28000"/>
    <n v="12"/>
    <n v="336000"/>
    <x v="4"/>
    <x v="0"/>
    <n v="8400"/>
    <n v="85"/>
    <n v="15"/>
    <n v="3"/>
    <s v="Yes"/>
    <x v="0"/>
    <n v="5"/>
    <n v="1250"/>
    <s v="High"/>
    <x v="0"/>
    <s v="Night"/>
    <n v="13"/>
  </r>
  <r>
    <s v="ZOM1088"/>
    <s v="Employee_88_India"/>
    <n v="24"/>
    <x v="2"/>
    <x v="9"/>
    <x v="1"/>
    <x v="9"/>
    <s v="INR"/>
    <n v="31500"/>
    <n v="12"/>
    <n v="378000"/>
    <x v="4"/>
    <x v="0"/>
    <n v="9450"/>
    <n v="85"/>
    <n v="10"/>
    <n v="2"/>
    <m/>
    <x v="0"/>
    <n v="20"/>
    <n v="5000"/>
    <s v="High"/>
    <x v="0"/>
    <s v="Night"/>
    <n v="13"/>
  </r>
  <r>
    <s v="ZOM1132"/>
    <s v="Employee_132_India"/>
    <n v="23"/>
    <x v="2"/>
    <x v="1"/>
    <x v="5"/>
    <x v="9"/>
    <s v="INR"/>
    <n v="24000"/>
    <n v="12"/>
    <n v="288000"/>
    <x v="12"/>
    <x v="0"/>
    <n v="7200"/>
    <n v="80"/>
    <n v="15"/>
    <n v="5"/>
    <s v="No"/>
    <x v="0"/>
    <n v="5"/>
    <n v="1250"/>
    <s v="Medium"/>
    <x v="0"/>
    <s v="Night"/>
    <n v="20"/>
  </r>
  <r>
    <s v="ZOM1138"/>
    <s v="Employee_138_India"/>
    <n v="23"/>
    <x v="2"/>
    <x v="10"/>
    <x v="1"/>
    <x v="9"/>
    <s v="INR"/>
    <n v="22000"/>
    <n v="12"/>
    <n v="264000"/>
    <x v="4"/>
    <x v="0"/>
    <n v="6600"/>
    <n v="85"/>
    <n v="5"/>
    <n v="3"/>
    <s v="No"/>
    <x v="0"/>
    <m/>
    <n v="0"/>
    <s v="High"/>
    <x v="0"/>
    <s v="Night"/>
    <n v="13"/>
  </r>
  <r>
    <s v="ZOM1623"/>
    <s v="Employee_23_Foreign"/>
    <n v="36"/>
    <x v="2"/>
    <x v="10"/>
    <x v="4"/>
    <x v="3"/>
    <s v="USD"/>
    <n v="99000"/>
    <n v="12"/>
    <n v="1188000"/>
    <x v="6"/>
    <x v="1"/>
    <n v="29700"/>
    <n v="95"/>
    <n v="12"/>
    <n v="2"/>
    <s v="No"/>
    <x v="2"/>
    <n v="10"/>
    <n v="3500"/>
    <s v="Medium"/>
    <x v="0"/>
    <s v="Day"/>
    <n v="10"/>
  </r>
  <r>
    <s v="ZOM1041"/>
    <s v="Employee_41_India"/>
    <n v="28"/>
    <x v="2"/>
    <x v="6"/>
    <x v="2"/>
    <x v="8"/>
    <s v="INR"/>
    <n v="53000"/>
    <n v="12"/>
    <n v="636000"/>
    <x v="2"/>
    <x v="1"/>
    <n v="15900"/>
    <n v="80"/>
    <n v="10"/>
    <n v="1"/>
    <s v="Yes"/>
    <x v="1"/>
    <n v="20"/>
    <n v="6000"/>
    <s v="Medium"/>
    <x v="0"/>
    <s v="Day"/>
    <n v="14"/>
  </r>
  <r>
    <s v="ZOM1158"/>
    <s v="Employee_158_India"/>
    <n v="51"/>
    <x v="1"/>
    <x v="5"/>
    <x v="1"/>
    <x v="10"/>
    <s v="INR"/>
    <n v="150000"/>
    <n v="12"/>
    <n v="1800000"/>
    <x v="18"/>
    <x v="0"/>
    <n v="45000"/>
    <n v="87"/>
    <n v="5"/>
    <n v="3"/>
    <m/>
    <x v="0"/>
    <m/>
    <s v=""/>
    <s v="Medium"/>
    <x v="0"/>
    <s v="Night"/>
    <n v="13"/>
  </r>
  <r>
    <s v="ZOM1633"/>
    <s v="Employee_33_Foreign"/>
    <n v="24"/>
    <x v="0"/>
    <x v="8"/>
    <x v="0"/>
    <x v="9"/>
    <s v="USD"/>
    <n v="24000"/>
    <n v="12"/>
    <n v="288000"/>
    <x v="12"/>
    <x v="0"/>
    <n v="7200"/>
    <n v="88"/>
    <n v="5"/>
    <n v="2"/>
    <s v="Yes"/>
    <x v="2"/>
    <n v="20"/>
    <n v="5000"/>
    <s v="Medium"/>
    <x v="0"/>
    <s v="Day"/>
    <n v="12"/>
  </r>
  <r>
    <s v="ZOM1418"/>
    <s v="Employee_418_India"/>
    <n v="23"/>
    <x v="2"/>
    <x v="2"/>
    <x v="1"/>
    <x v="9"/>
    <s v="INR"/>
    <n v="24000"/>
    <n v="12"/>
    <n v="288000"/>
    <x v="12"/>
    <x v="4"/>
    <n v="7200"/>
    <n v="95"/>
    <n v="10"/>
    <n v="3"/>
    <s v="No"/>
    <x v="0"/>
    <n v="5"/>
    <n v="1250"/>
    <s v="High"/>
    <x v="0"/>
    <s v="Night"/>
    <n v="13"/>
  </r>
  <r>
    <s v="ZOM1666"/>
    <s v="Employee_66_Foreign"/>
    <n v="31"/>
    <x v="1"/>
    <x v="0"/>
    <x v="2"/>
    <x v="4"/>
    <s v="USD"/>
    <n v="89000"/>
    <n v="12"/>
    <n v="1068000"/>
    <x v="13"/>
    <x v="0"/>
    <n v="26700"/>
    <n v="80"/>
    <n v="5"/>
    <n v="2"/>
    <s v="Yes"/>
    <x v="2"/>
    <n v="20"/>
    <n v="7000"/>
    <s v="Medium"/>
    <x v="0"/>
    <s v="Day"/>
    <n v="14"/>
  </r>
  <r>
    <s v="ZOM1346"/>
    <s v="Employee_346_India"/>
    <n v="25"/>
    <x v="0"/>
    <x v="2"/>
    <x v="4"/>
    <x v="9"/>
    <s v="INR"/>
    <n v="24000"/>
    <n v="12"/>
    <n v="288000"/>
    <x v="12"/>
    <x v="0"/>
    <n v="7200"/>
    <n v="80"/>
    <n v="12"/>
    <n v="3"/>
    <m/>
    <x v="0"/>
    <n v="20"/>
    <n v="5000"/>
    <s v="High"/>
    <x v="0"/>
    <s v="Day"/>
    <n v="10"/>
  </r>
  <r>
    <s v="ZOM1430"/>
    <s v="Employee_430_India"/>
    <n v="25"/>
    <x v="2"/>
    <x v="0"/>
    <x v="5"/>
    <x v="9"/>
    <s v="INR"/>
    <n v="31500"/>
    <n v="12"/>
    <n v="378000"/>
    <x v="4"/>
    <x v="2"/>
    <s v=""/>
    <n v="90"/>
    <n v="5"/>
    <n v="3"/>
    <m/>
    <x v="0"/>
    <n v="20"/>
    <n v="5000"/>
    <s v="Low"/>
    <x v="0"/>
    <s v="Night"/>
    <n v="20"/>
  </r>
  <r>
    <s v="ZOM1059"/>
    <s v="Employee_59_India"/>
    <n v="48"/>
    <x v="0"/>
    <x v="9"/>
    <x v="3"/>
    <x v="10"/>
    <s v="INR"/>
    <n v="154000"/>
    <n v="12"/>
    <n v="1848000"/>
    <x v="19"/>
    <x v="4"/>
    <n v="46200"/>
    <n v="80"/>
    <n v="15"/>
    <n v="5"/>
    <m/>
    <x v="0"/>
    <m/>
    <s v=""/>
    <s v="High"/>
    <x v="0"/>
    <s v="Day"/>
    <n v="25"/>
  </r>
  <r>
    <s v="ZOM1583"/>
    <s v="Employee_583_India"/>
    <n v="25"/>
    <x v="2"/>
    <x v="7"/>
    <x v="1"/>
    <x v="9"/>
    <s v="INR"/>
    <n v="23000"/>
    <n v="12"/>
    <n v="276000"/>
    <x v="4"/>
    <x v="4"/>
    <n v="6900"/>
    <n v="88"/>
    <n v="15"/>
    <n v="3"/>
    <s v="No"/>
    <x v="0"/>
    <n v="20"/>
    <n v="5000"/>
    <s v="High"/>
    <x v="0"/>
    <s v="Night"/>
    <n v="13"/>
  </r>
  <r>
    <s v="ZOM1404"/>
    <s v="Employee_404_India"/>
    <n v="25"/>
    <x v="2"/>
    <x v="1"/>
    <x v="3"/>
    <x v="9"/>
    <s v="INR"/>
    <n v="24000"/>
    <n v="12"/>
    <n v="288000"/>
    <x v="12"/>
    <x v="1"/>
    <n v="7200"/>
    <n v="88"/>
    <n v="10"/>
    <n v="2"/>
    <m/>
    <x v="0"/>
    <n v="5"/>
    <n v="1250"/>
    <s v="Medium"/>
    <x v="0"/>
    <s v="Day"/>
    <n v="25"/>
  </r>
  <r>
    <s v="ZOM1195"/>
    <s v="Employee_195_India"/>
    <n v="51"/>
    <x v="0"/>
    <x v="5"/>
    <x v="5"/>
    <x v="10"/>
    <s v="INR"/>
    <n v="158000"/>
    <n v="12"/>
    <n v="1896000"/>
    <x v="20"/>
    <x v="1"/>
    <n v="47400"/>
    <n v="88"/>
    <n v="15"/>
    <n v="4"/>
    <s v="No"/>
    <x v="1"/>
    <m/>
    <s v=""/>
    <s v="Medium"/>
    <x v="0"/>
    <s v="Night"/>
    <n v="20"/>
  </r>
  <r>
    <s v="ZOM1467"/>
    <s v="Employee_467_India"/>
    <n v="23"/>
    <x v="1"/>
    <x v="8"/>
    <x v="1"/>
    <x v="9"/>
    <s v="INR"/>
    <n v="31500"/>
    <n v="12"/>
    <n v="378000"/>
    <x v="4"/>
    <x v="2"/>
    <s v=""/>
    <n v="85"/>
    <n v="5"/>
    <n v="5"/>
    <s v="Yes"/>
    <x v="0"/>
    <n v="10"/>
    <n v="2500"/>
    <s v="Low"/>
    <x v="0"/>
    <s v="Night"/>
    <n v="13"/>
  </r>
  <r>
    <s v="ZOM1099"/>
    <s v="Employee_99_India"/>
    <n v="29"/>
    <x v="2"/>
    <x v="8"/>
    <x v="1"/>
    <x v="1"/>
    <s v="INR"/>
    <n v="81000"/>
    <n v="12"/>
    <n v="972000"/>
    <x v="8"/>
    <x v="3"/>
    <s v=""/>
    <n v="80"/>
    <n v="15"/>
    <n v="3"/>
    <s v="No"/>
    <x v="1"/>
    <m/>
    <n v="0"/>
    <s v="Low"/>
    <x v="0"/>
    <s v="Night"/>
    <n v="13"/>
  </r>
  <r>
    <s v="ZOM1630"/>
    <s v="Employee_30_Foreign"/>
    <n v="53"/>
    <x v="0"/>
    <x v="8"/>
    <x v="1"/>
    <x v="10"/>
    <s v="USD"/>
    <n v="152000"/>
    <n v="12"/>
    <n v="1824000"/>
    <x v="18"/>
    <x v="0"/>
    <n v="45600"/>
    <n v="80"/>
    <n v="15"/>
    <n v="3"/>
    <m/>
    <x v="2"/>
    <m/>
    <s v=""/>
    <s v="Medium"/>
    <x v="0"/>
    <s v="Night"/>
    <n v="13"/>
  </r>
  <r>
    <s v="ZOM1083"/>
    <s v="Employee_83_India"/>
    <n v="51"/>
    <x v="0"/>
    <x v="10"/>
    <x v="0"/>
    <x v="6"/>
    <s v="INR"/>
    <n v="143000"/>
    <n v="12"/>
    <n v="1716000"/>
    <x v="21"/>
    <x v="0"/>
    <n v="42900"/>
    <n v="95"/>
    <n v="5"/>
    <n v="2"/>
    <s v="Yes"/>
    <x v="0"/>
    <m/>
    <s v=""/>
    <s v="Medium"/>
    <x v="0"/>
    <s v="Day"/>
    <n v="12"/>
  </r>
  <r>
    <s v="ZOM1002"/>
    <s v="Employee_2_India"/>
    <n v="30"/>
    <x v="2"/>
    <x v="3"/>
    <x v="1"/>
    <x v="1"/>
    <s v="INR"/>
    <n v="78000"/>
    <n v="12"/>
    <n v="936000"/>
    <x v="1"/>
    <x v="0"/>
    <n v="23400"/>
    <n v="80"/>
    <n v="15"/>
    <n v="3"/>
    <s v="No"/>
    <x v="0"/>
    <m/>
    <n v="0"/>
    <s v="Medium"/>
    <x v="0"/>
    <s v="Night"/>
    <n v="13"/>
  </r>
  <r>
    <s v="ZOM1517"/>
    <s v="Employee_517_India"/>
    <n v="33"/>
    <x v="2"/>
    <x v="0"/>
    <x v="5"/>
    <x v="3"/>
    <s v="INR"/>
    <n v="92600"/>
    <n v="12"/>
    <n v="1111200"/>
    <x v="0"/>
    <x v="4"/>
    <n v="27780"/>
    <n v="80"/>
    <n v="5"/>
    <n v="5"/>
    <s v="Yes"/>
    <x v="0"/>
    <n v="5"/>
    <n v="1750"/>
    <s v="High"/>
    <x v="0"/>
    <s v="Night"/>
    <n v="20"/>
  </r>
  <r>
    <s v="ZOM1139"/>
    <s v="Employee_139_India"/>
    <n v="25"/>
    <x v="2"/>
    <x v="3"/>
    <x v="3"/>
    <x v="9"/>
    <s v="INR"/>
    <n v="24000"/>
    <n v="12"/>
    <n v="288000"/>
    <x v="12"/>
    <x v="2"/>
    <s v=""/>
    <n v="95"/>
    <n v="15"/>
    <n v="5"/>
    <m/>
    <x v="0"/>
    <m/>
    <n v="0"/>
    <s v="Low"/>
    <x v="0"/>
    <s v="Day"/>
    <n v="25"/>
  </r>
  <r>
    <s v="ZOM1215"/>
    <s v="Employee_215_India"/>
    <n v="23"/>
    <x v="0"/>
    <x v="9"/>
    <x v="0"/>
    <x v="9"/>
    <s v="INR"/>
    <n v="24000"/>
    <n v="12"/>
    <n v="288000"/>
    <x v="12"/>
    <x v="4"/>
    <n v="7200"/>
    <n v="90"/>
    <n v="5"/>
    <n v="1"/>
    <s v="Yes"/>
    <x v="0"/>
    <m/>
    <n v="0"/>
    <s v="High"/>
    <x v="0"/>
    <s v="Day"/>
    <n v="12"/>
  </r>
  <r>
    <s v="ZOM1260"/>
    <s v="Employee_260_India"/>
    <n v="23"/>
    <x v="0"/>
    <x v="8"/>
    <x v="0"/>
    <x v="9"/>
    <s v="INR"/>
    <n v="24000"/>
    <n v="12"/>
    <n v="288000"/>
    <x v="12"/>
    <x v="3"/>
    <s v=""/>
    <n v="85"/>
    <n v="10"/>
    <n v="3"/>
    <s v="Yes"/>
    <x v="0"/>
    <m/>
    <n v="0"/>
    <s v="Low"/>
    <x v="0"/>
    <s v="Day"/>
    <n v="12"/>
  </r>
  <r>
    <s v="ZOM1080"/>
    <s v="Employee_80_India"/>
    <n v="23"/>
    <x v="0"/>
    <x v="7"/>
    <x v="3"/>
    <x v="9"/>
    <s v="INR"/>
    <n v="31500"/>
    <n v="12"/>
    <n v="378000"/>
    <x v="4"/>
    <x v="3"/>
    <s v=""/>
    <n v="90"/>
    <n v="12"/>
    <n v="3"/>
    <m/>
    <x v="0"/>
    <n v="10"/>
    <n v="2500"/>
    <s v="Low"/>
    <x v="0"/>
    <s v="Day"/>
    <n v="25"/>
  </r>
  <r>
    <s v="ZOM1037"/>
    <s v="Employee_37_India"/>
    <n v="23"/>
    <x v="1"/>
    <x v="6"/>
    <x v="5"/>
    <x v="9"/>
    <s v="INR"/>
    <n v="24000"/>
    <n v="12"/>
    <n v="288000"/>
    <x v="12"/>
    <x v="3"/>
    <s v=""/>
    <n v="88"/>
    <n v="12"/>
    <n v="3"/>
    <s v="Yes"/>
    <x v="0"/>
    <n v="5"/>
    <n v="1250"/>
    <s v="Low"/>
    <x v="0"/>
    <s v="Night"/>
    <n v="20"/>
  </r>
  <r>
    <s v="ZOM1512"/>
    <s v="Employee_512_India"/>
    <n v="25"/>
    <x v="2"/>
    <x v="2"/>
    <x v="5"/>
    <x v="9"/>
    <s v="INR"/>
    <n v="31000"/>
    <n v="12"/>
    <n v="372000"/>
    <x v="4"/>
    <x v="3"/>
    <s v=""/>
    <n v="80"/>
    <n v="15"/>
    <n v="5"/>
    <s v="No"/>
    <x v="0"/>
    <n v="10"/>
    <n v="2500"/>
    <s v="Low"/>
    <x v="0"/>
    <s v="Night"/>
    <n v="20"/>
  </r>
  <r>
    <s v="ZOM1334"/>
    <s v="Employee_334_India"/>
    <n v="24"/>
    <x v="2"/>
    <x v="6"/>
    <x v="4"/>
    <x v="9"/>
    <s v="INR"/>
    <n v="24000"/>
    <n v="12"/>
    <n v="288000"/>
    <x v="12"/>
    <x v="3"/>
    <s v=""/>
    <n v="90"/>
    <n v="12"/>
    <n v="5"/>
    <s v="Yes"/>
    <x v="0"/>
    <n v="10"/>
    <n v="2500"/>
    <s v="Low"/>
    <x v="0"/>
    <s v="Day"/>
    <n v="10"/>
  </r>
  <r>
    <s v="ZOM1374"/>
    <s v="Employee_374_India"/>
    <n v="24"/>
    <x v="0"/>
    <x v="10"/>
    <x v="5"/>
    <x v="9"/>
    <s v="INR"/>
    <n v="31000"/>
    <n v="12"/>
    <n v="372000"/>
    <x v="4"/>
    <x v="3"/>
    <s v=""/>
    <n v="90"/>
    <n v="12"/>
    <n v="3"/>
    <s v="No"/>
    <x v="0"/>
    <n v="10"/>
    <n v="2500"/>
    <s v="Low"/>
    <x v="0"/>
    <s v="Night"/>
    <n v="20"/>
  </r>
  <r>
    <s v="ZOM1182"/>
    <s v="Employee_182_India"/>
    <n v="23"/>
    <x v="1"/>
    <x v="6"/>
    <x v="4"/>
    <x v="9"/>
    <s v="INR"/>
    <n v="24000"/>
    <n v="12"/>
    <n v="288000"/>
    <x v="12"/>
    <x v="0"/>
    <n v="7200"/>
    <n v="85"/>
    <n v="12"/>
    <n v="2"/>
    <s v="No"/>
    <x v="0"/>
    <n v="5"/>
    <n v="1250"/>
    <s v="Medium"/>
    <x v="0"/>
    <s v="Day"/>
    <n v="10"/>
  </r>
  <r>
    <s v="ZOM1162"/>
    <s v="Employee_162_India"/>
    <n v="23"/>
    <x v="2"/>
    <x v="7"/>
    <x v="5"/>
    <x v="9"/>
    <s v="INR"/>
    <n v="31000"/>
    <n v="12"/>
    <n v="372000"/>
    <x v="4"/>
    <x v="1"/>
    <n v="9300"/>
    <n v="95"/>
    <n v="12"/>
    <n v="5"/>
    <m/>
    <x v="0"/>
    <n v="20"/>
    <n v="5000"/>
    <s v="Medium"/>
    <x v="0"/>
    <s v="Night"/>
    <n v="20"/>
  </r>
  <r>
    <s v="ZOM1066"/>
    <s v="Employee_66_India"/>
    <n v="25"/>
    <x v="1"/>
    <x v="8"/>
    <x v="5"/>
    <x v="9"/>
    <s v="INR"/>
    <n v="24000"/>
    <n v="12"/>
    <n v="288000"/>
    <x v="12"/>
    <x v="3"/>
    <s v=""/>
    <n v="85"/>
    <n v="12"/>
    <n v="1"/>
    <m/>
    <x v="0"/>
    <n v="10"/>
    <n v="2500"/>
    <s v="Low"/>
    <x v="0"/>
    <s v="Night"/>
    <n v="20"/>
  </r>
  <r>
    <s v="ZOM1544"/>
    <s v="Employee_544_India"/>
    <n v="24"/>
    <x v="1"/>
    <x v="3"/>
    <x v="1"/>
    <x v="9"/>
    <s v="INR"/>
    <n v="24000"/>
    <n v="12"/>
    <n v="288000"/>
    <x v="12"/>
    <x v="2"/>
    <s v=""/>
    <n v="95"/>
    <n v="12"/>
    <n v="5"/>
    <m/>
    <x v="0"/>
    <n v="5"/>
    <n v="1250"/>
    <s v="Low"/>
    <x v="0"/>
    <s v="Night"/>
    <n v="13"/>
  </r>
  <r>
    <s v="ZOM1027"/>
    <s v="Employee_27_India"/>
    <n v="23"/>
    <x v="0"/>
    <x v="5"/>
    <x v="1"/>
    <x v="9"/>
    <s v="INR"/>
    <n v="31000"/>
    <n v="12"/>
    <n v="372000"/>
    <x v="4"/>
    <x v="3"/>
    <s v=""/>
    <n v="90"/>
    <n v="5"/>
    <n v="1"/>
    <s v="Yes"/>
    <x v="0"/>
    <n v="5"/>
    <n v="1250"/>
    <s v="Low"/>
    <x v="0"/>
    <s v="Night"/>
    <n v="13"/>
  </r>
  <r>
    <s v="ZOM1172"/>
    <s v="Employee_172_India"/>
    <n v="34"/>
    <x v="0"/>
    <x v="0"/>
    <x v="4"/>
    <x v="3"/>
    <s v="INR"/>
    <n v="91000"/>
    <n v="12"/>
    <n v="1092000"/>
    <x v="6"/>
    <x v="1"/>
    <n v="27300"/>
    <n v="88"/>
    <n v="5"/>
    <n v="3"/>
    <s v="No"/>
    <x v="1"/>
    <n v="20"/>
    <n v="7000"/>
    <s v="Medium"/>
    <x v="0"/>
    <s v="Day"/>
    <n v="10"/>
  </r>
  <r>
    <s v="ZOM1057"/>
    <s v="Employee_57_India"/>
    <n v="25"/>
    <x v="0"/>
    <x v="0"/>
    <x v="0"/>
    <x v="9"/>
    <s v="INR"/>
    <n v="31000"/>
    <n v="12"/>
    <n v="372000"/>
    <x v="4"/>
    <x v="2"/>
    <s v=""/>
    <n v="95"/>
    <n v="10"/>
    <n v="1"/>
    <m/>
    <x v="0"/>
    <n v="10"/>
    <n v="2500"/>
    <s v="Low"/>
    <x v="0"/>
    <s v="Day"/>
    <n v="12"/>
  </r>
  <r>
    <s v="ZOM1370"/>
    <s v="Employee_370_India"/>
    <n v="25"/>
    <x v="2"/>
    <x v="9"/>
    <x v="2"/>
    <x v="9"/>
    <s v="INR"/>
    <n v="31000"/>
    <n v="12"/>
    <n v="372000"/>
    <x v="4"/>
    <x v="0"/>
    <n v="9300"/>
    <n v="80"/>
    <n v="15"/>
    <n v="6"/>
    <s v="No"/>
    <x v="0"/>
    <n v="20"/>
    <n v="5000"/>
    <s v="Medium"/>
    <x v="0"/>
    <s v="Day"/>
    <n v="14"/>
  </r>
  <r>
    <s v="ZOM1228"/>
    <s v="Employee_228_India"/>
    <n v="24"/>
    <x v="2"/>
    <x v="5"/>
    <x v="1"/>
    <x v="9"/>
    <s v="INR"/>
    <n v="24000"/>
    <n v="12"/>
    <n v="288000"/>
    <x v="12"/>
    <x v="0"/>
    <n v="7200"/>
    <n v="88"/>
    <n v="10"/>
    <n v="7"/>
    <s v="Yes"/>
    <x v="0"/>
    <n v="20"/>
    <n v="5000"/>
    <s v="High"/>
    <x v="0"/>
    <s v="Night"/>
    <n v="13"/>
  </r>
  <r>
    <s v="ZOM1196"/>
    <s v="Employee_196_India"/>
    <n v="24"/>
    <x v="0"/>
    <x v="9"/>
    <x v="5"/>
    <x v="9"/>
    <s v="INR"/>
    <n v="24000"/>
    <n v="12"/>
    <n v="288000"/>
    <x v="12"/>
    <x v="3"/>
    <s v=""/>
    <n v="85"/>
    <n v="10"/>
    <n v="10"/>
    <s v="Yes"/>
    <x v="0"/>
    <n v="10"/>
    <n v="2500"/>
    <s v="Low"/>
    <x v="0"/>
    <s v="Night"/>
    <n v="20"/>
  </r>
  <r>
    <s v="ZOM1081"/>
    <s v="Employee_81_India"/>
    <n v="23"/>
    <x v="0"/>
    <x v="1"/>
    <x v="5"/>
    <x v="9"/>
    <s v="INR"/>
    <n v="24000"/>
    <n v="12"/>
    <n v="288000"/>
    <x v="12"/>
    <x v="1"/>
    <n v="7200"/>
    <n v="95"/>
    <n v="15"/>
    <n v="2"/>
    <s v="No"/>
    <x v="0"/>
    <n v="5"/>
    <n v="1250"/>
    <s v="Medium"/>
    <x v="0"/>
    <s v="Night"/>
    <n v="20"/>
  </r>
  <r>
    <s v="ZOM1232"/>
    <s v="Employee_232_India"/>
    <n v="23"/>
    <x v="1"/>
    <x v="10"/>
    <x v="4"/>
    <x v="9"/>
    <s v="INR"/>
    <n v="31000"/>
    <n v="12"/>
    <n v="372000"/>
    <x v="4"/>
    <x v="3"/>
    <s v=""/>
    <n v="85"/>
    <n v="12"/>
    <n v="10"/>
    <s v="Yes"/>
    <x v="0"/>
    <n v="20"/>
    <n v="5000"/>
    <s v="Low"/>
    <x v="0"/>
    <s v="Day"/>
    <n v="10"/>
  </r>
  <r>
    <s v="ZOM1387"/>
    <s v="Employee_387_India"/>
    <n v="25"/>
    <x v="1"/>
    <x v="10"/>
    <x v="2"/>
    <x v="9"/>
    <s v="INR"/>
    <n v="31000"/>
    <n v="12"/>
    <n v="372000"/>
    <x v="4"/>
    <x v="3"/>
    <s v=""/>
    <n v="95"/>
    <n v="15"/>
    <n v="5"/>
    <m/>
    <x v="0"/>
    <n v="10"/>
    <n v="2500"/>
    <s v="Low"/>
    <x v="0"/>
    <s v="Day"/>
    <n v="14"/>
  </r>
  <r>
    <s v="ZOM1647"/>
    <s v="Employee_47_Foreign"/>
    <n v="47"/>
    <x v="2"/>
    <x v="0"/>
    <x v="0"/>
    <x v="6"/>
    <s v="INR"/>
    <n v="148000"/>
    <n v="12"/>
    <n v="1776000"/>
    <x v="14"/>
    <x v="0"/>
    <n v="44400"/>
    <n v="80"/>
    <n v="5"/>
    <n v="2"/>
    <m/>
    <x v="0"/>
    <m/>
    <s v=""/>
    <s v="Medium"/>
    <x v="0"/>
    <s v="Day"/>
    <n v="12"/>
  </r>
  <r>
    <s v="ZOM1498"/>
    <s v="Employee_498_India"/>
    <n v="27"/>
    <x v="0"/>
    <x v="5"/>
    <x v="3"/>
    <x v="8"/>
    <s v="INR"/>
    <n v="68000"/>
    <n v="12"/>
    <n v="816000"/>
    <x v="10"/>
    <x v="0"/>
    <n v="20400"/>
    <n v="88"/>
    <n v="10"/>
    <n v="5"/>
    <m/>
    <x v="1"/>
    <n v="20"/>
    <n v="6000"/>
    <s v="Medium"/>
    <x v="0"/>
    <s v="Day"/>
    <n v="25"/>
  </r>
  <r>
    <s v="ZOM1352"/>
    <s v="Employee_352_India"/>
    <n v="40"/>
    <x v="2"/>
    <x v="9"/>
    <x v="2"/>
    <x v="1"/>
    <s v="INR"/>
    <n v="78000"/>
    <n v="12"/>
    <n v="936000"/>
    <x v="1"/>
    <x v="0"/>
    <n v="23400"/>
    <n v="85"/>
    <n v="12"/>
    <n v="1"/>
    <m/>
    <x v="0"/>
    <n v="5"/>
    <n v="1500"/>
    <s v="Medium"/>
    <x v="0"/>
    <s v="Day"/>
    <n v="14"/>
  </r>
  <r>
    <s v="ZOM1111"/>
    <s v="Employee_111_India"/>
    <n v="25"/>
    <x v="1"/>
    <x v="10"/>
    <x v="0"/>
    <x v="9"/>
    <s v="INR"/>
    <n v="31000"/>
    <n v="12"/>
    <n v="372000"/>
    <x v="4"/>
    <x v="3"/>
    <s v=""/>
    <n v="85"/>
    <n v="12"/>
    <n v="3"/>
    <m/>
    <x v="0"/>
    <n v="10"/>
    <n v="2500"/>
    <s v="Low"/>
    <x v="0"/>
    <s v="Day"/>
    <n v="12"/>
  </r>
  <r>
    <s v="ZOM1270"/>
    <s v="Employee_270_India"/>
    <n v="33"/>
    <x v="0"/>
    <x v="5"/>
    <x v="1"/>
    <x v="4"/>
    <s v="INR"/>
    <n v="89000"/>
    <n v="12"/>
    <n v="1068000"/>
    <x v="8"/>
    <x v="1"/>
    <n v="26700"/>
    <n v="90"/>
    <n v="15"/>
    <n v="1"/>
    <s v="Yes"/>
    <x v="0"/>
    <n v="10"/>
    <n v="3500"/>
    <s v="Medium"/>
    <x v="0"/>
    <s v="Night"/>
    <n v="13"/>
  </r>
  <r>
    <s v="ZOM1436"/>
    <s v="Employee_436_India"/>
    <n v="19"/>
    <x v="2"/>
    <x v="3"/>
    <x v="1"/>
    <x v="5"/>
    <s v="INR"/>
    <n v="9000"/>
    <n v="12"/>
    <n v="108000"/>
    <x v="12"/>
    <x v="3"/>
    <s v=""/>
    <n v="90"/>
    <n v="10"/>
    <n v="2"/>
    <s v="No"/>
    <x v="1"/>
    <m/>
    <n v="0"/>
    <s v="Low"/>
    <x v="0"/>
    <s v="Night"/>
    <n v="13"/>
  </r>
  <r>
    <s v="ZOM1265"/>
    <s v="Employee_265_India"/>
    <n v="24"/>
    <x v="2"/>
    <x v="1"/>
    <x v="0"/>
    <x v="9"/>
    <s v="INR"/>
    <n v="24000"/>
    <n v="12"/>
    <n v="288000"/>
    <x v="12"/>
    <x v="0"/>
    <n v="7200"/>
    <n v="80"/>
    <n v="15"/>
    <n v="5"/>
    <s v="Yes"/>
    <x v="1"/>
    <m/>
    <n v="0"/>
    <s v="Medium"/>
    <x v="0"/>
    <s v="Day"/>
    <n v="12"/>
  </r>
  <r>
    <s v="ZOM1576"/>
    <s v="Employee_576_India"/>
    <n v="25"/>
    <x v="1"/>
    <x v="6"/>
    <x v="3"/>
    <x v="9"/>
    <s v="INR"/>
    <n v="31000"/>
    <n v="12"/>
    <n v="372000"/>
    <x v="4"/>
    <x v="1"/>
    <n v="9300"/>
    <n v="95"/>
    <n v="15"/>
    <n v="11"/>
    <s v="Yes"/>
    <x v="0"/>
    <m/>
    <n v="0"/>
    <s v="Medium"/>
    <x v="0"/>
    <s v="Day"/>
    <n v="25"/>
  </r>
  <r>
    <s v="ZOM1289"/>
    <s v="Employee_289_India"/>
    <n v="23"/>
    <x v="0"/>
    <x v="5"/>
    <x v="4"/>
    <x v="9"/>
    <s v="INR"/>
    <n v="28000"/>
    <n v="12"/>
    <n v="336000"/>
    <x v="4"/>
    <x v="3"/>
    <s v=""/>
    <n v="90"/>
    <n v="12"/>
    <n v="3"/>
    <s v="No"/>
    <x v="0"/>
    <n v="10"/>
    <n v="2500"/>
    <s v="Low"/>
    <x v="0"/>
    <s v="Day"/>
    <n v="10"/>
  </r>
  <r>
    <s v="ZOM1279"/>
    <s v="Employee_279_India"/>
    <n v="29"/>
    <x v="0"/>
    <x v="8"/>
    <x v="1"/>
    <x v="1"/>
    <s v="INR"/>
    <n v="78000"/>
    <n v="12"/>
    <n v="936000"/>
    <x v="10"/>
    <x v="2"/>
    <s v=""/>
    <n v="88"/>
    <n v="15"/>
    <n v="1"/>
    <s v="Yes"/>
    <x v="1"/>
    <n v="10"/>
    <n v="3000"/>
    <s v="Low"/>
    <x v="0"/>
    <s v="Night"/>
    <n v="13"/>
  </r>
  <r>
    <s v="ZOM1354"/>
    <s v="Employee_354_India"/>
    <n v="24"/>
    <x v="2"/>
    <x v="3"/>
    <x v="1"/>
    <x v="9"/>
    <s v="INR"/>
    <n v="24000"/>
    <n v="12"/>
    <n v="288000"/>
    <x v="12"/>
    <x v="0"/>
    <n v="7200"/>
    <n v="90"/>
    <n v="5"/>
    <n v="1"/>
    <m/>
    <x v="0"/>
    <n v="10"/>
    <n v="2500"/>
    <s v="Medium"/>
    <x v="0"/>
    <s v="Night"/>
    <n v="13"/>
  </r>
  <r>
    <s v="ZOM1242"/>
    <s v="Employee_242_India"/>
    <n v="23"/>
    <x v="2"/>
    <x v="9"/>
    <x v="1"/>
    <x v="9"/>
    <s v="INR"/>
    <n v="24000"/>
    <n v="12"/>
    <n v="288000"/>
    <x v="12"/>
    <x v="3"/>
    <s v=""/>
    <n v="88"/>
    <n v="12"/>
    <n v="6"/>
    <m/>
    <x v="0"/>
    <n v="10"/>
    <n v="2500"/>
    <s v="Low"/>
    <x v="0"/>
    <s v="Night"/>
    <n v="13"/>
  </r>
  <r>
    <s v="ZOM1028"/>
    <s v="Employee_28_India"/>
    <n v="25"/>
    <x v="2"/>
    <x v="7"/>
    <x v="2"/>
    <x v="9"/>
    <s v="INR"/>
    <n v="24000"/>
    <n v="12"/>
    <n v="288000"/>
    <x v="12"/>
    <x v="2"/>
    <s v=""/>
    <n v="88"/>
    <n v="12"/>
    <n v="1"/>
    <s v="No"/>
    <x v="0"/>
    <m/>
    <n v="0"/>
    <s v="Low"/>
    <x v="0"/>
    <s v="Day"/>
    <n v="14"/>
  </r>
  <r>
    <s v="ZOM1129"/>
    <s v="Employee_129_India"/>
    <n v="19"/>
    <x v="1"/>
    <x v="8"/>
    <x v="2"/>
    <x v="5"/>
    <s v="INR"/>
    <n v="9000"/>
    <n v="12"/>
    <n v="108000"/>
    <x v="12"/>
    <x v="1"/>
    <n v="2700"/>
    <n v="90"/>
    <n v="10"/>
    <n v="2"/>
    <s v="No"/>
    <x v="0"/>
    <n v="5"/>
    <n v="1250"/>
    <s v="Medium"/>
    <x v="0"/>
    <s v="Day"/>
    <n v="14"/>
  </r>
  <r>
    <s v="ZOM1240"/>
    <s v="Employee_240_India"/>
    <n v="24"/>
    <x v="0"/>
    <x v="9"/>
    <x v="4"/>
    <x v="9"/>
    <s v="INR"/>
    <n v="28000"/>
    <n v="12"/>
    <n v="336000"/>
    <x v="4"/>
    <x v="1"/>
    <n v="8400"/>
    <n v="95"/>
    <n v="5"/>
    <n v="2"/>
    <s v="Yes"/>
    <x v="0"/>
    <m/>
    <n v="0"/>
    <s v="Medium"/>
    <x v="0"/>
    <s v="Day"/>
    <n v="10"/>
  </r>
  <r>
    <s v="ZOM1072"/>
    <s v="Employee_72_India"/>
    <n v="53"/>
    <x v="2"/>
    <x v="3"/>
    <x v="3"/>
    <x v="10"/>
    <s v="INR"/>
    <n v="160000"/>
    <n v="12"/>
    <n v="1920000"/>
    <x v="22"/>
    <x v="1"/>
    <n v="48000"/>
    <n v="88"/>
    <n v="12"/>
    <n v="3"/>
    <m/>
    <x v="0"/>
    <m/>
    <s v=""/>
    <s v="Medium"/>
    <x v="0"/>
    <s v="Day"/>
    <n v="25"/>
  </r>
  <r>
    <s v="ZOM1036"/>
    <s v="Employee_36_India"/>
    <n v="25"/>
    <x v="2"/>
    <x v="7"/>
    <x v="3"/>
    <x v="9"/>
    <s v="INR"/>
    <n v="28000"/>
    <n v="12"/>
    <n v="336000"/>
    <x v="4"/>
    <x v="2"/>
    <s v=""/>
    <n v="88"/>
    <n v="5"/>
    <n v="5"/>
    <s v="No"/>
    <x v="0"/>
    <n v="20"/>
    <n v="5000"/>
    <s v="Low"/>
    <x v="0"/>
    <s v="Day"/>
    <n v="25"/>
  </r>
  <r>
    <s v="ZOM1126"/>
    <s v="Employee_126_India"/>
    <n v="25"/>
    <x v="2"/>
    <x v="9"/>
    <x v="4"/>
    <x v="9"/>
    <s v="INR"/>
    <n v="28000"/>
    <n v="12"/>
    <n v="336000"/>
    <x v="4"/>
    <x v="4"/>
    <n v="8400"/>
    <n v="80"/>
    <n v="12"/>
    <n v="1"/>
    <s v="Yes"/>
    <x v="0"/>
    <m/>
    <n v="0"/>
    <s v="High"/>
    <x v="0"/>
    <s v="Day"/>
    <n v="10"/>
  </r>
  <r>
    <s v="ZOM1178"/>
    <s v="Employee_178_India"/>
    <n v="24"/>
    <x v="0"/>
    <x v="3"/>
    <x v="1"/>
    <x v="9"/>
    <s v="INR"/>
    <n v="28000"/>
    <n v="12"/>
    <n v="336000"/>
    <x v="4"/>
    <x v="3"/>
    <s v=""/>
    <n v="80"/>
    <n v="15"/>
    <n v="3"/>
    <s v="Yes"/>
    <x v="0"/>
    <n v="10"/>
    <n v="2500"/>
    <s v="Low"/>
    <x v="0"/>
    <s v="Night"/>
    <n v="13"/>
  </r>
  <r>
    <s v="ZOM1644"/>
    <s v="Employee_44_Foreign"/>
    <n v="25"/>
    <x v="1"/>
    <x v="6"/>
    <x v="5"/>
    <x v="9"/>
    <s v="USD"/>
    <n v="28000"/>
    <n v="12"/>
    <n v="336000"/>
    <x v="4"/>
    <x v="2"/>
    <s v=""/>
    <n v="80"/>
    <n v="5"/>
    <n v="2"/>
    <s v="No"/>
    <x v="2"/>
    <m/>
    <n v="0"/>
    <s v="Low"/>
    <x v="0"/>
    <s v="Night"/>
    <n v="20"/>
  </r>
  <r>
    <s v="ZOM1496"/>
    <s v="Employee_496_India"/>
    <n v="24"/>
    <x v="2"/>
    <x v="5"/>
    <x v="2"/>
    <x v="9"/>
    <s v="INR"/>
    <n v="28000"/>
    <n v="12"/>
    <n v="336000"/>
    <x v="4"/>
    <x v="0"/>
    <n v="8400"/>
    <n v="85"/>
    <n v="12"/>
    <n v="1"/>
    <s v="Yes"/>
    <x v="0"/>
    <n v="5"/>
    <n v="1250"/>
    <s v="High"/>
    <x v="0"/>
    <s v="Day"/>
    <n v="14"/>
  </r>
  <r>
    <s v="ZOM1491"/>
    <s v="Employee_491_India"/>
    <n v="19"/>
    <x v="0"/>
    <x v="8"/>
    <x v="5"/>
    <x v="5"/>
    <s v="INR"/>
    <n v="9000"/>
    <n v="12"/>
    <n v="108000"/>
    <x v="11"/>
    <x v="2"/>
    <s v=""/>
    <n v="90"/>
    <n v="15"/>
    <n v="2"/>
    <s v="No"/>
    <x v="1"/>
    <n v="10"/>
    <n v="2500"/>
    <s v="Low"/>
    <x v="0"/>
    <s v="Night"/>
    <n v="20"/>
  </r>
  <r>
    <s v="ZOM1116"/>
    <s v="Employee_116_India"/>
    <n v="31"/>
    <x v="1"/>
    <x v="0"/>
    <x v="4"/>
    <x v="4"/>
    <s v="INR"/>
    <n v="89000"/>
    <n v="12"/>
    <n v="1068000"/>
    <x v="1"/>
    <x v="0"/>
    <n v="26700"/>
    <n v="85"/>
    <n v="15"/>
    <n v="9"/>
    <s v="No"/>
    <x v="0"/>
    <n v="5"/>
    <n v="1750"/>
    <s v="Medium"/>
    <x v="0"/>
    <s v="Day"/>
    <n v="10"/>
  </r>
  <r>
    <s v="ZOM1104"/>
    <s v="Employee_104_India"/>
    <n v="23"/>
    <x v="0"/>
    <x v="6"/>
    <x v="0"/>
    <x v="9"/>
    <s v="INR"/>
    <n v="28000"/>
    <n v="12"/>
    <n v="336000"/>
    <x v="4"/>
    <x v="1"/>
    <n v="8400"/>
    <n v="80"/>
    <n v="12"/>
    <n v="13"/>
    <s v="Yes"/>
    <x v="1"/>
    <m/>
    <n v="0"/>
    <s v="Medium"/>
    <x v="0"/>
    <s v="Day"/>
    <n v="12"/>
  </r>
  <r>
    <s v="ZOM1679"/>
    <s v="Employee_79_Foreign"/>
    <n v="23"/>
    <x v="0"/>
    <x v="7"/>
    <x v="0"/>
    <x v="9"/>
    <s v="USD"/>
    <n v="28000"/>
    <n v="12"/>
    <n v="336000"/>
    <x v="4"/>
    <x v="1"/>
    <n v="8400"/>
    <n v="95"/>
    <n v="15"/>
    <n v="1"/>
    <m/>
    <x v="2"/>
    <n v="10"/>
    <n v="2500"/>
    <s v="Medium"/>
    <x v="0"/>
    <s v="Day"/>
    <n v="12"/>
  </r>
  <r>
    <s v="ZOM1504"/>
    <s v="Employee_504_India"/>
    <n v="25"/>
    <x v="0"/>
    <x v="1"/>
    <x v="4"/>
    <x v="9"/>
    <s v="INR"/>
    <n v="24000"/>
    <n v="12"/>
    <n v="288000"/>
    <x v="12"/>
    <x v="2"/>
    <s v=""/>
    <n v="88"/>
    <n v="15"/>
    <n v="1"/>
    <m/>
    <x v="0"/>
    <n v="10"/>
    <n v="2500"/>
    <s v="Low"/>
    <x v="0"/>
    <s v="Day"/>
    <n v="10"/>
  </r>
  <r>
    <s v="ZOM1587"/>
    <s v="Employee_587_India"/>
    <n v="24"/>
    <x v="2"/>
    <x v="6"/>
    <x v="1"/>
    <x v="9"/>
    <s v="INR"/>
    <n v="24000"/>
    <n v="12"/>
    <n v="288000"/>
    <x v="12"/>
    <x v="0"/>
    <n v="7200"/>
    <n v="90"/>
    <n v="5"/>
    <n v="7"/>
    <s v="Yes"/>
    <x v="0"/>
    <m/>
    <n v="0"/>
    <s v="Medium"/>
    <x v="0"/>
    <s v="Night"/>
    <n v="13"/>
  </r>
  <r>
    <s v="ZOM1509"/>
    <s v="Employee_509_India"/>
    <n v="27"/>
    <x v="2"/>
    <x v="9"/>
    <x v="1"/>
    <x v="1"/>
    <s v="INR"/>
    <n v="81000"/>
    <n v="12"/>
    <n v="972000"/>
    <x v="8"/>
    <x v="4"/>
    <n v="24300"/>
    <n v="88"/>
    <n v="12"/>
    <n v="5"/>
    <s v="No"/>
    <x v="0"/>
    <n v="20"/>
    <n v="6000"/>
    <s v="High"/>
    <x v="0"/>
    <s v="Night"/>
    <n v="13"/>
  </r>
  <r>
    <s v="ZOM1351"/>
    <s v="Employee_351_India"/>
    <n v="25"/>
    <x v="2"/>
    <x v="5"/>
    <x v="0"/>
    <x v="9"/>
    <s v="INR"/>
    <n v="28000"/>
    <n v="12"/>
    <n v="336000"/>
    <x v="4"/>
    <x v="2"/>
    <s v=""/>
    <n v="80"/>
    <n v="10"/>
    <n v="5"/>
    <s v="Yes"/>
    <x v="0"/>
    <n v="20"/>
    <n v="5000"/>
    <s v="Low"/>
    <x v="0"/>
    <s v="Day"/>
    <n v="12"/>
  </r>
  <r>
    <s v="ZOM1293"/>
    <s v="Employee_293_India"/>
    <n v="25"/>
    <x v="0"/>
    <x v="9"/>
    <x v="4"/>
    <x v="9"/>
    <s v="INR"/>
    <n v="28000"/>
    <n v="12"/>
    <n v="336000"/>
    <x v="4"/>
    <x v="0"/>
    <n v="8400"/>
    <n v="95"/>
    <n v="15"/>
    <n v="2"/>
    <s v="No"/>
    <x v="1"/>
    <m/>
    <n v="0"/>
    <s v="Medium"/>
    <x v="0"/>
    <s v="Day"/>
    <n v="10"/>
  </r>
  <r>
    <s v="ZOM1025"/>
    <s v="Employee_25_India"/>
    <n v="25"/>
    <x v="0"/>
    <x v="0"/>
    <x v="0"/>
    <x v="9"/>
    <s v="INR"/>
    <n v="24000"/>
    <n v="12"/>
    <n v="288000"/>
    <x v="12"/>
    <x v="3"/>
    <s v=""/>
    <n v="88"/>
    <n v="15"/>
    <n v="2"/>
    <s v="No"/>
    <x v="0"/>
    <m/>
    <n v="0"/>
    <s v="Low"/>
    <x v="0"/>
    <s v="Day"/>
    <n v="12"/>
  </r>
  <r>
    <s v="ZOM1516"/>
    <s v="Employee_516_India"/>
    <n v="25"/>
    <x v="2"/>
    <x v="6"/>
    <x v="1"/>
    <x v="9"/>
    <s v="INR"/>
    <n v="28000"/>
    <n v="12"/>
    <n v="336000"/>
    <x v="4"/>
    <x v="2"/>
    <s v=""/>
    <n v="88"/>
    <n v="12"/>
    <n v="2"/>
    <m/>
    <x v="0"/>
    <n v="20"/>
    <n v="5000"/>
    <s v="Low"/>
    <x v="0"/>
    <s v="Night"/>
    <n v="13"/>
  </r>
  <r>
    <s v="ZOM1091"/>
    <s v="Employee_91_India"/>
    <n v="24"/>
    <x v="2"/>
    <x v="7"/>
    <x v="4"/>
    <x v="9"/>
    <s v="INR"/>
    <n v="24000"/>
    <n v="12"/>
    <n v="288000"/>
    <x v="12"/>
    <x v="0"/>
    <n v="7200"/>
    <n v="95"/>
    <n v="12"/>
    <n v="2"/>
    <m/>
    <x v="0"/>
    <n v="10"/>
    <n v="2500"/>
    <s v="Medium"/>
    <x v="0"/>
    <s v="Day"/>
    <n v="10"/>
  </r>
  <r>
    <s v="ZOM1336"/>
    <s v="Employee_336_India"/>
    <n v="23"/>
    <x v="1"/>
    <x v="5"/>
    <x v="5"/>
    <x v="9"/>
    <s v="INR"/>
    <n v="24000"/>
    <n v="12"/>
    <n v="288000"/>
    <x v="12"/>
    <x v="2"/>
    <s v=""/>
    <n v="85"/>
    <n v="5"/>
    <n v="5"/>
    <s v="No"/>
    <x v="0"/>
    <m/>
    <n v="0"/>
    <s v="Low"/>
    <x v="0"/>
    <s v="Night"/>
    <n v="20"/>
  </r>
  <r>
    <s v="ZOM1634"/>
    <s v="Employee_34_Foreign"/>
    <n v="23"/>
    <x v="2"/>
    <x v="6"/>
    <x v="4"/>
    <x v="9"/>
    <s v="USD"/>
    <n v="28000"/>
    <n v="12"/>
    <n v="336000"/>
    <x v="4"/>
    <x v="2"/>
    <s v=""/>
    <n v="95"/>
    <n v="12"/>
    <n v="1"/>
    <s v="Yes"/>
    <x v="2"/>
    <n v="5"/>
    <n v="1250"/>
    <s v="Low"/>
    <x v="0"/>
    <s v="Day"/>
    <n v="10"/>
  </r>
  <r>
    <s v="ZOM1608"/>
    <s v="Employee_8_Foreign"/>
    <n v="23"/>
    <x v="0"/>
    <x v="1"/>
    <x v="3"/>
    <x v="9"/>
    <s v="USD"/>
    <n v="24000"/>
    <n v="12"/>
    <n v="288000"/>
    <x v="12"/>
    <x v="0"/>
    <n v="7200"/>
    <n v="80"/>
    <n v="5"/>
    <n v="1"/>
    <s v="Yes"/>
    <x v="2"/>
    <n v="20"/>
    <n v="5000"/>
    <s v="Medium"/>
    <x v="0"/>
    <s v="Day"/>
    <n v="25"/>
  </r>
  <r>
    <s v="ZOM1203"/>
    <s v="Employee_203_India"/>
    <n v="25"/>
    <x v="0"/>
    <x v="6"/>
    <x v="4"/>
    <x v="8"/>
    <s v="INR"/>
    <n v="65000"/>
    <n v="12"/>
    <n v="780000"/>
    <x v="10"/>
    <x v="4"/>
    <n v="19500"/>
    <n v="88"/>
    <n v="15"/>
    <n v="4"/>
    <s v="No"/>
    <x v="1"/>
    <m/>
    <n v="0"/>
    <s v="High"/>
    <x v="0"/>
    <s v="Day"/>
    <n v="10"/>
  </r>
  <r>
    <s v="ZOM1626"/>
    <s v="Employee_26_Foreign"/>
    <n v="25"/>
    <x v="1"/>
    <x v="1"/>
    <x v="3"/>
    <x v="9"/>
    <s v="USD"/>
    <n v="28000"/>
    <n v="12"/>
    <n v="336000"/>
    <x v="4"/>
    <x v="0"/>
    <n v="8400"/>
    <n v="90"/>
    <n v="5"/>
    <n v="3"/>
    <m/>
    <x v="2"/>
    <n v="10"/>
    <n v="2500"/>
    <s v="Medium"/>
    <x v="0"/>
    <s v="Day"/>
    <n v="25"/>
  </r>
  <r>
    <s v="ZOM1090"/>
    <s v="Employee_90_India"/>
    <n v="23"/>
    <x v="2"/>
    <x v="7"/>
    <x v="3"/>
    <x v="9"/>
    <s v="INR"/>
    <n v="24000"/>
    <n v="12"/>
    <n v="288000"/>
    <x v="12"/>
    <x v="2"/>
    <s v=""/>
    <n v="88"/>
    <n v="5"/>
    <n v="5"/>
    <m/>
    <x v="0"/>
    <m/>
    <n v="0"/>
    <s v="Low"/>
    <x v="0"/>
    <s v="Day"/>
    <n v="25"/>
  </r>
  <r>
    <s v="ZOM1522"/>
    <s v="Employee_522_India"/>
    <n v="23"/>
    <x v="2"/>
    <x v="2"/>
    <x v="0"/>
    <x v="9"/>
    <s v="INR"/>
    <n v="24000"/>
    <n v="12"/>
    <n v="288000"/>
    <x v="12"/>
    <x v="4"/>
    <n v="7200"/>
    <n v="88"/>
    <n v="5"/>
    <n v="1"/>
    <s v="Yes"/>
    <x v="0"/>
    <n v="20"/>
    <n v="5000"/>
    <s v="High"/>
    <x v="0"/>
    <s v="Day"/>
    <n v="12"/>
  </r>
  <r>
    <s v="ZOM1446"/>
    <s v="Employee_446_India"/>
    <n v="28"/>
    <x v="2"/>
    <x v="8"/>
    <x v="5"/>
    <x v="8"/>
    <s v="INR"/>
    <n v="69500"/>
    <n v="12"/>
    <n v="834000"/>
    <x v="10"/>
    <x v="4"/>
    <n v="20850"/>
    <n v="88"/>
    <n v="5"/>
    <n v="3"/>
    <s v="No"/>
    <x v="0"/>
    <n v="10"/>
    <n v="3000"/>
    <s v="High"/>
    <x v="0"/>
    <s v="Night"/>
    <n v="20"/>
  </r>
  <r>
    <s v="ZOM1395"/>
    <s v="Employee_395_India"/>
    <n v="23"/>
    <x v="1"/>
    <x v="3"/>
    <x v="0"/>
    <x v="9"/>
    <s v="INR"/>
    <n v="24000"/>
    <n v="12"/>
    <n v="288000"/>
    <x v="12"/>
    <x v="2"/>
    <s v=""/>
    <n v="90"/>
    <n v="5"/>
    <n v="1"/>
    <s v="Yes"/>
    <x v="0"/>
    <n v="20"/>
    <n v="5000"/>
    <s v="Low"/>
    <x v="0"/>
    <s v="Day"/>
    <n v="12"/>
  </r>
  <r>
    <s v="ZOM1284"/>
    <s v="Employee_284_India"/>
    <n v="23"/>
    <x v="2"/>
    <x v="1"/>
    <x v="4"/>
    <x v="9"/>
    <s v="INR"/>
    <n v="24000"/>
    <n v="12"/>
    <n v="288000"/>
    <x v="12"/>
    <x v="4"/>
    <n v="7200"/>
    <n v="95"/>
    <n v="12"/>
    <n v="2"/>
    <s v="No"/>
    <x v="0"/>
    <n v="10"/>
    <n v="2500"/>
    <s v="High"/>
    <x v="0"/>
    <s v="Day"/>
    <n v="10"/>
  </r>
  <r>
    <s v="ZOM1109"/>
    <s v="Employee_109_India"/>
    <n v="25"/>
    <x v="2"/>
    <x v="5"/>
    <x v="1"/>
    <x v="9"/>
    <s v="INR"/>
    <n v="24000"/>
    <n v="12"/>
    <n v="288000"/>
    <x v="12"/>
    <x v="2"/>
    <s v=""/>
    <n v="95"/>
    <n v="15"/>
    <n v="10"/>
    <s v="Yes"/>
    <x v="0"/>
    <m/>
    <n v="0"/>
    <s v="Low"/>
    <x v="0"/>
    <s v="Night"/>
    <n v="13"/>
  </r>
  <r>
    <s v="ZOM1170"/>
    <s v="Employee_170_India"/>
    <n v="23"/>
    <x v="2"/>
    <x v="6"/>
    <x v="5"/>
    <x v="9"/>
    <s v="INR"/>
    <n v="28000"/>
    <n v="12"/>
    <n v="336000"/>
    <x v="4"/>
    <x v="2"/>
    <s v=""/>
    <n v="80"/>
    <n v="12"/>
    <n v="5"/>
    <s v="No"/>
    <x v="0"/>
    <n v="20"/>
    <n v="5000"/>
    <s v="Low"/>
    <x v="0"/>
    <s v="Night"/>
    <n v="20"/>
  </r>
  <r>
    <s v="ZOM1233"/>
    <s v="Employee_233_India"/>
    <n v="23"/>
    <x v="2"/>
    <x v="6"/>
    <x v="5"/>
    <x v="9"/>
    <s v="INR"/>
    <n v="24000"/>
    <n v="12"/>
    <n v="288000"/>
    <x v="12"/>
    <x v="0"/>
    <n v="7200"/>
    <n v="95"/>
    <n v="10"/>
    <n v="5"/>
    <s v="Yes"/>
    <x v="0"/>
    <m/>
    <n v="0"/>
    <s v="Medium"/>
    <x v="0"/>
    <s v="Night"/>
    <n v="20"/>
  </r>
  <r>
    <s v="ZOM1550"/>
    <s v="Employee_550_India"/>
    <n v="24"/>
    <x v="0"/>
    <x v="10"/>
    <x v="5"/>
    <x v="9"/>
    <s v="INR"/>
    <n v="24000"/>
    <n v="12"/>
    <n v="288000"/>
    <x v="12"/>
    <x v="1"/>
    <n v="7200"/>
    <n v="90"/>
    <n v="5"/>
    <n v="2"/>
    <s v="Yes"/>
    <x v="1"/>
    <n v="20"/>
    <n v="5000"/>
    <s v="Medium"/>
    <x v="0"/>
    <s v="Night"/>
    <n v="20"/>
  </r>
  <r>
    <s v="ZOM1424"/>
    <s v="Employee_424_India"/>
    <n v="23"/>
    <x v="2"/>
    <x v="8"/>
    <x v="4"/>
    <x v="9"/>
    <s v="INR"/>
    <n v="28000"/>
    <n v="12"/>
    <n v="336000"/>
    <x v="4"/>
    <x v="3"/>
    <s v=""/>
    <n v="85"/>
    <n v="5"/>
    <n v="13"/>
    <s v="No"/>
    <x v="0"/>
    <m/>
    <n v="0"/>
    <s v="Low"/>
    <x v="0"/>
    <s v="Day"/>
    <n v="10"/>
  </r>
  <r>
    <s v="ZOM1503"/>
    <s v="Employee_503_India"/>
    <n v="24"/>
    <x v="0"/>
    <x v="8"/>
    <x v="3"/>
    <x v="9"/>
    <s v="INR"/>
    <n v="24000"/>
    <n v="12"/>
    <n v="288000"/>
    <x v="12"/>
    <x v="2"/>
    <s v=""/>
    <n v="88"/>
    <n v="12"/>
    <n v="1"/>
    <m/>
    <x v="0"/>
    <n v="10"/>
    <n v="2500"/>
    <s v="Low"/>
    <x v="0"/>
    <s v="Day"/>
    <n v="25"/>
  </r>
  <r>
    <s v="ZOM1635"/>
    <s v="Employee_35_Foreign"/>
    <n v="23"/>
    <x v="1"/>
    <x v="7"/>
    <x v="1"/>
    <x v="9"/>
    <s v="INR"/>
    <n v="24000"/>
    <n v="12"/>
    <n v="288000"/>
    <x v="12"/>
    <x v="3"/>
    <s v=""/>
    <n v="85"/>
    <n v="10"/>
    <n v="2"/>
    <m/>
    <x v="1"/>
    <n v="20"/>
    <n v="5000"/>
    <s v="Low"/>
    <x v="0"/>
    <s v="Night"/>
    <n v="13"/>
  </r>
  <r>
    <s v="ZOM1606"/>
    <s v="Employee_6_Foreign"/>
    <n v="25"/>
    <x v="1"/>
    <x v="10"/>
    <x v="3"/>
    <x v="9"/>
    <s v="USD"/>
    <n v="28000"/>
    <n v="12"/>
    <n v="336000"/>
    <x v="4"/>
    <x v="0"/>
    <n v="8400"/>
    <n v="90"/>
    <n v="12"/>
    <n v="5"/>
    <m/>
    <x v="2"/>
    <n v="10"/>
    <n v="2500"/>
    <s v="Medium"/>
    <x v="0"/>
    <s v="Day"/>
    <n v="25"/>
  </r>
  <r>
    <s v="ZOM1497"/>
    <s v="Employee_497_India"/>
    <n v="24"/>
    <x v="2"/>
    <x v="10"/>
    <x v="4"/>
    <x v="9"/>
    <s v="INR"/>
    <n v="28000"/>
    <n v="12"/>
    <n v="336000"/>
    <x v="4"/>
    <x v="1"/>
    <n v="8400"/>
    <n v="80"/>
    <n v="10"/>
    <n v="2"/>
    <s v="Yes"/>
    <x v="0"/>
    <n v="10"/>
    <n v="2500"/>
    <s v="Medium"/>
    <x v="0"/>
    <s v="Day"/>
    <n v="10"/>
  </r>
  <r>
    <s v="ZOM1133"/>
    <s v="Employee_133_India"/>
    <n v="24"/>
    <x v="0"/>
    <x v="5"/>
    <x v="4"/>
    <x v="9"/>
    <s v="INR"/>
    <n v="28000"/>
    <n v="12"/>
    <n v="336000"/>
    <x v="4"/>
    <x v="0"/>
    <n v="8400"/>
    <n v="88"/>
    <n v="5"/>
    <n v="12"/>
    <m/>
    <x v="0"/>
    <m/>
    <n v="0"/>
    <s v="Medium"/>
    <x v="0"/>
    <s v="Day"/>
    <n v="10"/>
  </r>
  <r>
    <s v="ZOM1213"/>
    <s v="Employee_213_India"/>
    <n v="24"/>
    <x v="1"/>
    <x v="0"/>
    <x v="1"/>
    <x v="9"/>
    <s v="INR"/>
    <n v="24000"/>
    <n v="12"/>
    <n v="288000"/>
    <x v="12"/>
    <x v="3"/>
    <s v=""/>
    <n v="88"/>
    <n v="15"/>
    <n v="2"/>
    <m/>
    <x v="0"/>
    <m/>
    <n v="0"/>
    <s v="Low"/>
    <x v="0"/>
    <s v="Night"/>
    <n v="13"/>
  </r>
  <r>
    <s v="ZOM1472"/>
    <s v="Employee_472_India"/>
    <n v="25"/>
    <x v="1"/>
    <x v="3"/>
    <x v="3"/>
    <x v="9"/>
    <s v="INR"/>
    <n v="28000"/>
    <n v="12"/>
    <n v="336000"/>
    <x v="4"/>
    <x v="3"/>
    <s v=""/>
    <n v="90"/>
    <n v="10"/>
    <n v="2"/>
    <s v="No"/>
    <x v="0"/>
    <n v="5"/>
    <n v="1250"/>
    <s v="Low"/>
    <x v="0"/>
    <s v="Day"/>
    <n v="25"/>
  </r>
  <r>
    <s v="ZOM1060"/>
    <s v="Employee_60_India"/>
    <n v="25"/>
    <x v="0"/>
    <x v="1"/>
    <x v="1"/>
    <x v="9"/>
    <s v="INR"/>
    <n v="24000"/>
    <n v="12"/>
    <n v="288000"/>
    <x v="12"/>
    <x v="1"/>
    <n v="7200"/>
    <n v="88"/>
    <n v="5"/>
    <n v="2"/>
    <m/>
    <x v="0"/>
    <m/>
    <n v="0"/>
    <s v="Medium"/>
    <x v="0"/>
    <s v="Night"/>
    <n v="13"/>
  </r>
  <r>
    <s v="ZOM1000"/>
    <s v="Employee_0_India"/>
    <n v="28"/>
    <x v="1"/>
    <x v="0"/>
    <x v="2"/>
    <x v="1"/>
    <s v="INR"/>
    <n v="78000"/>
    <n v="12"/>
    <n v="936000"/>
    <x v="1"/>
    <x v="0"/>
    <n v="23400"/>
    <n v="95"/>
    <n v="10"/>
    <n v="9"/>
    <s v="Yes"/>
    <x v="0"/>
    <n v="20"/>
    <n v="6000"/>
    <s v="High"/>
    <x v="0"/>
    <s v="Day"/>
    <n v="14"/>
  </r>
  <r>
    <s v="ZOM1388"/>
    <s v="Employee_388_India"/>
    <n v="29"/>
    <x v="1"/>
    <x v="0"/>
    <x v="1"/>
    <x v="1"/>
    <s v="INR"/>
    <n v="81000"/>
    <n v="12"/>
    <n v="972000"/>
    <x v="8"/>
    <x v="0"/>
    <n v="24300"/>
    <n v="88"/>
    <n v="5"/>
    <n v="4"/>
    <s v="Yes"/>
    <x v="0"/>
    <n v="10"/>
    <n v="3000"/>
    <s v="Medium"/>
    <x v="0"/>
    <s v="Night"/>
    <n v="13"/>
  </r>
  <r>
    <s v="ZOM1454"/>
    <s v="Employee_454_India"/>
    <n v="23"/>
    <x v="0"/>
    <x v="7"/>
    <x v="2"/>
    <x v="9"/>
    <s v="INR"/>
    <n v="28000"/>
    <n v="12"/>
    <n v="336000"/>
    <x v="4"/>
    <x v="2"/>
    <s v=""/>
    <n v="90"/>
    <n v="12"/>
    <n v="2"/>
    <s v="Yes"/>
    <x v="0"/>
    <n v="5"/>
    <n v="1250"/>
    <s v="Low"/>
    <x v="0"/>
    <s v="Day"/>
    <n v="14"/>
  </r>
  <r>
    <s v="ZOM1667"/>
    <s v="Employee_67_Foreign"/>
    <n v="25"/>
    <x v="0"/>
    <x v="8"/>
    <x v="1"/>
    <x v="9"/>
    <s v="USD"/>
    <n v="24000"/>
    <n v="12"/>
    <n v="288000"/>
    <x v="12"/>
    <x v="3"/>
    <s v=""/>
    <n v="95"/>
    <n v="10"/>
    <n v="10"/>
    <s v="Yes"/>
    <x v="2"/>
    <n v="5"/>
    <n v="1250"/>
    <s v="Low"/>
    <x v="0"/>
    <s v="Night"/>
    <n v="13"/>
  </r>
  <r>
    <s v="ZOM1008"/>
    <s v="Employee_8_India"/>
    <n v="24"/>
    <x v="0"/>
    <x v="8"/>
    <x v="1"/>
    <x v="9"/>
    <s v="INR"/>
    <n v="24000"/>
    <n v="12"/>
    <n v="288000"/>
    <x v="12"/>
    <x v="1"/>
    <n v="7200"/>
    <n v="85"/>
    <n v="5"/>
    <n v="10"/>
    <s v="No"/>
    <x v="0"/>
    <n v="10"/>
    <n v="2500"/>
    <s v="Medium"/>
    <x v="0"/>
    <s v="Night"/>
    <n v="13"/>
  </r>
  <r>
    <s v="ZOM1033"/>
    <s v="Employee_33_India"/>
    <n v="25"/>
    <x v="2"/>
    <x v="5"/>
    <x v="4"/>
    <x v="9"/>
    <s v="INR"/>
    <n v="24000"/>
    <n v="12"/>
    <n v="288000"/>
    <x v="12"/>
    <x v="2"/>
    <s v=""/>
    <n v="85"/>
    <n v="10"/>
    <n v="1"/>
    <s v="Yes"/>
    <x v="0"/>
    <n v="20"/>
    <n v="5000"/>
    <s v="Low"/>
    <x v="0"/>
    <s v="Day"/>
    <n v="10"/>
  </r>
  <r>
    <s v="ZOM1031"/>
    <s v="Employee_31_India"/>
    <n v="24"/>
    <x v="2"/>
    <x v="1"/>
    <x v="1"/>
    <x v="9"/>
    <s v="INR"/>
    <n v="28000"/>
    <n v="12"/>
    <n v="336000"/>
    <x v="4"/>
    <x v="2"/>
    <s v=""/>
    <n v="85"/>
    <n v="15"/>
    <n v="3"/>
    <s v="Yes"/>
    <x v="0"/>
    <m/>
    <n v="0"/>
    <s v="Low"/>
    <x v="0"/>
    <s v="Night"/>
    <n v="13"/>
  </r>
  <r>
    <s v="ZOM1460"/>
    <s v="Employee_460_India"/>
    <n v="24"/>
    <x v="0"/>
    <x v="8"/>
    <x v="3"/>
    <x v="9"/>
    <s v="INR"/>
    <n v="28000"/>
    <n v="12"/>
    <n v="336000"/>
    <x v="4"/>
    <x v="2"/>
    <s v=""/>
    <n v="85"/>
    <n v="15"/>
    <n v="1"/>
    <s v="No"/>
    <x v="0"/>
    <n v="5"/>
    <n v="1250"/>
    <s v="Low"/>
    <x v="0"/>
    <s v="Day"/>
    <n v="25"/>
  </r>
  <r>
    <s v="ZOM1224"/>
    <s v="Employee_224_India"/>
    <n v="23"/>
    <x v="0"/>
    <x v="10"/>
    <x v="2"/>
    <x v="9"/>
    <s v="INR"/>
    <n v="28000"/>
    <n v="12"/>
    <n v="336000"/>
    <x v="4"/>
    <x v="3"/>
    <s v=""/>
    <n v="95"/>
    <n v="10"/>
    <n v="11"/>
    <m/>
    <x v="0"/>
    <n v="5"/>
    <n v="1250"/>
    <s v="Low"/>
    <x v="0"/>
    <s v="Day"/>
    <n v="14"/>
  </r>
  <r>
    <s v="ZOM1082"/>
    <s v="Employee_82_India"/>
    <n v="33"/>
    <x v="0"/>
    <x v="9"/>
    <x v="0"/>
    <x v="4"/>
    <s v="INR"/>
    <n v="89000"/>
    <n v="12"/>
    <n v="1068000"/>
    <x v="9"/>
    <x v="3"/>
    <s v=""/>
    <n v="88"/>
    <n v="5"/>
    <n v="11"/>
    <m/>
    <x v="0"/>
    <n v="5"/>
    <n v="1750"/>
    <s v="Low"/>
    <x v="0"/>
    <s v="Day"/>
    <n v="12"/>
  </r>
  <r>
    <s v="ZOM1300"/>
    <s v="Employee_300_India"/>
    <n v="23"/>
    <x v="2"/>
    <x v="7"/>
    <x v="1"/>
    <x v="9"/>
    <s v="INR"/>
    <n v="24000"/>
    <n v="12"/>
    <n v="288000"/>
    <x v="12"/>
    <x v="1"/>
    <n v="7200"/>
    <n v="88"/>
    <n v="5"/>
    <n v="9"/>
    <m/>
    <x v="0"/>
    <n v="10"/>
    <n v="2500"/>
    <s v="Medium"/>
    <x v="0"/>
    <s v="Night"/>
    <n v="13"/>
  </r>
  <r>
    <s v="ZOM1222"/>
    <s v="Employee_222_India"/>
    <n v="24"/>
    <x v="0"/>
    <x v="10"/>
    <x v="1"/>
    <x v="9"/>
    <s v="INR"/>
    <n v="24000"/>
    <n v="12"/>
    <n v="288000"/>
    <x v="12"/>
    <x v="4"/>
    <n v="7200"/>
    <n v="90"/>
    <n v="15"/>
    <n v="5"/>
    <m/>
    <x v="0"/>
    <n v="20"/>
    <n v="5000"/>
    <s v="High"/>
    <x v="0"/>
    <s v="Night"/>
    <n v="13"/>
  </r>
  <r>
    <s v="ZOM1638"/>
    <s v="Employee_38_Foreign"/>
    <n v="23"/>
    <x v="2"/>
    <x v="6"/>
    <x v="3"/>
    <x v="9"/>
    <s v="USD"/>
    <n v="24000"/>
    <n v="12"/>
    <n v="288000"/>
    <x v="12"/>
    <x v="3"/>
    <s v=""/>
    <n v="95"/>
    <n v="10"/>
    <n v="8"/>
    <m/>
    <x v="2"/>
    <n v="10"/>
    <n v="2500"/>
    <s v="Low"/>
    <x v="0"/>
    <s v="Day"/>
    <n v="25"/>
  </r>
  <r>
    <s v="ZOM1486"/>
    <s v="Employee_486_India"/>
    <n v="25"/>
    <x v="0"/>
    <x v="8"/>
    <x v="1"/>
    <x v="9"/>
    <s v="INR"/>
    <n v="28000"/>
    <n v="12"/>
    <n v="336000"/>
    <x v="4"/>
    <x v="3"/>
    <s v=""/>
    <n v="90"/>
    <n v="12"/>
    <n v="3"/>
    <s v="Yes"/>
    <x v="0"/>
    <n v="5"/>
    <n v="1250"/>
    <s v="Low"/>
    <x v="0"/>
    <s v="Night"/>
    <n v="13"/>
  </r>
  <r>
    <s v="ZOM1654"/>
    <s v="Employee_54_Foreign"/>
    <n v="23"/>
    <x v="0"/>
    <x v="3"/>
    <x v="2"/>
    <x v="9"/>
    <s v="INR"/>
    <n v="24000"/>
    <n v="12"/>
    <n v="288000"/>
    <x v="12"/>
    <x v="2"/>
    <s v=""/>
    <n v="90"/>
    <n v="5"/>
    <n v="1"/>
    <s v="Yes"/>
    <x v="1"/>
    <n v="20"/>
    <n v="5000"/>
    <s v="Low"/>
    <x v="0"/>
    <s v="Day"/>
    <n v="14"/>
  </r>
  <r>
    <s v="ZOM1421"/>
    <s v="Employee_421_India"/>
    <n v="25"/>
    <x v="2"/>
    <x v="7"/>
    <x v="1"/>
    <x v="9"/>
    <s v="INR"/>
    <n v="24000"/>
    <n v="12"/>
    <n v="288000"/>
    <x v="12"/>
    <x v="0"/>
    <n v="7200"/>
    <n v="80"/>
    <n v="15"/>
    <n v="3"/>
    <m/>
    <x v="1"/>
    <n v="5"/>
    <n v="1250"/>
    <s v="Medium"/>
    <x v="0"/>
    <s v="Night"/>
    <n v="13"/>
  </r>
  <r>
    <s v="ZOM1419"/>
    <s v="Employee_419_India"/>
    <n v="25"/>
    <x v="2"/>
    <x v="2"/>
    <x v="1"/>
    <x v="9"/>
    <s v="INR"/>
    <n v="24000"/>
    <n v="12"/>
    <n v="288000"/>
    <x v="12"/>
    <x v="2"/>
    <s v=""/>
    <n v="88"/>
    <n v="15"/>
    <n v="3"/>
    <m/>
    <x v="0"/>
    <n v="5"/>
    <n v="1250"/>
    <s v="Low"/>
    <x v="0"/>
    <s v="Night"/>
    <n v="13"/>
  </r>
  <r>
    <s v="ZOM1173"/>
    <s v="Employee_173_India"/>
    <n v="25"/>
    <x v="1"/>
    <x v="7"/>
    <x v="4"/>
    <x v="9"/>
    <s v="INR"/>
    <n v="28000"/>
    <n v="12"/>
    <n v="336000"/>
    <x v="4"/>
    <x v="4"/>
    <n v="8400"/>
    <n v="90"/>
    <n v="10"/>
    <n v="5"/>
    <m/>
    <x v="0"/>
    <n v="10"/>
    <n v="2500"/>
    <s v="High"/>
    <x v="0"/>
    <s v="Day"/>
    <n v="10"/>
  </r>
  <r>
    <s v="ZOM1296"/>
    <s v="Employee_296_India"/>
    <n v="29"/>
    <x v="1"/>
    <x v="9"/>
    <x v="1"/>
    <x v="1"/>
    <s v="INR"/>
    <n v="78000"/>
    <n v="12"/>
    <n v="936000"/>
    <x v="1"/>
    <x v="1"/>
    <n v="23400"/>
    <n v="80"/>
    <n v="12"/>
    <n v="5"/>
    <s v="No"/>
    <x v="0"/>
    <n v="20"/>
    <n v="6000"/>
    <s v="Medium"/>
    <x v="0"/>
    <s v="Night"/>
    <n v="13"/>
  </r>
  <r>
    <s v="ZOM1523"/>
    <s v="Employee_523_India"/>
    <n v="25"/>
    <x v="2"/>
    <x v="1"/>
    <x v="5"/>
    <x v="9"/>
    <s v="INR"/>
    <n v="24000"/>
    <n v="12"/>
    <n v="288000"/>
    <x v="12"/>
    <x v="1"/>
    <n v="7200"/>
    <n v="85"/>
    <n v="10"/>
    <n v="10"/>
    <s v="No"/>
    <x v="0"/>
    <m/>
    <n v="0"/>
    <s v="Medium"/>
    <x v="0"/>
    <s v="Night"/>
    <n v="20"/>
  </r>
  <r>
    <s v="ZOM1649"/>
    <s v="Employee_49_Foreign"/>
    <n v="36"/>
    <x v="0"/>
    <x v="3"/>
    <x v="5"/>
    <x v="4"/>
    <s v="USD"/>
    <n v="89000"/>
    <n v="12"/>
    <n v="1068000"/>
    <x v="8"/>
    <x v="2"/>
    <s v=""/>
    <n v="90"/>
    <n v="15"/>
    <n v="2"/>
    <s v="No"/>
    <x v="2"/>
    <n v="10"/>
    <n v="3500"/>
    <s v="Low"/>
    <x v="0"/>
    <s v="Night"/>
    <n v="20"/>
  </r>
  <r>
    <s v="ZOM1433"/>
    <s v="Employee_433_India"/>
    <n v="23"/>
    <x v="2"/>
    <x v="0"/>
    <x v="2"/>
    <x v="9"/>
    <s v="INR"/>
    <n v="28000"/>
    <n v="12"/>
    <n v="336000"/>
    <x v="4"/>
    <x v="2"/>
    <s v=""/>
    <n v="85"/>
    <n v="10"/>
    <n v="1"/>
    <s v="Yes"/>
    <x v="0"/>
    <m/>
    <n v="0"/>
    <s v="Low"/>
    <x v="0"/>
    <s v="Day"/>
    <n v="14"/>
  </r>
  <r>
    <s v="ZOM1093"/>
    <s v="Employee_93_India"/>
    <n v="33"/>
    <x v="2"/>
    <x v="10"/>
    <x v="5"/>
    <x v="4"/>
    <s v="INR"/>
    <n v="89000"/>
    <n v="12"/>
    <n v="1068000"/>
    <x v="13"/>
    <x v="2"/>
    <s v=""/>
    <n v="95"/>
    <n v="5"/>
    <n v="3"/>
    <s v="Yes"/>
    <x v="0"/>
    <n v="5"/>
    <n v="1750"/>
    <s v="Low"/>
    <x v="0"/>
    <s v="Night"/>
    <n v="20"/>
  </r>
  <r>
    <s v="ZOM1632"/>
    <s v="Employee_32_Foreign"/>
    <n v="33"/>
    <x v="0"/>
    <x v="7"/>
    <x v="5"/>
    <x v="4"/>
    <s v="USD"/>
    <n v="90000"/>
    <n v="12"/>
    <n v="1080000"/>
    <x v="13"/>
    <x v="1"/>
    <n v="27000"/>
    <n v="85"/>
    <n v="12"/>
    <n v="3"/>
    <s v="Yes"/>
    <x v="2"/>
    <m/>
    <n v="0"/>
    <s v="Medium"/>
    <x v="0"/>
    <s v="Night"/>
    <n v="20"/>
  </r>
  <r>
    <s v="ZOM1117"/>
    <s v="Employee_117_India"/>
    <n v="25"/>
    <x v="0"/>
    <x v="10"/>
    <x v="4"/>
    <x v="9"/>
    <s v="INR"/>
    <n v="28000"/>
    <n v="12"/>
    <n v="336000"/>
    <x v="4"/>
    <x v="1"/>
    <n v="8400"/>
    <n v="80"/>
    <n v="10"/>
    <n v="3"/>
    <s v="No"/>
    <x v="0"/>
    <n v="5"/>
    <n v="1250"/>
    <s v="Medium"/>
    <x v="0"/>
    <s v="Day"/>
    <n v="10"/>
  </r>
  <r>
    <s v="ZOM1470"/>
    <s v="Employee_470_India"/>
    <n v="24"/>
    <x v="1"/>
    <x v="7"/>
    <x v="0"/>
    <x v="9"/>
    <s v="INR"/>
    <n v="28000"/>
    <n v="12"/>
    <n v="336000"/>
    <x v="4"/>
    <x v="2"/>
    <s v=""/>
    <n v="85"/>
    <n v="15"/>
    <n v="2"/>
    <m/>
    <x v="0"/>
    <n v="20"/>
    <n v="5000"/>
    <s v="Low"/>
    <x v="0"/>
    <s v="Day"/>
    <n v="12"/>
  </r>
  <r>
    <s v="ZOM1197"/>
    <s v="Employee_197_India"/>
    <n v="24"/>
    <x v="0"/>
    <x v="10"/>
    <x v="5"/>
    <x v="8"/>
    <s v="INR"/>
    <n v="65000"/>
    <n v="12"/>
    <n v="780000"/>
    <x v="10"/>
    <x v="3"/>
    <s v=""/>
    <n v="88"/>
    <n v="15"/>
    <n v="1"/>
    <s v="Yes"/>
    <x v="0"/>
    <n v="5"/>
    <n v="1500"/>
    <s v="Low"/>
    <x v="0"/>
    <s v="Night"/>
    <n v="20"/>
  </r>
  <r>
    <s v="ZOM1585"/>
    <s v="Employee_585_India"/>
    <n v="23"/>
    <x v="0"/>
    <x v="2"/>
    <x v="4"/>
    <x v="9"/>
    <s v="INR"/>
    <n v="28000"/>
    <n v="12"/>
    <n v="336000"/>
    <x v="4"/>
    <x v="0"/>
    <n v="8400"/>
    <n v="95"/>
    <n v="5"/>
    <n v="5"/>
    <s v="Yes"/>
    <x v="0"/>
    <n v="10"/>
    <n v="2500"/>
    <s v="Medium"/>
    <x v="0"/>
    <s v="Day"/>
    <n v="10"/>
  </r>
  <r>
    <s v="ZOM1128"/>
    <s v="Employee_128_India"/>
    <n v="24"/>
    <x v="0"/>
    <x v="7"/>
    <x v="1"/>
    <x v="9"/>
    <s v="INR"/>
    <n v="24000"/>
    <n v="12"/>
    <n v="288000"/>
    <x v="12"/>
    <x v="3"/>
    <s v=""/>
    <n v="80"/>
    <n v="10"/>
    <n v="3"/>
    <s v="No"/>
    <x v="0"/>
    <n v="20"/>
    <n v="5000"/>
    <s v="Low"/>
    <x v="0"/>
    <s v="Night"/>
    <n v="13"/>
  </r>
  <r>
    <s v="ZOM1006"/>
    <s v="Employee_6_India"/>
    <n v="24"/>
    <x v="1"/>
    <x v="2"/>
    <x v="2"/>
    <x v="1"/>
    <s v="INR"/>
    <n v="78000"/>
    <n v="12"/>
    <n v="936000"/>
    <x v="1"/>
    <x v="3"/>
    <s v=""/>
    <n v="85"/>
    <n v="10"/>
    <n v="5"/>
    <s v="Yes"/>
    <x v="1"/>
    <m/>
    <n v="0"/>
    <s v="Low"/>
    <x v="0"/>
    <s v="Day"/>
    <n v="14"/>
  </r>
  <r>
    <s v="ZOM1012"/>
    <s v="Employee_12_India"/>
    <n v="23"/>
    <x v="0"/>
    <x v="10"/>
    <x v="3"/>
    <x v="9"/>
    <s v="INR"/>
    <n v="24000"/>
    <n v="12"/>
    <n v="288000"/>
    <x v="12"/>
    <x v="3"/>
    <s v=""/>
    <n v="90"/>
    <n v="31"/>
    <n v="2"/>
    <s v="No"/>
    <x v="0"/>
    <n v="5"/>
    <n v="1250"/>
    <s v="Low"/>
    <x v="0"/>
    <s v="Day"/>
    <n v="25"/>
  </r>
  <r>
    <s v="ZOM1434"/>
    <s v="Employee_434_India"/>
    <n v="24"/>
    <x v="0"/>
    <x v="10"/>
    <x v="0"/>
    <x v="9"/>
    <s v="INR"/>
    <n v="24000"/>
    <n v="12"/>
    <n v="288000"/>
    <x v="12"/>
    <x v="3"/>
    <s v=""/>
    <n v="90"/>
    <n v="15"/>
    <n v="9"/>
    <m/>
    <x v="0"/>
    <n v="20"/>
    <n v="5000"/>
    <s v="Low"/>
    <x v="0"/>
    <s v="Day"/>
    <n v="12"/>
  </r>
  <r>
    <s v="ZOM1329"/>
    <s v="Employee_329_India"/>
    <n v="26"/>
    <x v="0"/>
    <x v="5"/>
    <x v="2"/>
    <x v="1"/>
    <s v="INR"/>
    <n v="78000"/>
    <n v="12"/>
    <n v="936000"/>
    <x v="1"/>
    <x v="1"/>
    <n v="23400"/>
    <n v="80"/>
    <n v="5"/>
    <n v="1"/>
    <s v="No"/>
    <x v="0"/>
    <n v="10"/>
    <n v="3000"/>
    <s v="Medium"/>
    <x v="0"/>
    <s v="Day"/>
    <n v="14"/>
  </r>
  <r>
    <s v="ZOM1519"/>
    <s v="Employee_519_India"/>
    <n v="28"/>
    <x v="0"/>
    <x v="7"/>
    <x v="1"/>
    <x v="1"/>
    <s v="INR"/>
    <n v="77500"/>
    <n v="12"/>
    <n v="930000"/>
    <x v="10"/>
    <x v="4"/>
    <n v="23250"/>
    <n v="80"/>
    <n v="10"/>
    <n v="5"/>
    <m/>
    <x v="1"/>
    <n v="5"/>
    <n v="1500"/>
    <s v="High"/>
    <x v="0"/>
    <s v="Night"/>
    <n v="13"/>
  </r>
  <r>
    <s v="ZOM1501"/>
    <s v="Employee_501_India"/>
    <n v="24"/>
    <x v="2"/>
    <x v="0"/>
    <x v="0"/>
    <x v="9"/>
    <s v="INR"/>
    <n v="28000"/>
    <n v="12"/>
    <n v="336000"/>
    <x v="4"/>
    <x v="3"/>
    <s v=""/>
    <n v="90"/>
    <n v="15"/>
    <n v="11"/>
    <m/>
    <x v="0"/>
    <n v="10"/>
    <n v="2500"/>
    <s v="Low"/>
    <x v="0"/>
    <s v="Day"/>
    <n v="12"/>
  </r>
  <r>
    <s v="ZOM1148"/>
    <s v="Employee_148_India"/>
    <n v="25"/>
    <x v="0"/>
    <x v="0"/>
    <x v="2"/>
    <x v="8"/>
    <s v="INR"/>
    <n v="65000"/>
    <n v="12"/>
    <n v="780000"/>
    <x v="10"/>
    <x v="0"/>
    <n v="19500"/>
    <n v="90"/>
    <n v="10"/>
    <n v="3"/>
    <s v="Yes"/>
    <x v="2"/>
    <n v="5"/>
    <n v="1500"/>
    <s v="Medium"/>
    <x v="0"/>
    <s v="Day"/>
    <n v="14"/>
  </r>
  <r>
    <s v="ZOM1397"/>
    <s v="Employee_397_India"/>
    <n v="25"/>
    <x v="2"/>
    <x v="8"/>
    <x v="1"/>
    <x v="9"/>
    <s v="INR"/>
    <n v="24000"/>
    <n v="12"/>
    <n v="288000"/>
    <x v="12"/>
    <x v="3"/>
    <s v=""/>
    <n v="90"/>
    <n v="5"/>
    <n v="3"/>
    <s v="No"/>
    <x v="0"/>
    <n v="5"/>
    <n v="1250"/>
    <s v="Low"/>
    <x v="0"/>
    <s v="Night"/>
    <n v="13"/>
  </r>
  <r>
    <s v="ZOM1191"/>
    <s v="Employee_191_India"/>
    <n v="24"/>
    <x v="2"/>
    <x v="10"/>
    <x v="1"/>
    <x v="1"/>
    <s v="INR"/>
    <n v="73000"/>
    <n v="12"/>
    <n v="876000"/>
    <x v="10"/>
    <x v="0"/>
    <n v="21900"/>
    <n v="95"/>
    <n v="13"/>
    <n v="1"/>
    <s v="No"/>
    <x v="1"/>
    <n v="5"/>
    <n v="1500"/>
    <s v="Medium"/>
    <x v="0"/>
    <s v="Night"/>
    <n v="13"/>
  </r>
  <r>
    <s v="ZOM1651"/>
    <s v="Employee_51_Foreign"/>
    <n v="23"/>
    <x v="0"/>
    <x v="0"/>
    <x v="0"/>
    <x v="9"/>
    <s v="USD"/>
    <n v="28000"/>
    <n v="12"/>
    <n v="336000"/>
    <x v="4"/>
    <x v="2"/>
    <s v=""/>
    <n v="85"/>
    <n v="5"/>
    <n v="2"/>
    <m/>
    <x v="2"/>
    <n v="10"/>
    <n v="2500"/>
    <s v="Low"/>
    <x v="0"/>
    <s v="Day"/>
    <n v="12"/>
  </r>
  <r>
    <s v="ZOM1327"/>
    <s v="Employee_327_India"/>
    <n v="23"/>
    <x v="0"/>
    <x v="0"/>
    <x v="4"/>
    <x v="9"/>
    <s v="INR"/>
    <n v="24000"/>
    <n v="12"/>
    <n v="288000"/>
    <x v="12"/>
    <x v="3"/>
    <s v=""/>
    <n v="90"/>
    <n v="15"/>
    <n v="8"/>
    <m/>
    <x v="0"/>
    <n v="5"/>
    <n v="1250"/>
    <s v="Low"/>
    <x v="0"/>
    <s v="Day"/>
    <n v="10"/>
  </r>
  <r>
    <s v="ZOM1207"/>
    <s v="Employee_207_India"/>
    <n v="24"/>
    <x v="0"/>
    <x v="1"/>
    <x v="1"/>
    <x v="9"/>
    <s v="INR"/>
    <n v="24000"/>
    <n v="12"/>
    <n v="288000"/>
    <x v="12"/>
    <x v="2"/>
    <s v=""/>
    <n v="95"/>
    <n v="10"/>
    <n v="5"/>
    <s v="No"/>
    <x v="0"/>
    <m/>
    <n v="0"/>
    <s v="Low"/>
    <x v="0"/>
    <s v="Night"/>
    <n v="13"/>
  </r>
  <r>
    <s v="ZOM1065"/>
    <s v="Employee_65_India"/>
    <n v="25"/>
    <x v="2"/>
    <x v="10"/>
    <x v="3"/>
    <x v="8"/>
    <s v="INR"/>
    <n v="57000"/>
    <n v="12"/>
    <n v="684000"/>
    <x v="2"/>
    <x v="0"/>
    <n v="17100"/>
    <n v="95"/>
    <n v="5"/>
    <n v="3"/>
    <s v="Yes"/>
    <x v="1"/>
    <n v="10"/>
    <n v="3000"/>
    <s v="High"/>
    <x v="0"/>
    <s v="Day"/>
    <n v="25"/>
  </r>
  <r>
    <s v="ZOM1552"/>
    <s v="Employee_552_India"/>
    <n v="23"/>
    <x v="2"/>
    <x v="10"/>
    <x v="3"/>
    <x v="9"/>
    <s v="INR"/>
    <n v="24000"/>
    <n v="12"/>
    <n v="288000"/>
    <x v="12"/>
    <x v="0"/>
    <n v="7200"/>
    <n v="95"/>
    <n v="15"/>
    <n v="11"/>
    <s v="Yes"/>
    <x v="0"/>
    <m/>
    <n v="0"/>
    <s v="Medium"/>
    <x v="0"/>
    <s v="Day"/>
    <n v="25"/>
  </r>
  <r>
    <s v="ZOM1144"/>
    <s v="Employee_144_India"/>
    <n v="24"/>
    <x v="0"/>
    <x v="10"/>
    <x v="1"/>
    <x v="9"/>
    <s v="INR"/>
    <n v="28000"/>
    <n v="12"/>
    <n v="336000"/>
    <x v="4"/>
    <x v="3"/>
    <s v=""/>
    <n v="88"/>
    <n v="5"/>
    <n v="3"/>
    <s v="No"/>
    <x v="0"/>
    <n v="10"/>
    <n v="2500"/>
    <s v="Low"/>
    <x v="0"/>
    <s v="Night"/>
    <n v="13"/>
  </r>
  <r>
    <s v="ZOM1593"/>
    <s v="Employee_593_India"/>
    <n v="23"/>
    <x v="2"/>
    <x v="2"/>
    <x v="4"/>
    <x v="9"/>
    <s v="INR"/>
    <n v="24000"/>
    <n v="12"/>
    <n v="288000"/>
    <x v="12"/>
    <x v="2"/>
    <s v=""/>
    <n v="88"/>
    <n v="10"/>
    <n v="2"/>
    <s v="Yes"/>
    <x v="0"/>
    <m/>
    <n v="0"/>
    <s v="Low"/>
    <x v="0"/>
    <s v="Day"/>
    <n v="10"/>
  </r>
  <r>
    <s v="ZOM1271"/>
    <s v="Employee_271_India"/>
    <n v="25"/>
    <x v="1"/>
    <x v="6"/>
    <x v="1"/>
    <x v="9"/>
    <s v="INR"/>
    <n v="24000"/>
    <n v="12"/>
    <n v="288000"/>
    <x v="12"/>
    <x v="3"/>
    <s v=""/>
    <n v="72"/>
    <n v="13"/>
    <n v="2"/>
    <s v="No"/>
    <x v="0"/>
    <n v="5"/>
    <n v="1250"/>
    <s v="Low"/>
    <x v="0"/>
    <s v="Night"/>
    <n v="13"/>
  </r>
  <r>
    <s v="ZOM1489"/>
    <s v="Employee_489_India"/>
    <n v="25"/>
    <x v="0"/>
    <x v="9"/>
    <x v="1"/>
    <x v="9"/>
    <s v="INR"/>
    <n v="28000"/>
    <n v="12"/>
    <n v="336000"/>
    <x v="4"/>
    <x v="1"/>
    <n v="8400"/>
    <n v="95"/>
    <n v="13"/>
    <n v="2"/>
    <s v="No"/>
    <x v="0"/>
    <n v="10"/>
    <n v="2500"/>
    <s v="Medium"/>
    <x v="0"/>
    <s v="Night"/>
    <n v="13"/>
  </r>
  <r>
    <s v="ZOM1086"/>
    <s v="Employee_86_India"/>
    <n v="24"/>
    <x v="0"/>
    <x v="9"/>
    <x v="5"/>
    <x v="9"/>
    <s v="INR"/>
    <n v="24000"/>
    <n v="12"/>
    <n v="288000"/>
    <x v="12"/>
    <x v="0"/>
    <n v="7200"/>
    <n v="88"/>
    <n v="10"/>
    <n v="2"/>
    <m/>
    <x v="0"/>
    <n v="20"/>
    <n v="5000"/>
    <s v="High"/>
    <x v="0"/>
    <s v="Night"/>
    <n v="20"/>
  </r>
  <r>
    <s v="ZOM1164"/>
    <s v="Employee_164_India"/>
    <n v="27"/>
    <x v="2"/>
    <x v="2"/>
    <x v="2"/>
    <x v="8"/>
    <s v="INR"/>
    <n v="60000"/>
    <n v="12"/>
    <n v="720000"/>
    <x v="3"/>
    <x v="2"/>
    <s v=""/>
    <n v="85"/>
    <n v="15"/>
    <n v="3"/>
    <s v="Yes"/>
    <x v="1"/>
    <n v="20"/>
    <n v="6000"/>
    <s v="Low"/>
    <x v="0"/>
    <s v="Day"/>
    <n v="14"/>
  </r>
  <r>
    <s v="ZOM1355"/>
    <s v="Employee_355_India"/>
    <n v="24"/>
    <x v="0"/>
    <x v="3"/>
    <x v="1"/>
    <x v="9"/>
    <s v="INR"/>
    <n v="24000"/>
    <n v="12"/>
    <n v="288000"/>
    <x v="12"/>
    <x v="1"/>
    <n v="7200"/>
    <n v="90"/>
    <n v="15"/>
    <n v="7"/>
    <m/>
    <x v="0"/>
    <n v="5"/>
    <n v="1250"/>
    <s v="Medium"/>
    <x v="0"/>
    <s v="Night"/>
    <n v="13"/>
  </r>
  <r>
    <s v="ZOM1520"/>
    <s v="Employee_520_India"/>
    <n v="24"/>
    <x v="2"/>
    <x v="6"/>
    <x v="4"/>
    <x v="9"/>
    <s v="INR"/>
    <n v="28000"/>
    <n v="12"/>
    <n v="336000"/>
    <x v="4"/>
    <x v="0"/>
    <n v="8400"/>
    <n v="95"/>
    <n v="13"/>
    <n v="13"/>
    <s v="Yes"/>
    <x v="1"/>
    <n v="10"/>
    <n v="2500"/>
    <s v="Medium"/>
    <x v="0"/>
    <s v="Day"/>
    <n v="10"/>
  </r>
  <r>
    <s v="ZOM1678"/>
    <s v="Employee_78_Foreign"/>
    <n v="25"/>
    <x v="1"/>
    <x v="10"/>
    <x v="5"/>
    <x v="8"/>
    <s v="USD"/>
    <n v="56000"/>
    <n v="12"/>
    <n v="672000"/>
    <x v="2"/>
    <x v="2"/>
    <s v=""/>
    <n v="95"/>
    <n v="10"/>
    <n v="3"/>
    <m/>
    <x v="2"/>
    <n v="5"/>
    <n v="1500"/>
    <s v="Low"/>
    <x v="0"/>
    <s v="Night"/>
    <n v="20"/>
  </r>
  <r>
    <s v="ZOM1043"/>
    <s v="Employee_43_India"/>
    <n v="23"/>
    <x v="0"/>
    <x v="0"/>
    <x v="4"/>
    <x v="9"/>
    <s v="INR"/>
    <n v="22000"/>
    <n v="12"/>
    <n v="264000"/>
    <x v="12"/>
    <x v="3"/>
    <s v=""/>
    <n v="90"/>
    <n v="5"/>
    <n v="2"/>
    <s v="No"/>
    <x v="0"/>
    <n v="10"/>
    <n v="2500"/>
    <s v="Low"/>
    <x v="0"/>
    <s v="Day"/>
    <n v="10"/>
  </r>
  <r>
    <s v="ZOM1185"/>
    <s v="Employee_185_India"/>
    <n v="23"/>
    <x v="1"/>
    <x v="9"/>
    <x v="4"/>
    <x v="9"/>
    <s v="INR"/>
    <n v="28000"/>
    <n v="12"/>
    <n v="336000"/>
    <x v="4"/>
    <x v="3"/>
    <s v=""/>
    <n v="88"/>
    <n v="13"/>
    <n v="3"/>
    <s v="No"/>
    <x v="0"/>
    <n v="5"/>
    <n v="1250"/>
    <s v="Low"/>
    <x v="0"/>
    <s v="Day"/>
    <n v="10"/>
  </r>
  <r>
    <s v="ZOM1193"/>
    <s v="Employee_193_India"/>
    <n v="25"/>
    <x v="2"/>
    <x v="9"/>
    <x v="4"/>
    <x v="9"/>
    <s v="INR"/>
    <n v="28000"/>
    <n v="12"/>
    <n v="336000"/>
    <x v="4"/>
    <x v="3"/>
    <s v=""/>
    <n v="90"/>
    <n v="13"/>
    <n v="1"/>
    <s v="Yes"/>
    <x v="0"/>
    <n v="10"/>
    <n v="2500"/>
    <s v="Low"/>
    <x v="0"/>
    <s v="Day"/>
    <n v="10"/>
  </r>
  <r>
    <s v="ZOM1349"/>
    <s v="Employee_349_India"/>
    <n v="23"/>
    <x v="0"/>
    <x v="9"/>
    <x v="4"/>
    <x v="9"/>
    <s v="INR"/>
    <n v="21000"/>
    <n v="12"/>
    <n v="252000"/>
    <x v="12"/>
    <x v="3"/>
    <s v=""/>
    <n v="85"/>
    <n v="5"/>
    <n v="5"/>
    <m/>
    <x v="0"/>
    <m/>
    <n v="0"/>
    <s v="Low"/>
    <x v="0"/>
    <s v="Day"/>
    <n v="10"/>
  </r>
  <r>
    <s v="ZOM1243"/>
    <s v="Employee_243_India"/>
    <n v="25"/>
    <x v="0"/>
    <x v="5"/>
    <x v="0"/>
    <x v="9"/>
    <s v="INR"/>
    <n v="28000"/>
    <n v="12"/>
    <n v="336000"/>
    <x v="4"/>
    <x v="5"/>
    <s v=""/>
    <n v="88"/>
    <n v="15"/>
    <n v="3"/>
    <s v="No"/>
    <x v="0"/>
    <n v="10"/>
    <n v="2500"/>
    <s v="TBA"/>
    <x v="0"/>
    <s v="Day"/>
    <n v="12"/>
  </r>
  <r>
    <s v="ZOM1545"/>
    <s v="Employee_545_India"/>
    <n v="24"/>
    <x v="1"/>
    <x v="1"/>
    <x v="1"/>
    <x v="8"/>
    <s v="INR"/>
    <n v="56000"/>
    <n v="12"/>
    <n v="672000"/>
    <x v="2"/>
    <x v="3"/>
    <s v=""/>
    <n v="90"/>
    <n v="10"/>
    <n v="7"/>
    <m/>
    <x v="0"/>
    <n v="5"/>
    <n v="1500"/>
    <s v="Low"/>
    <x v="0"/>
    <s v="Night"/>
    <n v="13"/>
  </r>
  <r>
    <s v="ZOM1326"/>
    <s v="Employee_326_India"/>
    <n v="23"/>
    <x v="0"/>
    <x v="0"/>
    <x v="4"/>
    <x v="9"/>
    <s v="INR"/>
    <n v="20000"/>
    <n v="12"/>
    <n v="240000"/>
    <x v="12"/>
    <x v="2"/>
    <s v=""/>
    <n v="80"/>
    <n v="15"/>
    <n v="2"/>
    <s v="No"/>
    <x v="0"/>
    <n v="5"/>
    <n v="1250"/>
    <s v="Low"/>
    <x v="0"/>
    <s v="Day"/>
    <n v="10"/>
  </r>
  <r>
    <s v="ZOM1343"/>
    <s v="Employee_343_India"/>
    <n v="25"/>
    <x v="1"/>
    <x v="10"/>
    <x v="0"/>
    <x v="9"/>
    <s v="INR"/>
    <n v="28000"/>
    <n v="12"/>
    <n v="336000"/>
    <x v="4"/>
    <x v="0"/>
    <n v="8400"/>
    <n v="85"/>
    <n v="5"/>
    <n v="5"/>
    <m/>
    <x v="0"/>
    <n v="10"/>
    <n v="2500"/>
    <s v="High"/>
    <x v="0"/>
    <s v="Day"/>
    <n v="12"/>
  </r>
  <r>
    <s v="ZOM1502"/>
    <s v="Employee_502_India"/>
    <n v="25"/>
    <x v="0"/>
    <x v="3"/>
    <x v="2"/>
    <x v="9"/>
    <s v="INR"/>
    <n v="28000"/>
    <n v="12"/>
    <n v="336000"/>
    <x v="4"/>
    <x v="2"/>
    <s v=""/>
    <n v="85"/>
    <n v="10"/>
    <n v="3"/>
    <s v="No"/>
    <x v="0"/>
    <n v="20"/>
    <n v="5000"/>
    <s v="Low"/>
    <x v="0"/>
    <s v="Day"/>
    <n v="14"/>
  </r>
  <r>
    <s v="ZOM1018"/>
    <s v="Employee_18_India"/>
    <n v="23"/>
    <x v="1"/>
    <x v="0"/>
    <x v="3"/>
    <x v="9"/>
    <s v="INR"/>
    <n v="28000"/>
    <n v="12"/>
    <n v="336000"/>
    <x v="4"/>
    <x v="3"/>
    <s v=""/>
    <n v="80"/>
    <n v="15"/>
    <n v="5"/>
    <s v="Yes"/>
    <x v="0"/>
    <n v="5"/>
    <n v="1250"/>
    <s v="Low"/>
    <x v="0"/>
    <s v="Day"/>
    <n v="25"/>
  </r>
  <r>
    <s v="ZOM1106"/>
    <s v="Employee_106_India"/>
    <n v="25"/>
    <x v="0"/>
    <x v="3"/>
    <x v="5"/>
    <x v="9"/>
    <s v="INR"/>
    <n v="28000"/>
    <n v="12"/>
    <n v="336000"/>
    <x v="4"/>
    <x v="3"/>
    <s v=""/>
    <n v="90"/>
    <n v="15"/>
    <n v="5"/>
    <m/>
    <x v="2"/>
    <n v="10"/>
    <n v="2500"/>
    <s v="Low"/>
    <x v="0"/>
    <s v="Night"/>
    <n v="20"/>
  </r>
  <r>
    <s v="ZOM1155"/>
    <s v="Employee_155_India"/>
    <n v="24"/>
    <x v="2"/>
    <x v="3"/>
    <x v="0"/>
    <x v="9"/>
    <s v="INR"/>
    <n v="24000"/>
    <n v="12"/>
    <n v="288000"/>
    <x v="12"/>
    <x v="1"/>
    <n v="7200"/>
    <n v="80"/>
    <n v="5"/>
    <n v="8"/>
    <s v="No"/>
    <x v="1"/>
    <n v="5"/>
    <n v="1250"/>
    <s v="Medium"/>
    <x v="0"/>
    <s v="Day"/>
    <n v="12"/>
  </r>
  <r>
    <s v="ZOM1571"/>
    <s v="Employee_571_India"/>
    <n v="23"/>
    <x v="2"/>
    <x v="2"/>
    <x v="2"/>
    <x v="9"/>
    <s v="INR"/>
    <n v="28000"/>
    <n v="12"/>
    <n v="336000"/>
    <x v="4"/>
    <x v="2"/>
    <s v=""/>
    <n v="90"/>
    <n v="15"/>
    <n v="2"/>
    <m/>
    <x v="0"/>
    <m/>
    <n v="0"/>
    <s v="Low"/>
    <x v="0"/>
    <s v="Day"/>
    <n v="14"/>
  </r>
  <r>
    <s v="ZOM1361"/>
    <s v="Employee_361_India"/>
    <n v="24"/>
    <x v="1"/>
    <x v="5"/>
    <x v="5"/>
    <x v="9"/>
    <s v="INR"/>
    <n v="24000"/>
    <n v="12"/>
    <n v="288000"/>
    <x v="12"/>
    <x v="1"/>
    <n v="7200"/>
    <n v="95"/>
    <n v="10"/>
    <n v="3"/>
    <s v="Yes"/>
    <x v="0"/>
    <n v="5"/>
    <n v="1250"/>
    <s v="Medium"/>
    <x v="0"/>
    <s v="Night"/>
    <n v="20"/>
  </r>
  <r>
    <s v="ZOM1375"/>
    <s v="Employee_375_India"/>
    <n v="25"/>
    <x v="2"/>
    <x v="6"/>
    <x v="4"/>
    <x v="9"/>
    <s v="INR"/>
    <n v="28000"/>
    <n v="12"/>
    <n v="336000"/>
    <x v="4"/>
    <x v="4"/>
    <n v="8400"/>
    <n v="95"/>
    <n v="13"/>
    <n v="5"/>
    <s v="Yes"/>
    <x v="1"/>
    <n v="10"/>
    <n v="2500"/>
    <s v="High"/>
    <x v="0"/>
    <s v="Day"/>
    <n v="10"/>
  </r>
  <r>
    <s v="ZOM1600"/>
    <s v="Employee_0_Foreign"/>
    <n v="24"/>
    <x v="0"/>
    <x v="10"/>
    <x v="4"/>
    <x v="9"/>
    <s v="USD"/>
    <n v="21000"/>
    <n v="12"/>
    <n v="252000"/>
    <x v="12"/>
    <x v="2"/>
    <s v=""/>
    <n v="95"/>
    <n v="13"/>
    <n v="3"/>
    <s v="Yes"/>
    <x v="2"/>
    <n v="5"/>
    <n v="1250"/>
    <s v="Low"/>
    <x v="0"/>
    <s v="Day"/>
    <n v="10"/>
  </r>
  <r>
    <s v="ZOM1110"/>
    <s v="Employee_110_India"/>
    <n v="23"/>
    <x v="0"/>
    <x v="5"/>
    <x v="4"/>
    <x v="9"/>
    <s v="INR"/>
    <n v="20000"/>
    <n v="12"/>
    <n v="240000"/>
    <x v="12"/>
    <x v="2"/>
    <s v=""/>
    <n v="90"/>
    <n v="10"/>
    <n v="1"/>
    <s v="No"/>
    <x v="0"/>
    <n v="20"/>
    <n v="5000"/>
    <s v="Low"/>
    <x v="0"/>
    <s v="Day"/>
    <n v="10"/>
  </r>
  <r>
    <s v="ZOM1084"/>
    <s v="Employee_84_India"/>
    <n v="25"/>
    <x v="2"/>
    <x v="7"/>
    <x v="5"/>
    <x v="9"/>
    <s v="INR"/>
    <n v="28000"/>
    <n v="12"/>
    <n v="336000"/>
    <x v="4"/>
    <x v="2"/>
    <s v=""/>
    <n v="85"/>
    <n v="5"/>
    <n v="5"/>
    <s v="Yes"/>
    <x v="0"/>
    <n v="20"/>
    <n v="5000"/>
    <s v="Low"/>
    <x v="0"/>
    <s v="Night"/>
    <n v="20"/>
  </r>
  <r>
    <s v="ZOM1580"/>
    <s v="Employee_580_India"/>
    <n v="25"/>
    <x v="1"/>
    <x v="10"/>
    <x v="3"/>
    <x v="9"/>
    <s v="INR"/>
    <n v="24000"/>
    <n v="12"/>
    <n v="288000"/>
    <x v="12"/>
    <x v="2"/>
    <s v=""/>
    <n v="88"/>
    <n v="10"/>
    <n v="1"/>
    <s v="No"/>
    <x v="0"/>
    <n v="5"/>
    <n v="1250"/>
    <s v="Low"/>
    <x v="0"/>
    <s v="Day"/>
    <n v="25"/>
  </r>
  <r>
    <s v="ZOM1636"/>
    <s v="Employee_36_Foreign"/>
    <n v="24"/>
    <x v="1"/>
    <x v="10"/>
    <x v="0"/>
    <x v="9"/>
    <s v="USD"/>
    <n v="23000"/>
    <n v="12"/>
    <n v="276000"/>
    <x v="4"/>
    <x v="0"/>
    <n v="6900"/>
    <n v="88"/>
    <n v="10"/>
    <n v="5"/>
    <s v="Yes"/>
    <x v="2"/>
    <n v="5"/>
    <n v="1250"/>
    <s v="Medium"/>
    <x v="0"/>
    <s v="Day"/>
    <n v="12"/>
  </r>
  <r>
    <s v="ZOM1485"/>
    <s v="Employee_485_India"/>
    <n v="23"/>
    <x v="2"/>
    <x v="3"/>
    <x v="4"/>
    <x v="9"/>
    <s v="INR"/>
    <n v="23000"/>
    <n v="12"/>
    <n v="276000"/>
    <x v="4"/>
    <x v="3"/>
    <s v=""/>
    <n v="85"/>
    <n v="15"/>
    <n v="2"/>
    <s v="Yes"/>
    <x v="2"/>
    <n v="10"/>
    <n v="2500"/>
    <s v="Low"/>
    <x v="0"/>
    <s v="Day"/>
    <n v="10"/>
  </r>
  <r>
    <s v="ZOM1337"/>
    <s v="Employee_337_India"/>
    <n v="25"/>
    <x v="2"/>
    <x v="8"/>
    <x v="2"/>
    <x v="9"/>
    <s v="INR"/>
    <n v="23000"/>
    <n v="12"/>
    <n v="276000"/>
    <x v="4"/>
    <x v="2"/>
    <s v=""/>
    <n v="80"/>
    <n v="13"/>
    <n v="2"/>
    <s v="No"/>
    <x v="0"/>
    <n v="5"/>
    <n v="1250"/>
    <s v="Low"/>
    <x v="0"/>
    <s v="Day"/>
    <n v="14"/>
  </r>
  <r>
    <s v="ZOM1362"/>
    <s v="Employee_362_India"/>
    <n v="25"/>
    <x v="2"/>
    <x v="5"/>
    <x v="4"/>
    <x v="9"/>
    <s v="INR"/>
    <n v="9700"/>
    <n v="12"/>
    <n v="116400"/>
    <x v="12"/>
    <x v="0"/>
    <n v="2910"/>
    <n v="85"/>
    <n v="13"/>
    <n v="2"/>
    <s v="Yes"/>
    <x v="0"/>
    <m/>
    <n v="0"/>
    <s v="Medium"/>
    <x v="0"/>
    <s v="Day"/>
    <n v="10"/>
  </r>
  <r>
    <s v="ZOM1016"/>
    <s v="Employee_16_India"/>
    <n v="25"/>
    <x v="2"/>
    <x v="2"/>
    <x v="4"/>
    <x v="9"/>
    <s v="INR"/>
    <n v="23000"/>
    <n v="12"/>
    <n v="276000"/>
    <x v="4"/>
    <x v="2"/>
    <s v=""/>
    <n v="85"/>
    <n v="10"/>
    <n v="1"/>
    <s v="No"/>
    <x v="0"/>
    <m/>
    <n v="0"/>
    <s v="Low"/>
    <x v="0"/>
    <s v="Day"/>
    <n v="10"/>
  </r>
  <r>
    <s v="ZOM1622"/>
    <s v="Employee_22_Foreign"/>
    <n v="25"/>
    <x v="0"/>
    <x v="3"/>
    <x v="2"/>
    <x v="9"/>
    <s v="USD"/>
    <n v="24000"/>
    <n v="12"/>
    <n v="288000"/>
    <x v="12"/>
    <x v="3"/>
    <s v=""/>
    <n v="95"/>
    <n v="13"/>
    <n v="2"/>
    <m/>
    <x v="2"/>
    <n v="5"/>
    <n v="1250"/>
    <s v="Low"/>
    <x v="0"/>
    <s v="Day"/>
    <n v="14"/>
  </r>
  <r>
    <s v="ZOM1437"/>
    <s v="Employee_437_India"/>
    <n v="25"/>
    <x v="1"/>
    <x v="1"/>
    <x v="0"/>
    <x v="9"/>
    <s v="INR"/>
    <n v="23000"/>
    <n v="12"/>
    <n v="276000"/>
    <x v="4"/>
    <x v="3"/>
    <s v=""/>
    <n v="85"/>
    <n v="5"/>
    <n v="5"/>
    <s v="No"/>
    <x v="0"/>
    <m/>
    <n v="0"/>
    <s v="Low"/>
    <x v="0"/>
    <s v="Day"/>
    <n v="12"/>
  </r>
  <r>
    <s v="ZOM1319"/>
    <s v="Employee_319_India"/>
    <n v="23"/>
    <x v="0"/>
    <x v="9"/>
    <x v="2"/>
    <x v="9"/>
    <s v="INR"/>
    <n v="23000"/>
    <n v="12"/>
    <n v="276000"/>
    <x v="4"/>
    <x v="3"/>
    <s v=""/>
    <n v="88"/>
    <n v="10"/>
    <n v="5"/>
    <s v="No"/>
    <x v="0"/>
    <n v="5"/>
    <n v="1250"/>
    <s v="Low"/>
    <x v="0"/>
    <s v="Day"/>
    <n v="14"/>
  </r>
  <r>
    <s v="ZOM1518"/>
    <s v="Employee_518_India"/>
    <n v="23"/>
    <x v="0"/>
    <x v="7"/>
    <x v="4"/>
    <x v="9"/>
    <s v="INR"/>
    <n v="19500"/>
    <n v="12"/>
    <n v="234000"/>
    <x v="12"/>
    <x v="5"/>
    <s v=""/>
    <n v="85"/>
    <n v="10"/>
    <n v="8"/>
    <m/>
    <x v="2"/>
    <m/>
    <n v="0"/>
    <s v="TBA"/>
    <x v="0"/>
    <s v="Day"/>
    <n v="10"/>
  </r>
  <r>
    <s v="ZOM1535"/>
    <s v="Employee_535_India"/>
    <n v="26"/>
    <x v="0"/>
    <x v="3"/>
    <x v="2"/>
    <x v="8"/>
    <s v="INR"/>
    <n v="60000"/>
    <n v="12"/>
    <n v="720000"/>
    <x v="3"/>
    <x v="2"/>
    <s v=""/>
    <n v="90"/>
    <n v="5"/>
    <n v="2"/>
    <s v="Yes"/>
    <x v="0"/>
    <n v="5"/>
    <n v="1500"/>
    <s v="Low"/>
    <x v="0"/>
    <s v="Day"/>
    <n v="14"/>
  </r>
  <r>
    <s v="ZOM1321"/>
    <s v="Employee_321_India"/>
    <n v="26"/>
    <x v="2"/>
    <x v="1"/>
    <x v="2"/>
    <x v="1"/>
    <s v="INR"/>
    <n v="78000"/>
    <n v="12"/>
    <n v="936000"/>
    <x v="1"/>
    <x v="2"/>
    <s v=""/>
    <n v="95"/>
    <n v="15"/>
    <n v="3"/>
    <s v="Yes"/>
    <x v="1"/>
    <m/>
    <n v="0"/>
    <s v="Low"/>
    <x v="0"/>
    <s v="Day"/>
    <n v="14"/>
  </r>
  <r>
    <s v="ZOM1208"/>
    <s v="Employee_208_India"/>
    <n v="23"/>
    <x v="0"/>
    <x v="5"/>
    <x v="2"/>
    <x v="9"/>
    <s v="INR"/>
    <n v="24000"/>
    <n v="12"/>
    <n v="288000"/>
    <x v="12"/>
    <x v="2"/>
    <s v=""/>
    <n v="80"/>
    <n v="10"/>
    <n v="2"/>
    <s v="No"/>
    <x v="0"/>
    <n v="5"/>
    <n v="1250"/>
    <s v="Low"/>
    <x v="0"/>
    <s v="Day"/>
    <n v="14"/>
  </r>
  <r>
    <s v="ZOM1251"/>
    <s v="Employee_251_India"/>
    <n v="28"/>
    <x v="0"/>
    <x v="7"/>
    <x v="3"/>
    <x v="8"/>
    <s v="INR"/>
    <n v="69000"/>
    <n v="12"/>
    <n v="828000"/>
    <x v="10"/>
    <x v="3"/>
    <s v=""/>
    <n v="90"/>
    <n v="5"/>
    <n v="3"/>
    <m/>
    <x v="0"/>
    <n v="20"/>
    <n v="6000"/>
    <s v="Low"/>
    <x v="0"/>
    <s v="Day"/>
    <n v="25"/>
  </r>
  <r>
    <s v="ZOM1378"/>
    <s v="Employee_378_India"/>
    <n v="25"/>
    <x v="2"/>
    <x v="2"/>
    <x v="2"/>
    <x v="9"/>
    <s v="INR"/>
    <n v="24000"/>
    <n v="12"/>
    <n v="288000"/>
    <x v="12"/>
    <x v="0"/>
    <n v="7200"/>
    <n v="95"/>
    <n v="13"/>
    <n v="5"/>
    <s v="No"/>
    <x v="2"/>
    <m/>
    <n v="0"/>
    <s v="High"/>
    <x v="0"/>
    <s v="Day"/>
    <n v="14"/>
  </r>
  <r>
    <s v="ZOM1167"/>
    <s v="Employee_167_India"/>
    <n v="24"/>
    <x v="2"/>
    <x v="1"/>
    <x v="0"/>
    <x v="9"/>
    <s v="INR"/>
    <n v="28000"/>
    <n v="12"/>
    <n v="336000"/>
    <x v="4"/>
    <x v="1"/>
    <n v="8400"/>
    <n v="95"/>
    <n v="5"/>
    <n v="6"/>
    <s v="Yes"/>
    <x v="0"/>
    <m/>
    <n v="0"/>
    <s v="Medium"/>
    <x v="0"/>
    <s v="Day"/>
    <n v="12"/>
  </r>
  <r>
    <s v="ZOM1062"/>
    <s v="Employee_62_India"/>
    <n v="25"/>
    <x v="0"/>
    <x v="3"/>
    <x v="3"/>
    <x v="9"/>
    <s v="INR"/>
    <n v="24000"/>
    <n v="12"/>
    <n v="288000"/>
    <x v="12"/>
    <x v="0"/>
    <n v="7200"/>
    <n v="90"/>
    <n v="15"/>
    <n v="11"/>
    <m/>
    <x v="0"/>
    <m/>
    <n v="0"/>
    <s v="Medium"/>
    <x v="0"/>
    <s v="Day"/>
    <n v="25"/>
  </r>
  <r>
    <s v="ZOM1607"/>
    <s v="Employee_7_Foreign"/>
    <n v="24"/>
    <x v="0"/>
    <x v="0"/>
    <x v="5"/>
    <x v="9"/>
    <s v="USD"/>
    <n v="28000"/>
    <n v="12"/>
    <n v="336000"/>
    <x v="4"/>
    <x v="3"/>
    <s v=""/>
    <n v="85"/>
    <n v="10"/>
    <n v="5"/>
    <m/>
    <x v="2"/>
    <m/>
    <n v="0"/>
    <s v="Low"/>
    <x v="0"/>
    <s v="Night"/>
    <n v="20"/>
  </r>
  <r>
    <s v="ZOM1089"/>
    <s v="Employee_89_India"/>
    <n v="30"/>
    <x v="2"/>
    <x v="9"/>
    <x v="2"/>
    <x v="1"/>
    <s v="INR"/>
    <n v="78000"/>
    <n v="12"/>
    <n v="936000"/>
    <x v="10"/>
    <x v="4"/>
    <n v="23400"/>
    <n v="90"/>
    <n v="15"/>
    <n v="1"/>
    <m/>
    <x v="0"/>
    <n v="20"/>
    <n v="6000"/>
    <s v="High"/>
    <x v="0"/>
    <s v="Day"/>
    <n v="14"/>
  </r>
  <r>
    <s v="ZOM1640"/>
    <s v="Employee_40_Foreign"/>
    <n v="24"/>
    <x v="2"/>
    <x v="10"/>
    <x v="2"/>
    <x v="9"/>
    <s v="USD"/>
    <n v="28000"/>
    <n v="12"/>
    <n v="336000"/>
    <x v="4"/>
    <x v="1"/>
    <n v="8400"/>
    <n v="80"/>
    <n v="15"/>
    <n v="3"/>
    <m/>
    <x v="2"/>
    <n v="20"/>
    <n v="5000"/>
    <s v="Medium"/>
    <x v="0"/>
    <s v="Day"/>
    <n v="14"/>
  </r>
  <r>
    <s v="ZOM1414"/>
    <s v="Employee_414_India"/>
    <n v="23"/>
    <x v="2"/>
    <x v="2"/>
    <x v="4"/>
    <x v="9"/>
    <s v="INR"/>
    <n v="28000"/>
    <n v="12"/>
    <n v="336000"/>
    <x v="4"/>
    <x v="3"/>
    <s v=""/>
    <n v="85"/>
    <n v="15"/>
    <n v="2"/>
    <s v="Yes"/>
    <x v="0"/>
    <n v="10"/>
    <n v="2500"/>
    <s v="Low"/>
    <x v="0"/>
    <s v="Day"/>
    <n v="10"/>
  </r>
  <r>
    <s v="ZOM1475"/>
    <s v="Employee_475_India"/>
    <n v="23"/>
    <x v="2"/>
    <x v="6"/>
    <x v="2"/>
    <x v="9"/>
    <s v="INR"/>
    <n v="24000"/>
    <n v="12"/>
    <n v="288000"/>
    <x v="12"/>
    <x v="0"/>
    <n v="7200"/>
    <n v="95"/>
    <n v="13"/>
    <n v="5"/>
    <m/>
    <x v="0"/>
    <n v="20"/>
    <n v="5000"/>
    <s v="High"/>
    <x v="0"/>
    <s v="Day"/>
    <n v="14"/>
  </r>
  <r>
    <s v="ZOM1511"/>
    <s v="Employee_511_India"/>
    <n v="27"/>
    <x v="0"/>
    <x v="1"/>
    <x v="1"/>
    <x v="1"/>
    <s v="INR"/>
    <n v="82000"/>
    <n v="12"/>
    <n v="984000"/>
    <x v="8"/>
    <x v="2"/>
    <s v=""/>
    <n v="85"/>
    <n v="15"/>
    <n v="5"/>
    <s v="Yes"/>
    <x v="2"/>
    <m/>
    <n v="0"/>
    <s v="Low"/>
    <x v="0"/>
    <s v="Night"/>
    <n v="13"/>
  </r>
  <r>
    <s v="ZOM1521"/>
    <s v="Employee_521_India"/>
    <n v="24"/>
    <x v="2"/>
    <x v="7"/>
    <x v="2"/>
    <x v="9"/>
    <s v="INR"/>
    <n v="25000"/>
    <n v="12"/>
    <n v="300000"/>
    <x v="12"/>
    <x v="3"/>
    <s v=""/>
    <n v="85"/>
    <n v="15"/>
    <n v="9"/>
    <m/>
    <x v="0"/>
    <n v="10"/>
    <n v="2500"/>
    <s v="Low"/>
    <x v="0"/>
    <s v="Day"/>
    <n v="14"/>
  </r>
  <r>
    <s v="ZOM1130"/>
    <s v="Employee_130_India"/>
    <n v="24"/>
    <x v="0"/>
    <x v="6"/>
    <x v="2"/>
    <x v="9"/>
    <s v="INR"/>
    <n v="24000"/>
    <n v="12"/>
    <n v="288000"/>
    <x v="12"/>
    <x v="0"/>
    <n v="7200"/>
    <n v="95"/>
    <n v="15"/>
    <n v="3"/>
    <s v="No"/>
    <x v="0"/>
    <m/>
    <n v="0"/>
    <s v="High"/>
    <x v="0"/>
    <s v="Day"/>
    <n v="14"/>
  </r>
  <r>
    <s v="ZOM1568"/>
    <s v="Employee_568_India"/>
    <n v="24"/>
    <x v="0"/>
    <x v="7"/>
    <x v="1"/>
    <x v="9"/>
    <s v="INR"/>
    <n v="24000"/>
    <n v="12"/>
    <n v="288000"/>
    <x v="12"/>
    <x v="3"/>
    <s v=""/>
    <n v="85"/>
    <n v="10"/>
    <n v="5"/>
    <s v="No"/>
    <x v="0"/>
    <n v="5"/>
    <n v="1250"/>
    <s v="Low"/>
    <x v="0"/>
    <s v="Night"/>
    <n v="13"/>
  </r>
  <r>
    <s v="ZOM1473"/>
    <s v="Employee_473_India"/>
    <n v="23"/>
    <x v="1"/>
    <x v="5"/>
    <x v="5"/>
    <x v="9"/>
    <s v="INR"/>
    <n v="24000"/>
    <n v="12"/>
    <n v="288000"/>
    <x v="12"/>
    <x v="3"/>
    <s v=""/>
    <n v="80"/>
    <n v="13"/>
    <n v="5"/>
    <s v="No"/>
    <x v="1"/>
    <n v="20"/>
    <n v="5000"/>
    <s v="Low"/>
    <x v="0"/>
    <s v="Night"/>
    <n v="20"/>
  </r>
  <r>
    <s v="ZOM1619"/>
    <s v="Employee_19_Foreign"/>
    <n v="24"/>
    <x v="0"/>
    <x v="8"/>
    <x v="2"/>
    <x v="1"/>
    <s v="USD"/>
    <n v="81000"/>
    <n v="12"/>
    <n v="972000"/>
    <x v="8"/>
    <x v="4"/>
    <n v="24300"/>
    <n v="85"/>
    <n v="13"/>
    <n v="1"/>
    <s v="Yes"/>
    <x v="2"/>
    <n v="20"/>
    <n v="6000"/>
    <s v="High"/>
    <x v="0"/>
    <s v="Day"/>
    <n v="14"/>
  </r>
  <r>
    <s v="ZOM1180"/>
    <s v="Employee_180_India"/>
    <n v="23"/>
    <x v="2"/>
    <x v="10"/>
    <x v="5"/>
    <x v="9"/>
    <s v="INR"/>
    <n v="29000"/>
    <n v="12"/>
    <n v="348000"/>
    <x v="4"/>
    <x v="4"/>
    <n v="8700"/>
    <n v="95"/>
    <n v="10"/>
    <n v="2"/>
    <m/>
    <x v="0"/>
    <m/>
    <n v="0"/>
    <s v="High"/>
    <x v="0"/>
    <s v="Night"/>
    <n v="20"/>
  </r>
  <r>
    <s v="ZOM1665"/>
    <s v="Employee_65_Foreign"/>
    <n v="24"/>
    <x v="0"/>
    <x v="10"/>
    <x v="2"/>
    <x v="9"/>
    <s v="USD"/>
    <n v="29000"/>
    <n v="12"/>
    <n v="348000"/>
    <x v="4"/>
    <x v="0"/>
    <n v="8700"/>
    <n v="90"/>
    <n v="15"/>
    <n v="3"/>
    <s v="No"/>
    <x v="2"/>
    <n v="5"/>
    <n v="1250"/>
    <s v="Medium"/>
    <x v="0"/>
    <s v="Day"/>
    <n v="14"/>
  </r>
  <r>
    <s v="ZOM1614"/>
    <s v="Employee_14_Foreign"/>
    <n v="25"/>
    <x v="2"/>
    <x v="9"/>
    <x v="1"/>
    <x v="9"/>
    <s v="USD"/>
    <n v="29000"/>
    <n v="12"/>
    <n v="348000"/>
    <x v="4"/>
    <x v="1"/>
    <n v="8700"/>
    <n v="95"/>
    <n v="13"/>
    <n v="3"/>
    <m/>
    <x v="2"/>
    <n v="5"/>
    <n v="1250"/>
    <s v="Medium"/>
    <x v="0"/>
    <s v="Night"/>
    <n v="13"/>
  </r>
  <r>
    <s v="ZOM1097"/>
    <s v="Employee_97_India"/>
    <n v="25"/>
    <x v="2"/>
    <x v="8"/>
    <x v="4"/>
    <x v="9"/>
    <s v="INR"/>
    <n v="29000"/>
    <n v="12"/>
    <n v="348000"/>
    <x v="4"/>
    <x v="1"/>
    <n v="8700"/>
    <n v="80"/>
    <n v="13"/>
    <n v="10"/>
    <m/>
    <x v="0"/>
    <n v="10"/>
    <n v="2500"/>
    <s v="Medium"/>
    <x v="0"/>
    <s v="Day"/>
    <n v="10"/>
  </r>
  <r>
    <s v="ZOM1401"/>
    <s v="Employee_401_India"/>
    <n v="23"/>
    <x v="2"/>
    <x v="8"/>
    <x v="5"/>
    <x v="9"/>
    <s v="INR"/>
    <n v="24000"/>
    <n v="12"/>
    <n v="288000"/>
    <x v="12"/>
    <x v="1"/>
    <n v="7200"/>
    <n v="85"/>
    <n v="5"/>
    <n v="5"/>
    <s v="Yes"/>
    <x v="0"/>
    <m/>
    <n v="0"/>
    <s v="Medium"/>
    <x v="0"/>
    <s v="Night"/>
    <n v="20"/>
  </r>
  <r>
    <s v="ZOM1345"/>
    <s v="Employee_345_India"/>
    <n v="38"/>
    <x v="1"/>
    <x v="1"/>
    <x v="4"/>
    <x v="3"/>
    <s v="INR"/>
    <n v="90000"/>
    <n v="12"/>
    <n v="1080000"/>
    <x v="6"/>
    <x v="5"/>
    <s v=""/>
    <n v="80"/>
    <n v="13"/>
    <n v="3"/>
    <m/>
    <x v="2"/>
    <n v="5"/>
    <n v="1750"/>
    <s v="TBA"/>
    <x v="0"/>
    <s v="Day"/>
    <n v="10"/>
  </r>
  <r>
    <s v="ZOM1563"/>
    <s v="Employee_563_India"/>
    <n v="30"/>
    <x v="0"/>
    <x v="1"/>
    <x v="1"/>
    <x v="4"/>
    <s v="INR"/>
    <n v="84000"/>
    <n v="12"/>
    <n v="1008000"/>
    <x v="1"/>
    <x v="1"/>
    <n v="25200"/>
    <n v="90"/>
    <n v="10"/>
    <n v="5"/>
    <m/>
    <x v="0"/>
    <n v="10"/>
    <n v="3500"/>
    <s v="Medium"/>
    <x v="0"/>
    <s v="Night"/>
    <n v="13"/>
  </r>
  <r>
    <s v="ZOM1295"/>
    <s v="Employee_295_India"/>
    <n v="25"/>
    <x v="2"/>
    <x v="9"/>
    <x v="1"/>
    <x v="1"/>
    <s v="INR"/>
    <n v="78000"/>
    <n v="12"/>
    <n v="936000"/>
    <x v="10"/>
    <x v="0"/>
    <n v="23400"/>
    <n v="80"/>
    <n v="5"/>
    <n v="2"/>
    <s v="No"/>
    <x v="1"/>
    <m/>
    <n v="0"/>
    <s v="High"/>
    <x v="0"/>
    <s v="Night"/>
    <n v="13"/>
  </r>
  <r>
    <s v="ZOM1050"/>
    <s v="Employee_50_India"/>
    <n v="24"/>
    <x v="0"/>
    <x v="7"/>
    <x v="1"/>
    <x v="9"/>
    <s v="INR"/>
    <n v="24000"/>
    <n v="12"/>
    <n v="288000"/>
    <x v="12"/>
    <x v="1"/>
    <n v="7200"/>
    <n v="95"/>
    <n v="5"/>
    <n v="1"/>
    <s v="Yes"/>
    <x v="0"/>
    <n v="10"/>
    <n v="2500"/>
    <s v="Medium"/>
    <x v="0"/>
    <s v="Night"/>
    <n v="13"/>
  </r>
  <r>
    <s v="ZOM1262"/>
    <s v="Employee_262_India"/>
    <n v="23"/>
    <x v="0"/>
    <x v="8"/>
    <x v="5"/>
    <x v="9"/>
    <s v="INR"/>
    <n v="27000"/>
    <n v="12"/>
    <n v="324000"/>
    <x v="4"/>
    <x v="4"/>
    <n v="8100"/>
    <n v="80"/>
    <n v="5"/>
    <n v="3"/>
    <s v="Yes"/>
    <x v="0"/>
    <n v="10"/>
    <n v="2500"/>
    <s v="High"/>
    <x v="0"/>
    <s v="Night"/>
    <n v="20"/>
  </r>
  <r>
    <s v="ZOM1120"/>
    <s v="Employee_120_India"/>
    <n v="25"/>
    <x v="0"/>
    <x v="5"/>
    <x v="1"/>
    <x v="9"/>
    <s v="INR"/>
    <n v="24000"/>
    <n v="12"/>
    <n v="288000"/>
    <x v="12"/>
    <x v="3"/>
    <s v=""/>
    <n v="90"/>
    <n v="5"/>
    <n v="2"/>
    <m/>
    <x v="0"/>
    <n v="20"/>
    <n v="5000"/>
    <s v="Low"/>
    <x v="0"/>
    <s v="Night"/>
    <n v="13"/>
  </r>
  <r>
    <s v="ZOM1292"/>
    <s v="Employee_292_India"/>
    <n v="40"/>
    <x v="0"/>
    <x v="0"/>
    <x v="2"/>
    <x v="1"/>
    <s v="INR"/>
    <n v="75000"/>
    <n v="12"/>
    <n v="900000"/>
    <x v="10"/>
    <x v="3"/>
    <s v=""/>
    <n v="90"/>
    <n v="5"/>
    <n v="13"/>
    <m/>
    <x v="1"/>
    <n v="10"/>
    <n v="3000"/>
    <s v="Low"/>
    <x v="0"/>
    <s v="Day"/>
    <n v="14"/>
  </r>
  <r>
    <s v="ZOM1578"/>
    <s v="Employee_578_India"/>
    <n v="32"/>
    <x v="0"/>
    <x v="7"/>
    <x v="3"/>
    <x v="4"/>
    <s v="INR"/>
    <n v="83000"/>
    <n v="12"/>
    <n v="996000"/>
    <x v="1"/>
    <x v="2"/>
    <s v=""/>
    <n v="90"/>
    <n v="10"/>
    <n v="3"/>
    <s v="No"/>
    <x v="0"/>
    <m/>
    <n v="0"/>
    <s v="Low"/>
    <x v="0"/>
    <s v="Day"/>
    <n v="25"/>
  </r>
  <r>
    <s v="ZOM1368"/>
    <s v="Employee_368_India"/>
    <n v="23"/>
    <x v="2"/>
    <x v="9"/>
    <x v="2"/>
    <x v="9"/>
    <s v="INR"/>
    <n v="27000"/>
    <n v="12"/>
    <n v="324000"/>
    <x v="4"/>
    <x v="0"/>
    <n v="8100"/>
    <n v="90"/>
    <n v="10"/>
    <n v="5"/>
    <m/>
    <x v="0"/>
    <n v="5"/>
    <n v="1250"/>
    <s v="Medium"/>
    <x v="0"/>
    <s v="Day"/>
    <n v="14"/>
  </r>
  <r>
    <s v="ZOM1650"/>
    <s v="Employee_50_Foreign"/>
    <n v="32"/>
    <x v="2"/>
    <x v="2"/>
    <x v="4"/>
    <x v="4"/>
    <s v="USD"/>
    <n v="84000"/>
    <n v="12"/>
    <n v="1008000"/>
    <x v="1"/>
    <x v="0"/>
    <n v="25200"/>
    <n v="88"/>
    <n v="10"/>
    <n v="5"/>
    <s v="Yes"/>
    <x v="2"/>
    <n v="20"/>
    <n v="7000"/>
    <s v="High"/>
    <x v="0"/>
    <s v="Day"/>
    <n v="10"/>
  </r>
  <r>
    <s v="ZOM1478"/>
    <s v="Employee_478_India"/>
    <n v="23"/>
    <x v="2"/>
    <x v="10"/>
    <x v="0"/>
    <x v="9"/>
    <s v="INR"/>
    <n v="27000"/>
    <n v="12"/>
    <n v="324000"/>
    <x v="4"/>
    <x v="2"/>
    <s v=""/>
    <n v="88"/>
    <n v="15"/>
    <n v="5"/>
    <m/>
    <x v="0"/>
    <n v="5"/>
    <n v="1250"/>
    <s v="Low"/>
    <x v="0"/>
    <s v="Day"/>
    <n v="12"/>
  </r>
  <r>
    <s v="ZOM1389"/>
    <s v="Employee_389_India"/>
    <n v="23"/>
    <x v="2"/>
    <x v="1"/>
    <x v="0"/>
    <x v="9"/>
    <s v="INR"/>
    <n v="27000"/>
    <n v="12"/>
    <n v="324000"/>
    <x v="4"/>
    <x v="2"/>
    <s v=""/>
    <n v="80"/>
    <n v="10"/>
    <n v="3"/>
    <s v="No"/>
    <x v="0"/>
    <m/>
    <n v="0"/>
    <s v="Low"/>
    <x v="0"/>
    <s v="Day"/>
    <n v="12"/>
  </r>
  <r>
    <s v="ZOM1546"/>
    <s v="Employee_546_India"/>
    <n v="25"/>
    <x v="2"/>
    <x v="3"/>
    <x v="3"/>
    <x v="9"/>
    <s v="INR"/>
    <n v="24000"/>
    <n v="12"/>
    <n v="288000"/>
    <x v="12"/>
    <x v="2"/>
    <s v=""/>
    <n v="80"/>
    <n v="13"/>
    <n v="1"/>
    <m/>
    <x v="0"/>
    <n v="10"/>
    <n v="2500"/>
    <s v="Low"/>
    <x v="0"/>
    <s v="Day"/>
    <n v="25"/>
  </r>
  <r>
    <s v="ZOM1074"/>
    <s v="Employee_74_India"/>
    <n v="23"/>
    <x v="2"/>
    <x v="3"/>
    <x v="4"/>
    <x v="9"/>
    <s v="INR"/>
    <n v="22000"/>
    <n v="12"/>
    <n v="264000"/>
    <x v="12"/>
    <x v="3"/>
    <s v=""/>
    <n v="80"/>
    <n v="10"/>
    <n v="5"/>
    <m/>
    <x v="0"/>
    <n v="10"/>
    <n v="2500"/>
    <s v="Low"/>
    <x v="0"/>
    <s v="Day"/>
    <n v="10"/>
  </r>
  <r>
    <s v="ZOM1186"/>
    <s v="Employee_186_India"/>
    <n v="23"/>
    <x v="2"/>
    <x v="1"/>
    <x v="4"/>
    <x v="9"/>
    <s v="INR"/>
    <n v="27000"/>
    <n v="12"/>
    <n v="324000"/>
    <x v="4"/>
    <x v="3"/>
    <s v=""/>
    <n v="85"/>
    <n v="13"/>
    <n v="3"/>
    <m/>
    <x v="0"/>
    <m/>
    <n v="0"/>
    <s v="Low"/>
    <x v="0"/>
    <s v="Day"/>
    <n v="10"/>
  </r>
  <r>
    <s v="ZOM1252"/>
    <s v="Employee_252_India"/>
    <n v="27"/>
    <x v="2"/>
    <x v="5"/>
    <x v="3"/>
    <x v="8"/>
    <s v="INR"/>
    <n v="65000"/>
    <n v="12"/>
    <n v="780000"/>
    <x v="10"/>
    <x v="1"/>
    <n v="19500"/>
    <n v="85"/>
    <n v="13"/>
    <n v="5"/>
    <s v="Yes"/>
    <x v="2"/>
    <n v="10"/>
    <n v="3000"/>
    <s v="Medium"/>
    <x v="0"/>
    <s v="Day"/>
    <n v="25"/>
  </r>
  <r>
    <s v="ZOM1432"/>
    <s v="Employee_432_India"/>
    <n v="23"/>
    <x v="0"/>
    <x v="0"/>
    <x v="4"/>
    <x v="9"/>
    <s v="INR"/>
    <n v="27000"/>
    <n v="12"/>
    <n v="324000"/>
    <x v="4"/>
    <x v="4"/>
    <n v="8100"/>
    <n v="80"/>
    <n v="13"/>
    <n v="1"/>
    <m/>
    <x v="0"/>
    <m/>
    <n v="0"/>
    <s v="High"/>
    <x v="0"/>
    <s v="Day"/>
    <n v="10"/>
  </r>
  <r>
    <s v="ZOM1514"/>
    <s v="Employee_514_India"/>
    <n v="25"/>
    <x v="2"/>
    <x v="7"/>
    <x v="2"/>
    <x v="9"/>
    <s v="INR"/>
    <n v="27000"/>
    <n v="12"/>
    <n v="324000"/>
    <x v="4"/>
    <x v="3"/>
    <s v=""/>
    <n v="80"/>
    <n v="5"/>
    <n v="3"/>
    <s v="Yes"/>
    <x v="0"/>
    <n v="5"/>
    <n v="1250"/>
    <s v="Low"/>
    <x v="0"/>
    <s v="Day"/>
    <n v="14"/>
  </r>
  <r>
    <s v="ZOM1461"/>
    <s v="Employee_461_India"/>
    <n v="24"/>
    <x v="1"/>
    <x v="1"/>
    <x v="3"/>
    <x v="9"/>
    <s v="INR"/>
    <n v="27000"/>
    <n v="12"/>
    <n v="324000"/>
    <x v="4"/>
    <x v="0"/>
    <n v="8100"/>
    <n v="88"/>
    <n v="13"/>
    <n v="3"/>
    <s v="Yes"/>
    <x v="0"/>
    <n v="5"/>
    <n v="1250"/>
    <s v="Medium"/>
    <x v="0"/>
    <s v="Day"/>
    <n v="25"/>
  </r>
  <r>
    <s v="ZOM1011"/>
    <s v="Employee_11_India"/>
    <n v="24"/>
    <x v="0"/>
    <x v="6"/>
    <x v="5"/>
    <x v="8"/>
    <s v="INR"/>
    <n v="70000"/>
    <n v="12"/>
    <n v="840000"/>
    <x v="10"/>
    <x v="0"/>
    <n v="21000"/>
    <n v="90"/>
    <n v="13"/>
    <n v="3"/>
    <s v="No"/>
    <x v="0"/>
    <n v="5"/>
    <n v="1500"/>
    <s v="High"/>
    <x v="0"/>
    <s v="Night"/>
    <n v="20"/>
  </r>
  <r>
    <s v="ZOM1209"/>
    <s v="Employee_209_India"/>
    <n v="23"/>
    <x v="2"/>
    <x v="9"/>
    <x v="4"/>
    <x v="9"/>
    <s v="INR"/>
    <n v="23000"/>
    <n v="12"/>
    <n v="276000"/>
    <x v="12"/>
    <x v="0"/>
    <n v="6900"/>
    <n v="85"/>
    <n v="15"/>
    <n v="3"/>
    <s v="No"/>
    <x v="0"/>
    <m/>
    <n v="0"/>
    <s v="Medium"/>
    <x v="0"/>
    <s v="Day"/>
    <n v="10"/>
  </r>
  <r>
    <s v="ZOM1642"/>
    <s v="Employee_42_Foreign"/>
    <n v="27"/>
    <x v="0"/>
    <x v="0"/>
    <x v="2"/>
    <x v="1"/>
    <s v="USD"/>
    <n v="71000"/>
    <n v="12"/>
    <n v="852000"/>
    <x v="8"/>
    <x v="0"/>
    <n v="21300"/>
    <n v="95"/>
    <n v="15"/>
    <n v="1"/>
    <m/>
    <x v="2"/>
    <n v="10"/>
    <n v="3000"/>
    <s v="Medium"/>
    <x v="0"/>
    <s v="Day"/>
    <n v="14"/>
  </r>
  <r>
    <s v="ZOM1653"/>
    <s v="Employee_53_Foreign"/>
    <n v="24"/>
    <x v="2"/>
    <x v="3"/>
    <x v="3"/>
    <x v="9"/>
    <s v="USD"/>
    <n v="27000"/>
    <n v="12"/>
    <n v="324000"/>
    <x v="4"/>
    <x v="1"/>
    <n v="8100"/>
    <n v="88"/>
    <n v="15"/>
    <n v="7"/>
    <s v="No"/>
    <x v="2"/>
    <m/>
    <n v="0"/>
    <s v="Medium"/>
    <x v="0"/>
    <s v="Day"/>
    <n v="25"/>
  </r>
  <r>
    <s v="ZOM1261"/>
    <s v="Employee_261_India"/>
    <n v="23"/>
    <x v="0"/>
    <x v="9"/>
    <x v="3"/>
    <x v="9"/>
    <s v="INR"/>
    <n v="26000"/>
    <n v="12"/>
    <n v="312000"/>
    <x v="4"/>
    <x v="3"/>
    <s v=""/>
    <n v="80"/>
    <n v="15"/>
    <n v="5"/>
    <s v="Yes"/>
    <x v="0"/>
    <n v="5"/>
    <n v="1250"/>
    <s v="Low"/>
    <x v="0"/>
    <s v="Day"/>
    <n v="25"/>
  </r>
  <r>
    <s v="ZOM1179"/>
    <s v="Employee_179_India"/>
    <n v="25"/>
    <x v="0"/>
    <x v="5"/>
    <x v="1"/>
    <x v="9"/>
    <s v="INR"/>
    <n v="26000"/>
    <n v="12"/>
    <n v="312000"/>
    <x v="4"/>
    <x v="3"/>
    <s v=""/>
    <n v="95"/>
    <n v="13"/>
    <n v="3"/>
    <m/>
    <x v="0"/>
    <n v="5"/>
    <n v="1250"/>
    <s v="Low"/>
    <x v="0"/>
    <s v="Night"/>
    <n v="13"/>
  </r>
  <r>
    <s v="ZOM1513"/>
    <s v="Employee_513_India"/>
    <n v="31"/>
    <x v="1"/>
    <x v="10"/>
    <x v="5"/>
    <x v="4"/>
    <s v="INR"/>
    <n v="84000"/>
    <n v="12"/>
    <n v="1008000"/>
    <x v="13"/>
    <x v="0"/>
    <n v="25200"/>
    <n v="80"/>
    <n v="15"/>
    <n v="2"/>
    <s v="Yes"/>
    <x v="0"/>
    <n v="10"/>
    <n v="3500"/>
    <s v="Medium"/>
    <x v="0"/>
    <s v="Night"/>
    <n v="20"/>
  </r>
  <r>
    <s v="ZOM1312"/>
    <s v="Employee_312_India"/>
    <n v="25"/>
    <x v="2"/>
    <x v="1"/>
    <x v="2"/>
    <x v="9"/>
    <s v="INR"/>
    <n v="27500"/>
    <n v="12"/>
    <n v="330000"/>
    <x v="4"/>
    <x v="2"/>
    <s v=""/>
    <n v="90"/>
    <n v="15"/>
    <n v="2"/>
    <s v="Yes"/>
    <x v="0"/>
    <n v="20"/>
    <n v="5000"/>
    <s v="Low"/>
    <x v="0"/>
    <s v="Day"/>
    <n v="14"/>
  </r>
  <r>
    <s v="ZOM1440"/>
    <s v="Employee_440_India"/>
    <n v="24"/>
    <x v="0"/>
    <x v="3"/>
    <x v="1"/>
    <x v="9"/>
    <s v="INR"/>
    <n v="24000"/>
    <n v="12"/>
    <n v="288000"/>
    <x v="12"/>
    <x v="3"/>
    <s v=""/>
    <n v="90"/>
    <n v="5"/>
    <n v="3"/>
    <s v="Yes"/>
    <x v="1"/>
    <n v="20"/>
    <n v="5000"/>
    <s v="Low"/>
    <x v="0"/>
    <s v="Night"/>
    <n v="13"/>
  </r>
  <r>
    <s v="ZOM1376"/>
    <s v="Employee_376_India"/>
    <n v="27"/>
    <x v="0"/>
    <x v="2"/>
    <x v="5"/>
    <x v="8"/>
    <s v="INR"/>
    <n v="56000"/>
    <n v="12"/>
    <n v="672000"/>
    <x v="2"/>
    <x v="1"/>
    <n v="16800"/>
    <n v="90"/>
    <n v="15"/>
    <n v="5"/>
    <s v="Yes"/>
    <x v="2"/>
    <n v="10"/>
    <n v="3000"/>
    <s v="Medium"/>
    <x v="0"/>
    <s v="Night"/>
    <n v="20"/>
  </r>
  <r>
    <s v="ZOM1288"/>
    <s v="Employee_288_India"/>
    <n v="23"/>
    <x v="1"/>
    <x v="3"/>
    <x v="0"/>
    <x v="9"/>
    <s v="INR"/>
    <n v="27500"/>
    <n v="12"/>
    <n v="330000"/>
    <x v="4"/>
    <x v="3"/>
    <s v=""/>
    <n v="80"/>
    <n v="5"/>
    <n v="5"/>
    <s v="No"/>
    <x v="0"/>
    <m/>
    <n v="0"/>
    <s v="Low"/>
    <x v="0"/>
    <s v="Day"/>
    <n v="12"/>
  </r>
  <r>
    <s v="ZOM1056"/>
    <s v="Employee_56_India"/>
    <n v="24"/>
    <x v="0"/>
    <x v="3"/>
    <x v="5"/>
    <x v="9"/>
    <s v="INR"/>
    <n v="24000"/>
    <n v="12"/>
    <n v="288000"/>
    <x v="12"/>
    <x v="1"/>
    <n v="7200"/>
    <n v="85"/>
    <n v="5"/>
    <n v="2"/>
    <m/>
    <x v="1"/>
    <m/>
    <n v="0"/>
    <s v="Medium"/>
    <x v="0"/>
    <s v="Night"/>
    <n v="20"/>
  </r>
  <r>
    <s v="ZOM1500"/>
    <s v="Employee_500_India"/>
    <n v="32"/>
    <x v="1"/>
    <x v="0"/>
    <x v="2"/>
    <x v="4"/>
    <s v="INR"/>
    <n v="84000"/>
    <n v="12"/>
    <n v="1008000"/>
    <x v="1"/>
    <x v="4"/>
    <n v="25200"/>
    <n v="88"/>
    <n v="13"/>
    <n v="5"/>
    <s v="No"/>
    <x v="0"/>
    <m/>
    <n v="0"/>
    <s v="High"/>
    <x v="0"/>
    <s v="Day"/>
    <n v="14"/>
  </r>
  <r>
    <s v="ZOM1425"/>
    <s v="Employee_425_India"/>
    <n v="29"/>
    <x v="2"/>
    <x v="9"/>
    <x v="1"/>
    <x v="1"/>
    <s v="INR"/>
    <n v="78000"/>
    <n v="12"/>
    <n v="936000"/>
    <x v="1"/>
    <x v="0"/>
    <n v="23400"/>
    <n v="85"/>
    <n v="13"/>
    <n v="5"/>
    <s v="Yes"/>
    <x v="0"/>
    <n v="5"/>
    <n v="1500"/>
    <s v="High"/>
    <x v="0"/>
    <s v="Night"/>
    <n v="13"/>
  </r>
  <r>
    <s v="ZOM1310"/>
    <s v="Employee_310_India"/>
    <n v="23"/>
    <x v="2"/>
    <x v="9"/>
    <x v="3"/>
    <x v="9"/>
    <s v="INR"/>
    <n v="27500"/>
    <n v="12"/>
    <n v="330000"/>
    <x v="4"/>
    <x v="1"/>
    <n v="8250"/>
    <n v="80"/>
    <n v="13"/>
    <n v="5"/>
    <s v="No"/>
    <x v="0"/>
    <m/>
    <n v="0"/>
    <s v="Medium"/>
    <x v="0"/>
    <s v="Day"/>
    <n v="25"/>
  </r>
  <r>
    <s v="ZOM1589"/>
    <s v="Employee_589_India"/>
    <n v="24"/>
    <x v="2"/>
    <x v="8"/>
    <x v="5"/>
    <x v="9"/>
    <s v="INR"/>
    <n v="24000"/>
    <n v="12"/>
    <n v="288000"/>
    <x v="12"/>
    <x v="3"/>
    <s v=""/>
    <n v="80"/>
    <n v="5"/>
    <n v="2"/>
    <m/>
    <x v="0"/>
    <n v="10"/>
    <n v="2500"/>
    <s v="Low"/>
    <x v="0"/>
    <s v="Night"/>
    <n v="20"/>
  </r>
  <r>
    <s v="ZOM1237"/>
    <s v="Employee_237_India"/>
    <n v="23"/>
    <x v="2"/>
    <x v="7"/>
    <x v="5"/>
    <x v="9"/>
    <s v="INR"/>
    <n v="23500"/>
    <n v="12"/>
    <n v="282000"/>
    <x v="12"/>
    <x v="2"/>
    <s v=""/>
    <n v="95"/>
    <n v="10"/>
    <n v="5"/>
    <s v="No"/>
    <x v="0"/>
    <m/>
    <n v="0"/>
    <s v="Low"/>
    <x v="0"/>
    <s v="Night"/>
    <n v="20"/>
  </r>
  <r>
    <s v="ZOM1140"/>
    <s v="Employee_140_India"/>
    <n v="24"/>
    <x v="2"/>
    <x v="5"/>
    <x v="2"/>
    <x v="9"/>
    <s v="INR"/>
    <n v="24000"/>
    <n v="12"/>
    <n v="288000"/>
    <x v="12"/>
    <x v="3"/>
    <s v=""/>
    <n v="80"/>
    <n v="15"/>
    <n v="5"/>
    <m/>
    <x v="0"/>
    <n v="20"/>
    <n v="5000"/>
    <s v="Low"/>
    <x v="0"/>
    <s v="Day"/>
    <n v="14"/>
  </r>
  <r>
    <s v="ZOM1581"/>
    <s v="Employee_581_India"/>
    <n v="25"/>
    <x v="2"/>
    <x v="8"/>
    <x v="3"/>
    <x v="9"/>
    <s v="INR"/>
    <n v="27500"/>
    <n v="12"/>
    <n v="330000"/>
    <x v="4"/>
    <x v="2"/>
    <s v=""/>
    <n v="95"/>
    <n v="23"/>
    <n v="4"/>
    <m/>
    <x v="0"/>
    <m/>
    <n v="0"/>
    <s v="Low"/>
    <x v="0"/>
    <s v="Day"/>
    <n v="25"/>
  </r>
  <r>
    <s v="ZOM1605"/>
    <s v="Employee_5_Foreign"/>
    <n v="24"/>
    <x v="2"/>
    <x v="2"/>
    <x v="3"/>
    <x v="9"/>
    <s v="USD"/>
    <n v="24000"/>
    <n v="12"/>
    <n v="288000"/>
    <x v="12"/>
    <x v="3"/>
    <s v=""/>
    <n v="90"/>
    <n v="23"/>
    <n v="12"/>
    <s v="No"/>
    <x v="2"/>
    <n v="20"/>
    <n v="5000"/>
    <s v="Low"/>
    <x v="0"/>
    <s v="Day"/>
    <n v="25"/>
  </r>
  <r>
    <s v="ZOM1175"/>
    <s v="Employee_175_India"/>
    <n v="30"/>
    <x v="2"/>
    <x v="7"/>
    <x v="2"/>
    <x v="1"/>
    <s v="INR"/>
    <n v="78000"/>
    <n v="12"/>
    <n v="936000"/>
    <x v="10"/>
    <x v="0"/>
    <n v="23400"/>
    <n v="90"/>
    <n v="5"/>
    <n v="6"/>
    <s v="Yes"/>
    <x v="2"/>
    <m/>
    <n v="0"/>
    <s v="High"/>
    <x v="0"/>
    <s v="Day"/>
    <n v="14"/>
  </r>
  <r>
    <s v="ZOM1670"/>
    <s v="Employee_70_Foreign"/>
    <n v="23"/>
    <x v="1"/>
    <x v="2"/>
    <x v="1"/>
    <x v="9"/>
    <s v="USD"/>
    <n v="26000"/>
    <n v="12"/>
    <n v="312000"/>
    <x v="4"/>
    <x v="0"/>
    <n v="7800"/>
    <n v="95"/>
    <n v="15"/>
    <n v="5"/>
    <s v="No"/>
    <x v="2"/>
    <n v="5"/>
    <n v="1250"/>
    <s v="High"/>
    <x v="0"/>
    <s v="Night"/>
    <n v="13"/>
  </r>
  <r>
    <s v="ZOM1189"/>
    <s v="Employee_189_India"/>
    <n v="24"/>
    <x v="2"/>
    <x v="6"/>
    <x v="3"/>
    <x v="9"/>
    <s v="INR"/>
    <n v="24000"/>
    <n v="12"/>
    <n v="288000"/>
    <x v="12"/>
    <x v="2"/>
    <s v=""/>
    <n v="85"/>
    <n v="15"/>
    <n v="2"/>
    <s v="Yes"/>
    <x v="0"/>
    <n v="10"/>
    <n v="2500"/>
    <s v="Low"/>
    <x v="0"/>
    <s v="Day"/>
    <n v="25"/>
  </r>
  <r>
    <s v="ZOM1668"/>
    <s v="Employee_68_Foreign"/>
    <n v="25"/>
    <x v="0"/>
    <x v="1"/>
    <x v="1"/>
    <x v="9"/>
    <s v="USD"/>
    <n v="24000"/>
    <n v="12"/>
    <n v="288000"/>
    <x v="12"/>
    <x v="3"/>
    <s v=""/>
    <n v="88"/>
    <n v="5"/>
    <n v="5"/>
    <s v="Yes"/>
    <x v="2"/>
    <n v="10"/>
    <n v="2500"/>
    <s v="Low"/>
    <x v="0"/>
    <s v="Night"/>
    <n v="13"/>
  </r>
  <r>
    <s v="ZOM1674"/>
    <s v="Employee_74_Foreign"/>
    <n v="25"/>
    <x v="1"/>
    <x v="9"/>
    <x v="5"/>
    <x v="9"/>
    <s v="USD"/>
    <n v="27000"/>
    <n v="12"/>
    <n v="324000"/>
    <x v="4"/>
    <x v="1"/>
    <n v="8100"/>
    <n v="88"/>
    <n v="10"/>
    <n v="1"/>
    <s v="Yes"/>
    <x v="2"/>
    <n v="10"/>
    <n v="2500"/>
    <s v="Medium"/>
    <x v="0"/>
    <s v="Night"/>
    <n v="20"/>
  </r>
  <r>
    <s v="ZOM1366"/>
    <s v="Employee_366_India"/>
    <n v="35"/>
    <x v="0"/>
    <x v="0"/>
    <x v="5"/>
    <x v="4"/>
    <s v="INR"/>
    <n v="89000"/>
    <n v="12"/>
    <n v="1068000"/>
    <x v="13"/>
    <x v="3"/>
    <s v=""/>
    <n v="80"/>
    <n v="10"/>
    <n v="4"/>
    <s v="No"/>
    <x v="0"/>
    <n v="5"/>
    <n v="1750"/>
    <s v="Low"/>
    <x v="0"/>
    <s v="Night"/>
    <n v="20"/>
  </r>
  <r>
    <s v="ZOM1317"/>
    <s v="Employee_317_India"/>
    <n v="25"/>
    <x v="2"/>
    <x v="10"/>
    <x v="0"/>
    <x v="9"/>
    <s v="INR"/>
    <n v="24333"/>
    <n v="12"/>
    <n v="291996"/>
    <x v="12"/>
    <x v="2"/>
    <s v=""/>
    <n v="80"/>
    <n v="15"/>
    <n v="5"/>
    <m/>
    <x v="0"/>
    <n v="20"/>
    <n v="5000"/>
    <s v="Low"/>
    <x v="0"/>
    <s v="Day"/>
    <n v="12"/>
  </r>
  <r>
    <s v="ZOM1029"/>
    <s v="Employee_29_India"/>
    <n v="23"/>
    <x v="0"/>
    <x v="2"/>
    <x v="2"/>
    <x v="9"/>
    <s v="INR"/>
    <n v="27000"/>
    <n v="12"/>
    <n v="324000"/>
    <x v="4"/>
    <x v="0"/>
    <n v="8100"/>
    <n v="85"/>
    <n v="15"/>
    <n v="1"/>
    <s v="No"/>
    <x v="2"/>
    <n v="20"/>
    <n v="5000"/>
    <s v="High"/>
    <x v="0"/>
    <s v="Day"/>
    <n v="14"/>
  </r>
  <r>
    <s v="ZOM1386"/>
    <s v="Employee_386_India"/>
    <n v="24"/>
    <x v="1"/>
    <x v="0"/>
    <x v="1"/>
    <x v="8"/>
    <s v="INR"/>
    <n v="56000"/>
    <n v="12"/>
    <n v="672000"/>
    <x v="2"/>
    <x v="1"/>
    <n v="16800"/>
    <n v="90"/>
    <n v="15"/>
    <n v="3"/>
    <s v="No"/>
    <x v="0"/>
    <n v="5"/>
    <n v="1500"/>
    <s v="Medium"/>
    <x v="0"/>
    <s v="Night"/>
    <n v="13"/>
  </r>
  <r>
    <s v="ZOM1152"/>
    <s v="Employee_152_India"/>
    <n v="28"/>
    <x v="0"/>
    <x v="9"/>
    <x v="1"/>
    <x v="1"/>
    <s v="INR"/>
    <n v="81000"/>
    <n v="12"/>
    <n v="972000"/>
    <x v="8"/>
    <x v="1"/>
    <n v="24300"/>
    <n v="95"/>
    <n v="15"/>
    <n v="1"/>
    <s v="No"/>
    <x v="0"/>
    <m/>
    <n v="0"/>
    <s v="Medium"/>
    <x v="0"/>
    <s v="Night"/>
    <n v="13"/>
  </r>
  <r>
    <s v="ZOM1558"/>
    <s v="Employee_558_India"/>
    <n v="24"/>
    <x v="0"/>
    <x v="7"/>
    <x v="1"/>
    <x v="9"/>
    <s v="INR"/>
    <n v="24000"/>
    <n v="12"/>
    <n v="288000"/>
    <x v="12"/>
    <x v="0"/>
    <n v="7200"/>
    <n v="88"/>
    <n v="15"/>
    <n v="5"/>
    <s v="Yes"/>
    <x v="1"/>
    <m/>
    <n v="0"/>
    <s v="Medium"/>
    <x v="0"/>
    <s v="Night"/>
    <n v="13"/>
  </r>
  <r>
    <s v="ZOM1392"/>
    <s v="Employee_392_India"/>
    <n v="24"/>
    <x v="2"/>
    <x v="0"/>
    <x v="3"/>
    <x v="9"/>
    <s v="INR"/>
    <n v="27000"/>
    <n v="12"/>
    <n v="324000"/>
    <x v="4"/>
    <x v="2"/>
    <s v=""/>
    <n v="90"/>
    <n v="15"/>
    <n v="5"/>
    <m/>
    <x v="0"/>
    <n v="5"/>
    <n v="1250"/>
    <s v="Low"/>
    <x v="0"/>
    <s v="Day"/>
    <n v="25"/>
  </r>
  <r>
    <s v="ZOM1211"/>
    <s v="Employee_211_India"/>
    <n v="33"/>
    <x v="2"/>
    <x v="2"/>
    <x v="1"/>
    <x v="4"/>
    <s v="INR"/>
    <n v="80000"/>
    <n v="12"/>
    <n v="960000"/>
    <x v="8"/>
    <x v="4"/>
    <n v="24000"/>
    <n v="80"/>
    <n v="15"/>
    <n v="8"/>
    <s v="Yes"/>
    <x v="0"/>
    <m/>
    <n v="0"/>
    <s v="High"/>
    <x v="0"/>
    <s v="Night"/>
    <n v="13"/>
  </r>
  <r>
    <s v="ZOM1078"/>
    <s v="Employee_78_India"/>
    <n v="25"/>
    <x v="0"/>
    <x v="2"/>
    <x v="2"/>
    <x v="9"/>
    <s v="INR"/>
    <n v="27000"/>
    <n v="12"/>
    <n v="324000"/>
    <x v="4"/>
    <x v="3"/>
    <s v=""/>
    <n v="88"/>
    <n v="15"/>
    <n v="10"/>
    <s v="No"/>
    <x v="0"/>
    <n v="5"/>
    <n v="1250"/>
    <s v="Low"/>
    <x v="0"/>
    <s v="Day"/>
    <n v="14"/>
  </r>
  <r>
    <s v="ZOM1092"/>
    <s v="Employee_92_India"/>
    <n v="36"/>
    <x v="2"/>
    <x v="10"/>
    <x v="4"/>
    <x v="4"/>
    <s v="INR"/>
    <n v="80000"/>
    <n v="12"/>
    <n v="960000"/>
    <x v="9"/>
    <x v="2"/>
    <s v=""/>
    <n v="90"/>
    <n v="5"/>
    <n v="1"/>
    <s v="No"/>
    <x v="0"/>
    <m/>
    <n v="0"/>
    <s v="Low"/>
    <x v="0"/>
    <s v="Day"/>
    <n v="10"/>
  </r>
  <r>
    <s v="ZOM1348"/>
    <s v="Employee_348_India"/>
    <n v="24"/>
    <x v="0"/>
    <x v="7"/>
    <x v="1"/>
    <x v="9"/>
    <s v="INR"/>
    <n v="24000"/>
    <n v="12"/>
    <n v="288000"/>
    <x v="12"/>
    <x v="3"/>
    <s v=""/>
    <n v="85"/>
    <n v="10"/>
    <n v="5"/>
    <s v="No"/>
    <x v="0"/>
    <n v="10"/>
    <n v="2500"/>
    <s v="Low"/>
    <x v="0"/>
    <s v="Night"/>
    <n v="13"/>
  </r>
  <r>
    <s v="ZOM1298"/>
    <s v="Employee_298_India"/>
    <n v="25"/>
    <x v="2"/>
    <x v="8"/>
    <x v="4"/>
    <x v="8"/>
    <s v="INR"/>
    <n v="70500"/>
    <n v="12"/>
    <n v="846000"/>
    <x v="10"/>
    <x v="0"/>
    <n v="21150"/>
    <n v="95"/>
    <n v="10"/>
    <n v="9"/>
    <s v="No"/>
    <x v="0"/>
    <n v="20"/>
    <n v="6000"/>
    <s v="High"/>
    <x v="0"/>
    <s v="Day"/>
    <n v="10"/>
  </r>
  <r>
    <s v="ZOM1574"/>
    <s v="Employee_574_India"/>
    <n v="24"/>
    <x v="2"/>
    <x v="7"/>
    <x v="0"/>
    <x v="9"/>
    <s v="INR"/>
    <n v="29000"/>
    <n v="12"/>
    <n v="348000"/>
    <x v="4"/>
    <x v="2"/>
    <s v=""/>
    <n v="80"/>
    <n v="5"/>
    <n v="5"/>
    <s v="Yes"/>
    <x v="0"/>
    <m/>
    <n v="0"/>
    <s v="Low"/>
    <x v="0"/>
    <s v="Day"/>
    <n v="12"/>
  </r>
  <r>
    <s v="ZOM1274"/>
    <s v="Employee_274_India"/>
    <n v="25"/>
    <x v="0"/>
    <x v="9"/>
    <x v="4"/>
    <x v="9"/>
    <s v="INR"/>
    <n v="29000"/>
    <n v="12"/>
    <n v="348000"/>
    <x v="4"/>
    <x v="2"/>
    <s v=""/>
    <n v="88"/>
    <n v="5"/>
    <n v="3"/>
    <m/>
    <x v="0"/>
    <n v="5"/>
    <n v="1250"/>
    <s v="Low"/>
    <x v="0"/>
    <s v="Day"/>
    <n v="10"/>
  </r>
  <r>
    <s v="ZOM1264"/>
    <s v="Employee_264_India"/>
    <n v="23"/>
    <x v="1"/>
    <x v="9"/>
    <x v="5"/>
    <x v="9"/>
    <s v="INR"/>
    <n v="24000"/>
    <n v="12"/>
    <n v="288000"/>
    <x v="12"/>
    <x v="2"/>
    <s v=""/>
    <n v="85"/>
    <n v="15"/>
    <n v="1"/>
    <s v="No"/>
    <x v="0"/>
    <n v="20"/>
    <n v="5000"/>
    <s v="Low"/>
    <x v="0"/>
    <s v="Night"/>
    <n v="20"/>
  </r>
  <r>
    <s v="ZOM1291"/>
    <s v="Employee_291_India"/>
    <n v="24"/>
    <x v="2"/>
    <x v="3"/>
    <x v="0"/>
    <x v="9"/>
    <s v="INR"/>
    <n v="29000"/>
    <n v="12"/>
    <n v="348000"/>
    <x v="4"/>
    <x v="2"/>
    <s v=""/>
    <n v="85"/>
    <n v="10"/>
    <n v="3"/>
    <s v="No"/>
    <x v="0"/>
    <m/>
    <n v="0"/>
    <s v="Low"/>
    <x v="0"/>
    <s v="Day"/>
    <n v="12"/>
  </r>
  <r>
    <s v="ZOM1253"/>
    <s v="Employee_253_India"/>
    <n v="25"/>
    <x v="0"/>
    <x v="8"/>
    <x v="2"/>
    <x v="9"/>
    <s v="INR"/>
    <n v="22500"/>
    <n v="12"/>
    <n v="270000"/>
    <x v="12"/>
    <x v="3"/>
    <s v=""/>
    <n v="80"/>
    <n v="15"/>
    <n v="4"/>
    <m/>
    <x v="0"/>
    <n v="5"/>
    <n v="1250"/>
    <s v="Low"/>
    <x v="0"/>
    <s v="Day"/>
    <n v="14"/>
  </r>
  <r>
    <s v="ZOM1599"/>
    <s v="Employee_599_India"/>
    <n v="25"/>
    <x v="0"/>
    <x v="0"/>
    <x v="0"/>
    <x v="8"/>
    <s v="INR"/>
    <n v="60000"/>
    <n v="12"/>
    <n v="720000"/>
    <x v="3"/>
    <x v="0"/>
    <n v="18000"/>
    <n v="95"/>
    <n v="10"/>
    <n v="1"/>
    <s v="Yes"/>
    <x v="2"/>
    <n v="20"/>
    <n v="6000"/>
    <s v="High"/>
    <x v="0"/>
    <s v="Day"/>
    <n v="12"/>
  </r>
  <r>
    <s v="ZOM1154"/>
    <s v="Employee_154_India"/>
    <n v="25"/>
    <x v="1"/>
    <x v="0"/>
    <x v="4"/>
    <x v="9"/>
    <s v="INR"/>
    <n v="29000"/>
    <n v="12"/>
    <n v="348000"/>
    <x v="4"/>
    <x v="2"/>
    <s v=""/>
    <n v="85"/>
    <n v="5"/>
    <n v="2"/>
    <s v="Yes"/>
    <x v="0"/>
    <n v="5"/>
    <n v="1250"/>
    <s v="Low"/>
    <x v="0"/>
    <s v="Day"/>
    <n v="10"/>
  </r>
  <r>
    <s v="ZOM1591"/>
    <s v="Employee_591_India"/>
    <n v="24"/>
    <x v="0"/>
    <x v="10"/>
    <x v="0"/>
    <x v="9"/>
    <s v="INR"/>
    <n v="29000"/>
    <n v="12"/>
    <n v="348000"/>
    <x v="4"/>
    <x v="3"/>
    <s v=""/>
    <n v="80"/>
    <n v="10"/>
    <n v="3"/>
    <s v="No"/>
    <x v="0"/>
    <n v="20"/>
    <n v="5000"/>
    <s v="Low"/>
    <x v="0"/>
    <s v="Day"/>
    <n v="12"/>
  </r>
  <r>
    <s v="ZOM1661"/>
    <s v="Employee_61_Foreign"/>
    <n v="25"/>
    <x v="2"/>
    <x v="5"/>
    <x v="4"/>
    <x v="9"/>
    <s v="USD"/>
    <n v="29000"/>
    <n v="12"/>
    <n v="348000"/>
    <x v="4"/>
    <x v="4"/>
    <n v="8700"/>
    <n v="85"/>
    <n v="15"/>
    <n v="3"/>
    <s v="No"/>
    <x v="2"/>
    <n v="20"/>
    <n v="5000"/>
    <s v="High"/>
    <x v="0"/>
    <s v="Day"/>
    <n v="10"/>
  </r>
  <r>
    <s v="ZOM1258"/>
    <s v="Employee_258_India"/>
    <n v="40"/>
    <x v="2"/>
    <x v="0"/>
    <x v="3"/>
    <x v="3"/>
    <s v="INR"/>
    <n v="90000"/>
    <n v="12"/>
    <n v="1080000"/>
    <x v="5"/>
    <x v="1"/>
    <n v="27000"/>
    <n v="80"/>
    <n v="15"/>
    <n v="2"/>
    <s v="Yes"/>
    <x v="2"/>
    <n v="5"/>
    <n v="1750"/>
    <s v="Medium"/>
    <x v="0"/>
    <s v="Day"/>
    <n v="25"/>
  </r>
  <r>
    <s v="ZOM1227"/>
    <s v="Employee_227_India"/>
    <n v="24"/>
    <x v="2"/>
    <x v="9"/>
    <x v="4"/>
    <x v="9"/>
    <s v="INR"/>
    <n v="28000"/>
    <n v="12"/>
    <n v="336000"/>
    <x v="4"/>
    <x v="3"/>
    <s v=""/>
    <n v="90"/>
    <n v="10"/>
    <n v="2"/>
    <s v="Yes"/>
    <x v="1"/>
    <m/>
    <n v="0"/>
    <s v="Low"/>
    <x v="0"/>
    <s v="Day"/>
    <n v="10"/>
  </r>
  <r>
    <s v="ZOM1316"/>
    <s v="Employee_316_India"/>
    <n v="24"/>
    <x v="1"/>
    <x v="9"/>
    <x v="3"/>
    <x v="9"/>
    <s v="INR"/>
    <n v="24000"/>
    <n v="12"/>
    <n v="288000"/>
    <x v="12"/>
    <x v="3"/>
    <s v=""/>
    <n v="90"/>
    <n v="15"/>
    <n v="10"/>
    <s v="Yes"/>
    <x v="0"/>
    <n v="10"/>
    <n v="2500"/>
    <s v="Low"/>
    <x v="0"/>
    <s v="Day"/>
    <n v="25"/>
  </r>
  <r>
    <s v="ZOM1463"/>
    <s v="Employee_463_India"/>
    <n v="23"/>
    <x v="2"/>
    <x v="2"/>
    <x v="2"/>
    <x v="9"/>
    <s v="INR"/>
    <n v="24000"/>
    <n v="12"/>
    <n v="288000"/>
    <x v="12"/>
    <x v="2"/>
    <s v=""/>
    <n v="88"/>
    <n v="10"/>
    <n v="9"/>
    <m/>
    <x v="2"/>
    <n v="10"/>
    <n v="2500"/>
    <s v="Low"/>
    <x v="0"/>
    <s v="Day"/>
    <n v="14"/>
  </r>
  <r>
    <s v="ZOM1364"/>
    <s v="Employee_364_India"/>
    <n v="26"/>
    <x v="1"/>
    <x v="1"/>
    <x v="2"/>
    <x v="1"/>
    <s v="INR"/>
    <n v="81000"/>
    <n v="12"/>
    <n v="972000"/>
    <x v="8"/>
    <x v="1"/>
    <n v="24300"/>
    <n v="88"/>
    <n v="15"/>
    <n v="3"/>
    <m/>
    <x v="1"/>
    <n v="5"/>
    <n v="1500"/>
    <s v="Medium"/>
    <x v="0"/>
    <s v="Day"/>
    <n v="14"/>
  </r>
  <r>
    <s v="ZOM1427"/>
    <s v="Employee_427_India"/>
    <n v="24"/>
    <x v="2"/>
    <x v="5"/>
    <x v="5"/>
    <x v="9"/>
    <s v="INR"/>
    <n v="24000"/>
    <n v="12"/>
    <n v="288000"/>
    <x v="12"/>
    <x v="0"/>
    <n v="7200"/>
    <n v="85"/>
    <n v="5"/>
    <n v="3"/>
    <m/>
    <x v="0"/>
    <m/>
    <n v="0"/>
    <s v="Medium"/>
    <x v="0"/>
    <s v="Night"/>
    <n v="20"/>
  </r>
  <r>
    <s v="ZOM1085"/>
    <s v="Employee_85_India"/>
    <n v="25"/>
    <x v="2"/>
    <x v="8"/>
    <x v="1"/>
    <x v="9"/>
    <s v="INR"/>
    <n v="28000"/>
    <n v="12"/>
    <n v="336000"/>
    <x v="4"/>
    <x v="2"/>
    <s v=""/>
    <n v="80"/>
    <n v="10"/>
    <n v="2"/>
    <s v="No"/>
    <x v="2"/>
    <m/>
    <n v="0"/>
    <s v="Low"/>
    <x v="0"/>
    <s v="Night"/>
    <n v="13"/>
  </r>
  <r>
    <s v="ZOM1561"/>
    <s v="Employee_561_India"/>
    <n v="25"/>
    <x v="2"/>
    <x v="0"/>
    <x v="1"/>
    <x v="9"/>
    <s v="INR"/>
    <n v="23000"/>
    <n v="12"/>
    <n v="276000"/>
    <x v="12"/>
    <x v="0"/>
    <n v="6900"/>
    <n v="90"/>
    <n v="15"/>
    <n v="3"/>
    <s v="No"/>
    <x v="2"/>
    <n v="20"/>
    <n v="5000"/>
    <s v="Medium"/>
    <x v="0"/>
    <s v="Night"/>
    <n v="13"/>
  </r>
  <r>
    <s v="ZOM1592"/>
    <s v="Employee_592_India"/>
    <n v="25"/>
    <x v="2"/>
    <x v="9"/>
    <x v="0"/>
    <x v="9"/>
    <s v="INR"/>
    <n v="28000"/>
    <n v="12"/>
    <n v="336000"/>
    <x v="4"/>
    <x v="3"/>
    <s v=""/>
    <n v="80"/>
    <n v="5"/>
    <n v="1"/>
    <s v="No"/>
    <x v="0"/>
    <n v="20"/>
    <n v="5000"/>
    <s v="Low"/>
    <x v="0"/>
    <s v="Day"/>
    <n v="12"/>
  </r>
  <r>
    <s v="ZOM1610"/>
    <s v="Employee_10_Foreign"/>
    <n v="34"/>
    <x v="2"/>
    <x v="6"/>
    <x v="0"/>
    <x v="3"/>
    <s v="USD"/>
    <n v="92000"/>
    <n v="12"/>
    <n v="1104000"/>
    <x v="13"/>
    <x v="0"/>
    <n v="27600"/>
    <n v="80"/>
    <n v="15"/>
    <n v="5"/>
    <s v="Yes"/>
    <x v="2"/>
    <n v="10"/>
    <n v="3500"/>
    <s v="High"/>
    <x v="0"/>
    <s v="Day"/>
    <n v="12"/>
  </r>
  <r>
    <s v="ZOM1124"/>
    <s v="Employee_124_India"/>
    <n v="23"/>
    <x v="0"/>
    <x v="10"/>
    <x v="2"/>
    <x v="9"/>
    <s v="INR"/>
    <n v="24000"/>
    <n v="12"/>
    <n v="288000"/>
    <x v="12"/>
    <x v="0"/>
    <n v="7200"/>
    <n v="80"/>
    <n v="10"/>
    <n v="3"/>
    <m/>
    <x v="0"/>
    <n v="5"/>
    <n v="1250"/>
    <s v="Medium"/>
    <x v="0"/>
    <s v="Day"/>
    <n v="14"/>
  </r>
  <r>
    <s v="ZOM1524"/>
    <s v="Employee_524_India"/>
    <n v="24"/>
    <x v="0"/>
    <x v="1"/>
    <x v="2"/>
    <x v="8"/>
    <s v="INR"/>
    <n v="60000"/>
    <n v="12"/>
    <n v="720000"/>
    <x v="3"/>
    <x v="2"/>
    <s v=""/>
    <n v="80"/>
    <n v="5"/>
    <n v="5"/>
    <s v="Yes"/>
    <x v="1"/>
    <n v="20"/>
    <n v="6000"/>
    <s v="Low"/>
    <x v="0"/>
    <s v="Day"/>
    <n v="14"/>
  </r>
  <r>
    <s v="ZOM1030"/>
    <s v="Employee_30_India"/>
    <n v="34"/>
    <x v="2"/>
    <x v="6"/>
    <x v="5"/>
    <x v="3"/>
    <s v="INR"/>
    <n v="98000"/>
    <n v="12"/>
    <n v="1176000"/>
    <x v="6"/>
    <x v="4"/>
    <n v="29400"/>
    <n v="90"/>
    <n v="15"/>
    <n v="1"/>
    <m/>
    <x v="0"/>
    <n v="5"/>
    <n v="1750"/>
    <s v="High"/>
    <x v="0"/>
    <s v="Night"/>
    <n v="20"/>
  </r>
  <r>
    <s v="ZOM1010"/>
    <s v="Employee_10_India"/>
    <n v="21"/>
    <x v="2"/>
    <x v="1"/>
    <x v="5"/>
    <x v="7"/>
    <s v="INR"/>
    <n v="20000"/>
    <n v="12"/>
    <n v="240000"/>
    <x v="11"/>
    <x v="2"/>
    <s v=""/>
    <n v="88"/>
    <n v="15"/>
    <n v="1"/>
    <s v="No"/>
    <x v="0"/>
    <n v="20"/>
    <n v="5000"/>
    <s v="Low"/>
    <x v="0"/>
    <s v="Night"/>
    <n v="20"/>
  </r>
  <r>
    <s v="ZOM1604"/>
    <s v="Employee_4_Foreign"/>
    <n v="25"/>
    <x v="0"/>
    <x v="9"/>
    <x v="2"/>
    <x v="1"/>
    <s v="USD"/>
    <n v="78000"/>
    <n v="12"/>
    <n v="936000"/>
    <x v="1"/>
    <x v="4"/>
    <n v="23400"/>
    <n v="85"/>
    <n v="5"/>
    <n v="3"/>
    <m/>
    <x v="2"/>
    <m/>
    <n v="0"/>
    <s v="High"/>
    <x v="0"/>
    <s v="Day"/>
    <n v="14"/>
  </r>
  <r>
    <s v="ZOM1458"/>
    <s v="Employee_458_India"/>
    <n v="39"/>
    <x v="1"/>
    <x v="1"/>
    <x v="0"/>
    <x v="3"/>
    <s v="INR"/>
    <n v="90000"/>
    <n v="12"/>
    <n v="1080000"/>
    <x v="6"/>
    <x v="3"/>
    <s v=""/>
    <n v="80"/>
    <n v="15"/>
    <n v="5"/>
    <s v="No"/>
    <x v="0"/>
    <n v="20"/>
    <n v="7000"/>
    <s v="Low"/>
    <x v="0"/>
    <s v="Day"/>
    <n v="12"/>
  </r>
  <r>
    <s v="ZOM1669"/>
    <s v="Employee_69_Foreign"/>
    <n v="25"/>
    <x v="1"/>
    <x v="6"/>
    <x v="4"/>
    <x v="9"/>
    <s v="USD"/>
    <n v="24000"/>
    <n v="12"/>
    <n v="288000"/>
    <x v="12"/>
    <x v="4"/>
    <n v="7200"/>
    <n v="90"/>
    <n v="10"/>
    <n v="3"/>
    <s v="No"/>
    <x v="2"/>
    <n v="10"/>
    <n v="2500"/>
    <s v="High"/>
    <x v="0"/>
    <s v="Day"/>
    <n v="10"/>
  </r>
  <r>
    <s v="ZOM1168"/>
    <s v="Employee_168_India"/>
    <n v="23"/>
    <x v="0"/>
    <x v="9"/>
    <x v="5"/>
    <x v="7"/>
    <s v="INR"/>
    <n v="20000"/>
    <n v="12"/>
    <n v="240000"/>
    <x v="11"/>
    <x v="3"/>
    <s v=""/>
    <n v="88"/>
    <n v="5"/>
    <n v="2"/>
    <m/>
    <x v="0"/>
    <n v="20"/>
    <n v="5000"/>
    <s v="Low"/>
    <x v="0"/>
    <s v="Night"/>
    <n v="20"/>
  </r>
  <r>
    <s v="ZOM1125"/>
    <s v="Employee_125_India"/>
    <n v="24"/>
    <x v="1"/>
    <x v="5"/>
    <x v="0"/>
    <x v="7"/>
    <s v="INR"/>
    <n v="29000"/>
    <n v="12"/>
    <n v="348000"/>
    <x v="12"/>
    <x v="0"/>
    <n v="8700"/>
    <n v="85"/>
    <n v="5"/>
    <n v="8"/>
    <s v="Yes"/>
    <x v="1"/>
    <n v="5"/>
    <n v="1250"/>
    <s v="High"/>
    <x v="0"/>
    <s v="Day"/>
    <n v="12"/>
  </r>
  <r>
    <s v="ZOM1004"/>
    <s v="Employee_4_India"/>
    <n v="24"/>
    <x v="0"/>
    <x v="2"/>
    <x v="5"/>
    <x v="7"/>
    <s v="INR"/>
    <n v="29000"/>
    <n v="12"/>
    <n v="348000"/>
    <x v="4"/>
    <x v="1"/>
    <n v="8700"/>
    <n v="88"/>
    <n v="15"/>
    <n v="2"/>
    <s v="No"/>
    <x v="1"/>
    <m/>
    <n v="0"/>
    <s v="Medium"/>
    <x v="0"/>
    <s v="Night"/>
    <n v="20"/>
  </r>
  <r>
    <s v="ZOM1198"/>
    <s v="Employee_198_India"/>
    <n v="23"/>
    <x v="2"/>
    <x v="1"/>
    <x v="4"/>
    <x v="7"/>
    <s v="INR"/>
    <n v="20000"/>
    <n v="12"/>
    <n v="240000"/>
    <x v="11"/>
    <x v="3"/>
    <s v=""/>
    <n v="80"/>
    <n v="15"/>
    <n v="2"/>
    <s v="Yes"/>
    <x v="1"/>
    <n v="10"/>
    <n v="2500"/>
    <s v="Low"/>
    <x v="0"/>
    <s v="Day"/>
    <n v="10"/>
  </r>
  <r>
    <s v="ZOM1628"/>
    <s v="Employee_28_Foreign"/>
    <n v="24"/>
    <x v="1"/>
    <x v="7"/>
    <x v="2"/>
    <x v="9"/>
    <s v="USD"/>
    <n v="22000"/>
    <n v="12"/>
    <n v="264000"/>
    <x v="12"/>
    <x v="3"/>
    <s v=""/>
    <n v="95"/>
    <n v="15"/>
    <n v="3"/>
    <s v="No"/>
    <x v="2"/>
    <n v="20"/>
    <n v="5000"/>
    <s v="Low"/>
    <x v="0"/>
    <s v="Day"/>
    <n v="14"/>
  </r>
  <r>
    <s v="ZOM1409"/>
    <s v="Employee_409_India"/>
    <n v="24"/>
    <x v="0"/>
    <x v="2"/>
    <x v="1"/>
    <x v="9"/>
    <s v="INR"/>
    <n v="24000"/>
    <n v="12"/>
    <n v="288000"/>
    <x v="12"/>
    <x v="0"/>
    <n v="7200"/>
    <n v="88"/>
    <n v="5"/>
    <n v="5"/>
    <m/>
    <x v="0"/>
    <m/>
    <n v="0"/>
    <s v="Medium"/>
    <x v="0"/>
    <s v="Night"/>
    <n v="13"/>
  </r>
  <r>
    <s v="ZOM1656"/>
    <s v="Employee_56_Foreign"/>
    <n v="24"/>
    <x v="2"/>
    <x v="10"/>
    <x v="4"/>
    <x v="9"/>
    <s v="USD"/>
    <n v="28000"/>
    <n v="12"/>
    <n v="336000"/>
    <x v="4"/>
    <x v="0"/>
    <n v="8400"/>
    <n v="95"/>
    <n v="15"/>
    <n v="3"/>
    <s v="Yes"/>
    <x v="2"/>
    <m/>
    <n v="0"/>
    <s v="High"/>
    <x v="0"/>
    <s v="Day"/>
    <n v="10"/>
  </r>
  <r>
    <s v="ZOM1174"/>
    <s v="Employee_174_India"/>
    <n v="23"/>
    <x v="0"/>
    <x v="1"/>
    <x v="1"/>
    <x v="9"/>
    <s v="INR"/>
    <n v="28000"/>
    <n v="12"/>
    <n v="336000"/>
    <x v="4"/>
    <x v="2"/>
    <s v=""/>
    <n v="85"/>
    <n v="10"/>
    <n v="1"/>
    <s v="Yes"/>
    <x v="1"/>
    <n v="10"/>
    <n v="2500"/>
    <s v="Low"/>
    <x v="0"/>
    <s v="Night"/>
    <n v="13"/>
  </r>
  <r>
    <s v="ZOM1282"/>
    <s v="Employee_282_India"/>
    <n v="28"/>
    <x v="2"/>
    <x v="6"/>
    <x v="2"/>
    <x v="1"/>
    <s v="INR"/>
    <n v="77000"/>
    <n v="12"/>
    <n v="924000"/>
    <x v="10"/>
    <x v="2"/>
    <s v=""/>
    <n v="95"/>
    <n v="15"/>
    <n v="2"/>
    <s v="Yes"/>
    <x v="0"/>
    <n v="10"/>
    <n v="3000"/>
    <s v="Low"/>
    <x v="0"/>
    <s v="Day"/>
    <n v="14"/>
  </r>
  <r>
    <s v="ZOM1469"/>
    <s v="Employee_469_India"/>
    <n v="25"/>
    <x v="0"/>
    <x v="3"/>
    <x v="1"/>
    <x v="9"/>
    <s v="INR"/>
    <n v="24000"/>
    <n v="12"/>
    <n v="288000"/>
    <x v="12"/>
    <x v="2"/>
    <s v=""/>
    <n v="85"/>
    <n v="10"/>
    <n v="5"/>
    <s v="Yes"/>
    <x v="1"/>
    <n v="10"/>
    <n v="2500"/>
    <s v="Low"/>
    <x v="0"/>
    <s v="Night"/>
    <n v="13"/>
  </r>
  <r>
    <s v="ZOM1202"/>
    <s v="Employee_202_India"/>
    <n v="25"/>
    <x v="0"/>
    <x v="2"/>
    <x v="4"/>
    <x v="9"/>
    <s v="INR"/>
    <n v="19500"/>
    <n v="12"/>
    <n v="234000"/>
    <x v="12"/>
    <x v="3"/>
    <s v=""/>
    <n v="80"/>
    <n v="15"/>
    <n v="3"/>
    <s v="Yes"/>
    <x v="0"/>
    <n v="20"/>
    <n v="5000"/>
    <s v="Low"/>
    <x v="0"/>
    <s v="Day"/>
    <n v="10"/>
  </r>
  <r>
    <s v="ZOM1631"/>
    <s v="Employee_31_Foreign"/>
    <n v="24"/>
    <x v="0"/>
    <x v="1"/>
    <x v="0"/>
    <x v="9"/>
    <s v="USD"/>
    <n v="28000"/>
    <n v="12"/>
    <n v="336000"/>
    <x v="4"/>
    <x v="4"/>
    <n v="8400"/>
    <n v="95"/>
    <n v="5"/>
    <n v="2"/>
    <s v="Yes"/>
    <x v="2"/>
    <n v="5"/>
    <n v="1250"/>
    <s v="High"/>
    <x v="0"/>
    <s v="Day"/>
    <n v="12"/>
  </r>
  <r>
    <s v="ZOM1177"/>
    <s v="Employee_177_India"/>
    <n v="24"/>
    <x v="1"/>
    <x v="1"/>
    <x v="4"/>
    <x v="9"/>
    <s v="INR"/>
    <n v="19800"/>
    <n v="12"/>
    <n v="237600"/>
    <x v="12"/>
    <x v="0"/>
    <n v="5940"/>
    <n v="85"/>
    <n v="5"/>
    <n v="6"/>
    <s v="No"/>
    <x v="0"/>
    <n v="20"/>
    <n v="5000"/>
    <s v="Medium"/>
    <x v="0"/>
    <s v="Day"/>
    <n v="10"/>
  </r>
  <r>
    <s v="ZOM1210"/>
    <s v="Employee_210_India"/>
    <n v="23"/>
    <x v="0"/>
    <x v="1"/>
    <x v="5"/>
    <x v="9"/>
    <s v="INR"/>
    <n v="28000"/>
    <n v="12"/>
    <n v="336000"/>
    <x v="4"/>
    <x v="2"/>
    <s v=""/>
    <n v="85"/>
    <n v="5"/>
    <n v="3"/>
    <s v="No"/>
    <x v="0"/>
    <n v="20"/>
    <n v="5000"/>
    <s v="Low"/>
    <x v="0"/>
    <s v="Night"/>
    <n v="20"/>
  </r>
  <r>
    <s v="ZOM1013"/>
    <s v="Employee_13_India"/>
    <n v="24"/>
    <x v="0"/>
    <x v="3"/>
    <x v="4"/>
    <x v="9"/>
    <s v="INR"/>
    <n v="19800"/>
    <n v="12"/>
    <n v="237600"/>
    <x v="12"/>
    <x v="3"/>
    <s v=""/>
    <n v="88"/>
    <n v="15"/>
    <n v="5"/>
    <s v="Yes"/>
    <x v="0"/>
    <m/>
    <n v="0"/>
    <s v="Low"/>
    <x v="0"/>
    <s v="Day"/>
    <n v="10"/>
  </r>
  <r>
    <s v="ZOM1483"/>
    <s v="Employee_483_India"/>
    <n v="20"/>
    <x v="2"/>
    <x v="2"/>
    <x v="5"/>
    <x v="7"/>
    <s v="INR"/>
    <n v="20000"/>
    <n v="12"/>
    <n v="240000"/>
    <x v="12"/>
    <x v="3"/>
    <s v=""/>
    <n v="95"/>
    <n v="10"/>
    <n v="5"/>
    <s v="Yes"/>
    <x v="1"/>
    <m/>
    <n v="0"/>
    <s v="Low"/>
    <x v="0"/>
    <s v="Night"/>
    <n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3D6D76-E2A6-4623-8384-8D7EA903275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5:I31" firstHeaderRow="1" firstDataRow="1" firstDataCol="1"/>
  <pivotFields count="25">
    <pivotField showAll="0"/>
    <pivotField showAll="0"/>
    <pivotField showAll="0"/>
    <pivotField showAll="0"/>
    <pivotField showAll="0"/>
    <pivotField showAll="0">
      <items count="7">
        <item h="1" x="3"/>
        <item h="1" x="0"/>
        <item x="5"/>
        <item x="4"/>
        <item x="1"/>
        <item x="2"/>
        <item t="default"/>
      </items>
    </pivotField>
    <pivotField axis="axisRow" showAll="0">
      <items count="12">
        <item x="7"/>
        <item x="9"/>
        <item x="0"/>
        <item x="5"/>
        <item x="1"/>
        <item h="1" x="4"/>
        <item h="1" x="2"/>
        <item h="1" x="6"/>
        <item h="1" x="3"/>
        <item h="1" x="8"/>
        <item h="1" x="1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Average of Monthly_Salary" fld="8"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BFBE0E-9BF4-4272-A206-D1493D00D10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6:I21" firstHeaderRow="1" firstDataRow="1" firstDataCol="1"/>
  <pivotFields count="25">
    <pivotField showAll="0"/>
    <pivotField showAll="0"/>
    <pivotField showAll="0"/>
    <pivotField showAll="0"/>
    <pivotField showAll="0"/>
    <pivotField axis="axisRow" showAll="0">
      <items count="7">
        <item h="1" x="3"/>
        <item h="1" x="0"/>
        <item x="5"/>
        <item x="4"/>
        <item x="1"/>
        <item x="2"/>
        <item t="default"/>
      </items>
    </pivotField>
    <pivotField showAll="0">
      <items count="12">
        <item x="7"/>
        <item x="9"/>
        <item x="0"/>
        <item x="5"/>
        <item x="1"/>
        <item h="1" x="4"/>
        <item h="1" x="2"/>
        <item h="1" x="6"/>
        <item h="1" x="3"/>
        <item h="1" x="8"/>
        <item h="1" x="1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s>
  <rowFields count="1">
    <field x="5"/>
  </rowFields>
  <rowItems count="5">
    <i>
      <x v="2"/>
    </i>
    <i>
      <x v="3"/>
    </i>
    <i>
      <x v="4"/>
    </i>
    <i>
      <x v="5"/>
    </i>
    <i t="grand">
      <x/>
    </i>
  </rowItems>
  <colItems count="1">
    <i/>
  </colItems>
  <dataFields count="1">
    <dataField name="Sum of Monthly_Salary" fld="8"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CBD546-7E43-4802-816B-6064EE9F012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B17" firstHeaderRow="1" firstDataRow="1" firstDataCol="1"/>
  <pivotFields count="25">
    <pivotField showAll="0"/>
    <pivotField showAll="0"/>
    <pivotField showAll="0"/>
    <pivotField showAll="0"/>
    <pivotField showAll="0"/>
    <pivotField showAll="0">
      <items count="7">
        <item h="1" x="3"/>
        <item h="1" x="0"/>
        <item x="5"/>
        <item x="4"/>
        <item x="1"/>
        <item x="2"/>
        <item t="default"/>
      </items>
    </pivotField>
    <pivotField showAll="0"/>
    <pivotField showAll="0"/>
    <pivotField showAll="0"/>
    <pivotField showAll="0"/>
    <pivotField showAll="0"/>
    <pivotField showAll="0"/>
    <pivotField axis="axisRow" showAll="0">
      <items count="7">
        <item x="3"/>
        <item x="2"/>
        <item x="1"/>
        <item x="0"/>
        <item x="4"/>
        <item h="1" x="5"/>
        <item t="default"/>
      </items>
    </pivotField>
    <pivotField dataFiel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s>
  <rowFields count="1">
    <field x="12"/>
  </rowFields>
  <rowItems count="6">
    <i>
      <x/>
    </i>
    <i>
      <x v="1"/>
    </i>
    <i>
      <x v="2"/>
    </i>
    <i>
      <x v="3"/>
    </i>
    <i>
      <x v="4"/>
    </i>
    <i t="grand">
      <x/>
    </i>
  </rowItems>
  <colItems count="1">
    <i/>
  </colItems>
  <dataFields count="1">
    <dataField name="Count of Bonus" fld="13" subtotal="count" baseField="1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B67928-8302-406D-8E82-C306DF328B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22:E28" firstHeaderRow="1" firstDataRow="1" firstDataCol="1"/>
  <pivotFields count="25">
    <pivotField showAll="0"/>
    <pivotField showAll="0"/>
    <pivotField showAll="0"/>
    <pivotField showAll="0"/>
    <pivotField showAll="0"/>
    <pivotField showAll="0">
      <items count="7">
        <item h="1" x="3"/>
        <item h="1" x="0"/>
        <item x="5"/>
        <item x="4"/>
        <item x="1"/>
        <item x="2"/>
        <item t="default"/>
      </items>
    </pivotField>
    <pivotField axis="axisRow" showAll="0">
      <items count="12">
        <item x="7"/>
        <item x="9"/>
        <item x="0"/>
        <item x="5"/>
        <item x="1"/>
        <item h="1" x="4"/>
        <item h="1" x="2"/>
        <item h="1" x="6"/>
        <item h="1" x="3"/>
        <item h="1" x="8"/>
        <item h="1" x="1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Average of Monthly_Salary" fld="8" subtotal="average" baseField="6" baseItem="0" numFmtId="1"/>
  </dataFields>
  <chartFormats count="1">
    <chartFormat chart="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C9F266-C7D5-4EE5-9B95-10A38D80602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L12" firstHeaderRow="1" firstDataRow="2" firstDataCol="1" rowPageCount="3" colPageCount="1"/>
  <pivotFields count="25">
    <pivotField showAll="0"/>
    <pivotField showAll="0"/>
    <pivotField showAll="0"/>
    <pivotField axis="axisPage" showAll="0">
      <items count="4">
        <item x="1"/>
        <item x="0"/>
        <item x="2"/>
        <item t="default"/>
      </items>
    </pivotField>
    <pivotField axis="axisPage" showAll="0">
      <items count="12">
        <item x="0"/>
        <item x="5"/>
        <item x="3"/>
        <item x="2"/>
        <item x="6"/>
        <item x="10"/>
        <item x="8"/>
        <item x="7"/>
        <item x="9"/>
        <item x="1"/>
        <item x="4"/>
        <item t="default"/>
      </items>
    </pivotField>
    <pivotField axis="axisRow" showAll="0">
      <items count="7">
        <item h="1" x="3"/>
        <item h="1" x="0"/>
        <item x="5"/>
        <item x="4"/>
        <item x="1"/>
        <item x="2"/>
        <item t="default"/>
      </items>
    </pivotField>
    <pivotField axis="axisPage" multipleItemSelectionAllowed="1" showAll="0">
      <items count="12">
        <item x="7"/>
        <item x="9"/>
        <item x="0"/>
        <item x="5"/>
        <item x="1"/>
        <item h="1" x="4"/>
        <item h="1" x="2"/>
        <item h="1" x="6"/>
        <item h="1" x="3"/>
        <item h="1" x="8"/>
        <item h="1" x="10"/>
        <item t="default"/>
      </items>
    </pivotField>
    <pivotField showAll="0"/>
    <pivotField dataField="1"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s>
  <rowFields count="1">
    <field x="5"/>
  </rowFields>
  <rowItems count="5">
    <i>
      <x v="2"/>
    </i>
    <i>
      <x v="3"/>
    </i>
    <i>
      <x v="4"/>
    </i>
    <i>
      <x v="5"/>
    </i>
    <i t="grand">
      <x/>
    </i>
  </rowItems>
  <colFields count="1">
    <field x="18"/>
  </colFields>
  <colItems count="4">
    <i>
      <x/>
    </i>
    <i>
      <x v="1"/>
    </i>
    <i>
      <x v="2"/>
    </i>
    <i t="grand">
      <x/>
    </i>
  </colItems>
  <pageFields count="3">
    <pageField fld="6" hier="-1"/>
    <pageField fld="3" hier="-1"/>
    <pageField fld="4" hier="-1"/>
  </pageFields>
  <dataFields count="1">
    <dataField name="Average of Monthly_Salary" fld="8" subtotal="average" baseField="5"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324D41-EEFF-4CBC-B452-BE898FA61D6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F18" firstHeaderRow="0" firstDataRow="1" firstDataCol="1"/>
  <pivotFields count="25">
    <pivotField showAll="0"/>
    <pivotField showAll="0"/>
    <pivotField showAll="0"/>
    <pivotField showAll="0"/>
    <pivotField showAll="0"/>
    <pivotField axis="axisRow" showAll="0">
      <items count="7">
        <item h="1" x="3"/>
        <item h="1" x="0"/>
        <item x="5"/>
        <item x="4"/>
        <item x="1"/>
        <item x="2"/>
        <item t="default"/>
      </items>
    </pivotField>
    <pivotField showAll="0">
      <items count="12">
        <item x="7"/>
        <item x="9"/>
        <item x="0"/>
        <item x="5"/>
        <item x="1"/>
        <item h="1" x="4"/>
        <item h="1" x="2"/>
        <item h="1" x="6"/>
        <item h="1" x="3"/>
        <item h="1" x="8"/>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dataField="1" showAll="0"/>
    <pivotField dataField="1" showAll="0"/>
    <pivotField showAll="0"/>
    <pivotField showAll="0"/>
    <pivotField showAll="0"/>
    <pivotField showAll="0"/>
  </pivotFields>
  <rowFields count="1">
    <field x="5"/>
  </rowFields>
  <rowItems count="5">
    <i>
      <x v="2"/>
    </i>
    <i>
      <x v="3"/>
    </i>
    <i>
      <x v="4"/>
    </i>
    <i>
      <x v="5"/>
    </i>
    <i t="grand">
      <x/>
    </i>
  </rowItems>
  <colFields count="1">
    <field x="-2"/>
  </colFields>
  <colItems count="2">
    <i>
      <x/>
    </i>
    <i i="1">
      <x v="1"/>
    </i>
  </colItems>
  <dataFields count="2">
    <dataField name="Count of Overtime_Hours" fld="19" subtotal="count" baseField="5" baseItem="0"/>
    <dataField name="Sum of Overtime_Cost" fld="20"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4E29E6-7904-4041-94F6-E29C5FF2D03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2:F8" firstHeaderRow="1" firstDataRow="1" firstDataCol="1"/>
  <pivotFields count="25">
    <pivotField showAll="0"/>
    <pivotField showAll="0"/>
    <pivotField showAll="0"/>
    <pivotField showAll="0"/>
    <pivotField showAll="0"/>
    <pivotField showAll="0">
      <items count="7">
        <item h="1" x="3"/>
        <item h="1" x="0"/>
        <item x="5"/>
        <item x="4"/>
        <item x="1"/>
        <item x="2"/>
        <item t="default"/>
      </items>
    </pivotField>
    <pivotField showAll="0">
      <items count="12">
        <item x="7"/>
        <item x="9"/>
        <item x="0"/>
        <item x="5"/>
        <item x="1"/>
        <item h="1" x="4"/>
        <item h="1" x="2"/>
        <item h="1" x="6"/>
        <item h="1" x="3"/>
        <item h="1" x="8"/>
        <item h="1" x="10"/>
        <item t="default"/>
      </items>
    </pivotField>
    <pivotField showAll="0"/>
    <pivotField dataField="1"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s>
  <rowFields count="1">
    <field x="11"/>
  </rowFields>
  <rowItems count="6">
    <i>
      <x v="1"/>
    </i>
    <i>
      <x v="2"/>
    </i>
    <i>
      <x v="3"/>
    </i>
    <i>
      <x v="4"/>
    </i>
    <i>
      <x v="5"/>
    </i>
    <i t="grand">
      <x/>
    </i>
  </rowItems>
  <colItems count="1">
    <i/>
  </colItems>
  <dataFields count="1">
    <dataField name="Average of Monthly_Salary" fld="8" subtotal="average" baseField="11" baseItem="0" numFmtId="1"/>
  </dataFields>
  <chartFormats count="5">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770274-B407-456D-98CA-ACC44D733AE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B24" firstHeaderRow="1" firstDataRow="1" firstDataCol="1"/>
  <pivotFields count="25">
    <pivotField dataField="1" showAll="0"/>
    <pivotField showAll="0"/>
    <pivotField showAll="0"/>
    <pivotField showAll="0"/>
    <pivotField showAll="0"/>
    <pivotField showAll="0">
      <items count="7">
        <item h="1" x="3"/>
        <item h="1" x="0"/>
        <item x="5"/>
        <item x="4"/>
        <item x="1"/>
        <item x="2"/>
        <item t="default"/>
      </items>
    </pivotField>
    <pivotField showAll="0">
      <items count="12">
        <item x="7"/>
        <item x="9"/>
        <item x="0"/>
        <item x="5"/>
        <item x="1"/>
        <item h="1" x="4"/>
        <item h="1" x="2"/>
        <item h="1" x="6"/>
        <item h="1" x="3"/>
        <item h="1" x="8"/>
        <item h="1" x="1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s>
  <rowFields count="1">
    <field x="18"/>
  </rowFields>
  <rowItems count="4">
    <i>
      <x/>
    </i>
    <i>
      <x v="1"/>
    </i>
    <i>
      <x v="2"/>
    </i>
    <i t="grand">
      <x/>
    </i>
  </rowItems>
  <colItems count="1">
    <i/>
  </colItems>
  <dataFields count="1">
    <dataField name="Count of Emp_ID" fld="0" subtotal="count" baseField="0" baseItem="0"/>
  </dataField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8" count="1" selected="0">
            <x v="0"/>
          </reference>
        </references>
      </pivotArea>
    </chartFormat>
    <chartFormat chart="1" format="3">
      <pivotArea type="data" outline="0" fieldPosition="0">
        <references count="2">
          <reference field="4294967294" count="1" selected="0">
            <x v="0"/>
          </reference>
          <reference field="18" count="1" selected="0">
            <x v="1"/>
          </reference>
        </references>
      </pivotArea>
    </chartFormat>
    <chartFormat chart="1" format="4">
      <pivotArea type="data" outline="0" fieldPosition="0">
        <references count="2">
          <reference field="4294967294" count="1" selected="0">
            <x v="0"/>
          </reference>
          <reference field="18"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8" count="1" selected="0">
            <x v="0"/>
          </reference>
        </references>
      </pivotArea>
    </chartFormat>
    <chartFormat chart="2" format="7">
      <pivotArea type="data" outline="0" fieldPosition="0">
        <references count="2">
          <reference field="4294967294" count="1" selected="0">
            <x v="0"/>
          </reference>
          <reference field="18" count="1" selected="0">
            <x v="1"/>
          </reference>
        </references>
      </pivotArea>
    </chartFormat>
    <chartFormat chart="2" format="8">
      <pivotArea type="data" outline="0" fieldPosition="0">
        <references count="2">
          <reference field="4294967294" count="1" selected="0">
            <x v="0"/>
          </reference>
          <reference field="18"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8" count="1" selected="0">
            <x v="0"/>
          </reference>
        </references>
      </pivotArea>
    </chartFormat>
    <chartFormat chart="3" format="7">
      <pivotArea type="data" outline="0" fieldPosition="0">
        <references count="2">
          <reference field="4294967294" count="1" selected="0">
            <x v="0"/>
          </reference>
          <reference field="18" count="1" selected="0">
            <x v="1"/>
          </reference>
        </references>
      </pivotArea>
    </chartFormat>
    <chartFormat chart="3" format="8">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4974DD-E0BA-4B0B-9AAD-304CAD9B9FD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2:C7" firstHeaderRow="0" firstDataRow="1" firstDataCol="1"/>
  <pivotFields count="25">
    <pivotField dataField="1" showAll="0"/>
    <pivotField showAll="0"/>
    <pivotField showAll="0"/>
    <pivotField showAll="0">
      <items count="4">
        <item x="1"/>
        <item x="0"/>
        <item x="2"/>
        <item t="default"/>
      </items>
    </pivotField>
    <pivotField showAll="0"/>
    <pivotField axis="axisRow" showAll="0">
      <items count="7">
        <item h="1" x="3"/>
        <item h="1" x="0"/>
        <item x="5"/>
        <item x="4"/>
        <item x="1"/>
        <item x="2"/>
        <item t="default"/>
      </items>
    </pivotField>
    <pivotField showAll="0">
      <items count="12">
        <item x="7"/>
        <item x="9"/>
        <item x="0"/>
        <item x="5"/>
        <item x="1"/>
        <item h="1" x="4"/>
        <item h="1" x="2"/>
        <item h="1" x="6"/>
        <item h="1" x="3"/>
        <item h="1" x="8"/>
        <item h="1" x="1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2">
        <item x="0"/>
        <item t="default"/>
      </items>
    </pivotField>
    <pivotField showAll="0"/>
    <pivotField showAll="0"/>
  </pivotFields>
  <rowFields count="1">
    <field x="5"/>
  </rowFields>
  <rowItems count="5">
    <i>
      <x v="2"/>
    </i>
    <i>
      <x v="3"/>
    </i>
    <i>
      <x v="4"/>
    </i>
    <i>
      <x v="5"/>
    </i>
    <i t="grand">
      <x/>
    </i>
  </rowItems>
  <colFields count="1">
    <field x="-2"/>
  </colFields>
  <colItems count="2">
    <i>
      <x/>
    </i>
    <i i="1">
      <x v="1"/>
    </i>
  </colItems>
  <dataFields count="2">
    <dataField name="Average of Monthly_Salary" fld="8" subtotal="average" baseField="5" baseItem="0" numFmtId="1"/>
    <dataField name="Count of Emp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8471AC-5C85-45D9-9339-984C84A13D8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13" firstHeaderRow="1" firstDataRow="1" firstDataCol="1"/>
  <pivotFields count="25">
    <pivotField dataField="1" showAll="0"/>
    <pivotField showAll="0"/>
    <pivotField showAll="0"/>
    <pivotField showAll="0"/>
    <pivotField axis="axisRow" showAll="0">
      <items count="12">
        <item x="0"/>
        <item x="5"/>
        <item x="3"/>
        <item x="2"/>
        <item x="6"/>
        <item x="10"/>
        <item x="8"/>
        <item x="7"/>
        <item x="9"/>
        <item x="1"/>
        <item h="1" x="4"/>
        <item t="default"/>
      </items>
    </pivotField>
    <pivotField showAll="0">
      <items count="7">
        <item h="1" x="3"/>
        <item h="1" x="0"/>
        <item x="5"/>
        <item x="4"/>
        <item x="1"/>
        <item x="2"/>
        <item t="default"/>
      </items>
    </pivotField>
    <pivotField showAll="0">
      <items count="12">
        <item x="7"/>
        <item x="9"/>
        <item x="0"/>
        <item x="5"/>
        <item x="1"/>
        <item h="1" x="4"/>
        <item h="1" x="2"/>
        <item h="1" x="6"/>
        <item h="1" x="3"/>
        <item h="1" x="8"/>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Count of Emp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34506BF-2358-4781-B880-5E6E6FA9531D}" sourceName="Department">
  <pivotTables>
    <pivotTable tabId="22" name="PivotTable1"/>
    <pivotTable tabId="26" name="PivotTable10"/>
    <pivotTable tabId="22" name="PivotTable2"/>
    <pivotTable tabId="22" name="PivotTable3"/>
    <pivotTable tabId="22" name="PivotTable4"/>
    <pivotTable tabId="22" name="PivotTable5"/>
    <pivotTable tabId="22" name="PivotTable6"/>
    <pivotTable tabId="22" name="PivotTable7"/>
    <pivotTable tabId="22" name="PivotTable8"/>
    <pivotTable tabId="22" name="PivotTable9"/>
  </pivotTables>
  <data>
    <tabular pivotCacheId="1734254321">
      <items count="6">
        <i x="3"/>
        <i x="0"/>
        <i x="5"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 xr10:uid="{BD6C63A1-5F17-467F-AEE7-318F5A4B442C}" sourceName="Role">
  <pivotTables>
    <pivotTable tabId="22" name="PivotTable1"/>
    <pivotTable tabId="26" name="PivotTable10"/>
    <pivotTable tabId="22" name="PivotTable2"/>
    <pivotTable tabId="22" name="PivotTable4"/>
    <pivotTable tabId="22" name="PivotTable5"/>
    <pivotTable tabId="22" name="PivotTable6"/>
    <pivotTable tabId="22" name="PivotTable7"/>
    <pivotTable tabId="22" name="PivotTable8"/>
    <pivotTable tabId="22" name="PivotTable9"/>
  </pivotTables>
  <data>
    <tabular pivotCacheId="1734254321">
      <items count="11">
        <i x="7" s="1"/>
        <i x="9" s="1"/>
        <i x="0" s="1"/>
        <i x="5" s="1"/>
        <i x="1" s="1"/>
        <i x="4"/>
        <i x="2"/>
        <i x="6"/>
        <i x="3"/>
        <i x="8"/>
        <i x="1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Mode" xr10:uid="{0F383A63-979F-4FCD-9C10-9A940D2B3A99}" sourceName="Work_Mode">
  <pivotTables>
    <pivotTable tabId="22" name="PivotTable1"/>
    <pivotTable tabId="26" name="PivotTable10"/>
    <pivotTable tabId="22" name="PivotTable2"/>
    <pivotTable tabId="22" name="PivotTable3"/>
    <pivotTable tabId="22" name="PivotTable4"/>
    <pivotTable tabId="22" name="PivotTable5"/>
    <pivotTable tabId="22" name="PivotTable6"/>
    <pivotTable tabId="22" name="PivotTable7"/>
    <pivotTable tabId="22" name="PivotTable8"/>
    <pivotTable tabId="22" name="PivotTable9"/>
  </pivotTables>
  <data>
    <tabular pivotCacheId="173425432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C63A860-B59F-4512-B4CE-8BD6851F7624}" cache="Slicer_Department" caption="Department" startItem="2" rowHeight="241300"/>
  <slicer name="Role" xr10:uid="{E3D8DF4C-38DD-40F7-AB45-101371F97182}" cache="Slicer_Role" caption="Role" rowHeight="241300"/>
  <slicer name="Work_Mode" xr10:uid="{5CA4922F-031E-461B-85C5-F52F981F0AC6}" cache="Slicer_Work_Mode" caption="Work_Mo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F6EBE3-5C76-47E4-B459-BECF086C1A64}" name="Table2" displayName="Table2" ref="A1:AI502">
  <autoFilter ref="A1:AI502" xr:uid="{78F6EBE3-5C76-47E4-B459-BECF086C1A64}"/>
  <tableColumns count="35">
    <tableColumn id="1" xr3:uid="{491FB555-5487-4C8B-8982-4C91D8EE4226}" name="Emp_ID" totalsRowLabel="Total"/>
    <tableColumn id="2" xr3:uid="{A7968889-784A-4755-802F-FC391EC3FEDE}" name="Emp_Name"/>
    <tableColumn id="3" xr3:uid="{41031B05-69DE-4D45-AFC1-DA8D6531F47D}" name="Age"/>
    <tableColumn id="4" xr3:uid="{9EDB81B4-C20B-4A72-B297-9483B4C85D5E}" name="Gender"/>
    <tableColumn id="32" xr3:uid="{C6718A4B-D4BD-4339-B832-62F84D8F43BF}" name="Gender_Final" dataDxfId="26">
      <calculatedColumnFormula>IF(OR(Table2[[#This Row],[Gender]]="Male",Table2[[#This Row],[Gender]]="M"),"M",
IF(OR(Table2[[#This Row],[Gender]]="Female",Table2[[#This Row],[Gender]]="F"),"F",""))</calculatedColumnFormula>
    </tableColumn>
    <tableColumn id="5" xr3:uid="{1F7D410A-4879-4EF9-9A7E-6F0FCE26DA9A}" name="City"/>
    <tableColumn id="6" xr3:uid="{1100B4E9-7B0C-4FA7-BECD-4D489C589647}" name="Department"/>
    <tableColumn id="7" xr3:uid="{151A25B3-8D4D-403D-BC8D-06DA0CF2ED7B}" name="Role"/>
    <tableColumn id="8" xr3:uid="{BAB21C6A-7101-437A-97AA-2FCF677962A5}" name="Currency"/>
    <tableColumn id="35" xr3:uid="{99990281-D0F0-44A4-A348-2E0F9BF37C35}" name="Currency_Final" dataDxfId="25">
      <calculatedColumnFormula>IF(ISNUMBER(SEARCH("India",Table2[[#This Row],[Emp_Name]])),"INR",
IF(ISNUMBER(SEARCH("Foreign",Table2[[#This Row],[Emp_Name]])),Table2[[#This Row],[Currency]],Table2[[#This Row],[Currency]]))</calculatedColumnFormula>
    </tableColumn>
    <tableColumn id="9" xr3:uid="{BF18E576-2280-4654-AE5C-3E2F5894885B}" name="Monthly_Salary"/>
    <tableColumn id="10" xr3:uid="{CAF8CCC6-D218-4973-8538-0223B62A96E4}" name="Num_Month"/>
    <tableColumn id="33" xr3:uid="{D7F63357-626C-4344-AD9B-B92D4C72188D}" name="Num_Month_Final" dataDxfId="24">
      <calculatedColumnFormula>IF(Table2[[#This Row],[Num_Month]]&lt;&gt;12,12,Table2[[#This Row],[Num_Month]])</calculatedColumnFormula>
    </tableColumn>
    <tableColumn id="40" xr3:uid="{F5A87AB4-CA75-4A10-831C-76992C49241F}" name="Annual_Salary" dataDxfId="23">
      <calculatedColumnFormula>IF(Table2[[#This Row],[Monthly_Salary]]="","",Table2[[#This Row],[Monthly_Salary]]*Table2[[#This Row],[Num_Month_Final]])</calculatedColumnFormula>
    </tableColumn>
    <tableColumn id="11" xr3:uid="{E7CFEB7E-0ED2-4B2C-8088-F983351F3FD7}" name="Exp_Years"/>
    <tableColumn id="36" xr3:uid="{BAC1E63B-7252-441D-9DFB-93BA4FA7A809}" name="Exp_Years_Final" dataDxfId="22">
      <calculatedColumnFormula>IF(Table2[[#This Row],[Exp_Years]]&lt;0,ABS(Table2[[#This Row],[Exp_Years]]),Table2[[#This Row],[Exp_Years]])</calculatedColumnFormula>
    </tableColumn>
    <tableColumn id="12" xr3:uid="{47C0FC68-1B3D-4D87-8E88-71FF87C3267D}" name="Performance_Rating"/>
    <tableColumn id="13" xr3:uid="{08AE1D33-66D8-4C87-AEF8-A9FF5E173A8D}" name="Bonus"/>
    <tableColumn id="34" xr3:uid="{19C95021-C5BB-48C8-B995-A50701E25B22}" name="Bonus Final" dataDxfId="21">
      <calculatedColumnFormula>IF(Table2[[#This Row],[Performance_Rating]]&gt;=3,Table2[[#This Row],[Monthly_Salary]]*0.3,"")</calculatedColumnFormula>
    </tableColumn>
    <tableColumn id="14" xr3:uid="{8A5A3C16-1DB6-43B2-9F31-9D06E3FE9590}" name="Attendance_%"/>
    <tableColumn id="15" xr3:uid="{1B0BEF30-FBED-4A1E-AAF7-B43EE36302A3}" name="Leaves_Taken"/>
    <tableColumn id="16" xr3:uid="{2554ECB1-35E3-48CC-B911-53E010E026FD}" name="Projects_Handled"/>
    <tableColumn id="17" xr3:uid="{160E67BF-FB70-411C-9D8C-5BE6CAB38D5F}" name="Promotion_Status"/>
    <tableColumn id="18" xr3:uid="{5548809B-FDC5-48BB-9586-D028826E5351}" name="Work_Mode"/>
    <tableColumn id="39" xr3:uid="{CB7941E9-FC1A-4E64-8393-9FBD50C1087A}" name="Work_Mode_Final" dataDxfId="20">
      <calculatedColumnFormula>IF(Table2[[#This Row],[Work_Mode]]&lt;&gt;"",Table2[[#This Row],[Work_Mode]],
IF(ISNUMBER(SEARCH("India",Table2[[#This Row],[Emp_Name]])),"Office",
IF(ISNUMBER(SEARCH("Foreign",Table2[[#This Row],[Emp_Name]])),"Remote","")))</calculatedColumnFormula>
    </tableColumn>
    <tableColumn id="20" xr3:uid="{D505AE85-6C76-4491-B589-BB02E80E8F11}" name="Overtime_Hours"/>
    <tableColumn id="41" xr3:uid="{18AEBE9A-1DC6-4D6D-815B-FE1129C795E0}" name="Overtime_Cost" dataDxfId="19">
      <calculatedColumnFormula>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calculatedColumnFormula>
    </tableColumn>
    <tableColumn id="22" xr3:uid="{6A2974B9-5050-482C-B59A-5D69B2990672}" name="Salary_Band" totalsRowFunction="count"/>
    <tableColumn id="25" xr3:uid="{C708515C-DB00-48AC-B037-6DE6B44072B0}" name="Emp_Dup_Check" dataDxfId="18">
      <calculatedColumnFormula>IF(COUNTIF(Table2[Emp_ID],Table2[[#This Row],[Emp_ID]])&gt;1,"Duplicate","Unique")</calculatedColumnFormula>
    </tableColumn>
    <tableColumn id="27" xr3:uid="{D554DE8E-70A3-4786-BABA-CA6C41349C1C}" name="Row_Concat" dataDxfId="17"/>
    <tableColumn id="28" xr3:uid="{502D049C-AAF3-4F60-AC6D-CEC6A0E8BC97}" name="Row_Status" dataDxfId="16"/>
    <tableColumn id="30" xr3:uid="{72DFE64D-58F7-4869-9AD9-D8A4E1D2A49D}" name="Row_Number" dataDxfId="15"/>
    <tableColumn id="31" xr3:uid="{E71DA2E2-5E27-4DE2-94ED-3D267BB24100}" name="Exclusion" dataDxfId="14">
      <calculatedColumnFormula>IF(Table2[[#This Row],[Monthly_Salary]]="","Exclude",
IF(Table2[[#This Row],[Row_Status]]="Mismatch","Exclude",
IF(AND(Table2[[#This Row],[Row_Status]]="Exact Duplicate",
COUNTIFS(Table2[Emp_ID],Table2[[#This Row],[Emp_ID]],Table2[Row_Concat],Table2[[#This Row],[Row_Concat]],
Table2[Row_Number],"&lt;"&amp;Table2[[#This Row],[Row_Number]])&gt;=1),"Delete","")))</calculatedColumnFormula>
    </tableColumn>
    <tableColumn id="37" xr3:uid="{11A6A86E-5950-4BE1-A12D-C99A2C3C720E}" name="Shift" dataDxfId="13">
      <calculatedColumnFormula>VLOOKUP(Table2[[#This Row],[Department]],Raw_2!A:B,2,0)</calculatedColumnFormula>
    </tableColumn>
    <tableColumn id="38" xr3:uid="{6DA4058F-EBCC-40BC-87B2-4549A6AC8122}" name="Training_Hours" dataDxfId="12">
      <calculatedColumnFormula>VLOOKUP(Table2[[#This Row],[Department]],Raw_2!A:C,3,0)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86581C1-B1E7-4FAB-843A-B325CFEA82DE}" name="Table5" displayName="Table5" ref="A1:Y502" totalsRowShown="0">
  <autoFilter ref="A1:Y502" xr:uid="{586581C1-B1E7-4FAB-843A-B325CFEA82DE}"/>
  <tableColumns count="25">
    <tableColumn id="1" xr3:uid="{5CABBD53-1894-464C-ACAE-5EC3755E5DA2}" name="Emp_ID"/>
    <tableColumn id="2" xr3:uid="{F5EEB721-220F-4772-843A-B46E2A10EAAA}" name="Emp_Name"/>
    <tableColumn id="3" xr3:uid="{CFFE9337-8413-4829-805F-F9A95887C44C}" name="Age"/>
    <tableColumn id="5" xr3:uid="{876D1132-56C8-47FF-B990-2853FD38503C}" name="Gender"/>
    <tableColumn id="6" xr3:uid="{2EF2B814-0A34-44D1-9629-0D4648D902D8}" name="City"/>
    <tableColumn id="7" xr3:uid="{77503038-EA68-43D5-855B-E004C0E9E960}" name="Department"/>
    <tableColumn id="8" xr3:uid="{CC9152DF-E73F-4069-8CB5-5639C3780C2B}" name="Role"/>
    <tableColumn id="10" xr3:uid="{5ACAE549-FF8F-41B2-A141-7AAF5164C563}" name="Currency"/>
    <tableColumn id="11" xr3:uid="{5FF080D6-A785-4B99-88AE-A6332C41381A}" name="Monthly_Salary"/>
    <tableColumn id="13" xr3:uid="{AFB2CB50-9B4E-41B4-8372-5BF8BE69F9B0}" name="Num_Month"/>
    <tableColumn id="14" xr3:uid="{B3854444-28EF-4672-B9FB-33DC37631873}" name="Annual_Salary"/>
    <tableColumn id="16" xr3:uid="{FFA5A918-E28F-4BC5-9C7C-78BA34AEBD2B}" name="Exp_Years"/>
    <tableColumn id="17" xr3:uid="{4B82B570-B69D-4028-9FAF-214B30D9726A}" name="Performance_Rating"/>
    <tableColumn id="19" xr3:uid="{2BA82238-0B5E-40CD-BD29-11A768FDE7AF}" name="Bonus"/>
    <tableColumn id="20" xr3:uid="{BE29AA2A-4B97-459C-80E9-8B7C5B19C8D3}" name="Attendance_%"/>
    <tableColumn id="21" xr3:uid="{DEF174FC-F488-41D0-9684-E45D38271667}" name="Leaves_Taken"/>
    <tableColumn id="22" xr3:uid="{3C73B061-59A8-4EA3-B8C7-CA54473FC0B9}" name="Projects_Handled"/>
    <tableColumn id="23" xr3:uid="{42173797-7FE9-419D-B5D6-7C609852980C}" name="Promotion_Status"/>
    <tableColumn id="25" xr3:uid="{DFFE3E64-0805-4144-825C-07D0C0FA2FAE}" name="Work_Mode"/>
    <tableColumn id="26" xr3:uid="{32E12E90-82A6-4F01-A8E0-BCC76A4F96ED}" name="Overtime_Hours"/>
    <tableColumn id="27" xr3:uid="{6AF8D900-827C-4074-B3EB-D8A049117650}" name="Overtime_Cost"/>
    <tableColumn id="28" xr3:uid="{6DEB686E-B3A7-4B98-A740-1DF24EF5C111}" name="Salary_Band"/>
    <tableColumn id="33" xr3:uid="{F4526469-396F-4CDA-B6AB-87D1B559CFF8}" name="Exclusion"/>
    <tableColumn id="34" xr3:uid="{FB30A850-574D-4745-8C7A-C76AD192ED9F}" name="Shift"/>
    <tableColumn id="35" xr3:uid="{0B0CF8E2-AA11-41D8-AB68-7D5CA787E575}" name="Training_Hour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5F15AA-458C-423A-BDE2-29085A2E46E0}" name="Table52" displayName="Table52" ref="A1:Y496" totalsRowShown="0">
  <autoFilter ref="A1:Y496" xr:uid="{815F15AA-458C-423A-BDE2-29085A2E46E0}"/>
  <tableColumns count="25">
    <tableColumn id="1" xr3:uid="{C07F6A92-2FD6-4834-9DC9-27140D4AFFF8}" name="Emp_ID"/>
    <tableColumn id="2" xr3:uid="{1661CCFB-EEE6-4174-93CB-D30D44A9BA92}" name="Emp_Name"/>
    <tableColumn id="3" xr3:uid="{74B5CB7F-0320-4B28-9C62-C42364DC4354}" name="Age"/>
    <tableColumn id="5" xr3:uid="{E1F525E3-0C76-437E-97B7-747B7173857E}" name="Gender"/>
    <tableColumn id="6" xr3:uid="{5A2E8D04-F91D-4BEB-8FAF-88EA1CDB5D21}" name="City"/>
    <tableColumn id="4" xr3:uid="{BF2022CB-BE43-46E1-BE3E-5864ED94EBBE}" name="Department" dataDxfId="11"/>
    <tableColumn id="8" xr3:uid="{52466265-AF8E-4347-8B0A-9F2F0239BE91}" name="Role"/>
    <tableColumn id="10" xr3:uid="{88239A1F-C130-4445-B81E-CC3305762554}" name="Currency"/>
    <tableColumn id="11" xr3:uid="{BFACAFA6-CB3F-4A91-B159-784BC2FF8324}" name="Monthly_Salary"/>
    <tableColumn id="13" xr3:uid="{53A54D8C-9085-4876-A8F9-F9BC769CC816}" name="Num_Month"/>
    <tableColumn id="14" xr3:uid="{D38FECDE-AE42-4E6C-AC1B-BEF3FDE51CCF}" name="Annual_Salary"/>
    <tableColumn id="16" xr3:uid="{FD922AAA-ED1C-444F-BF0A-A69B61BA41CD}" name="Exp_Years"/>
    <tableColumn id="17" xr3:uid="{0F8E91CF-F64C-4F29-A272-703E464B7EB1}" name="Performance_Rating"/>
    <tableColumn id="19" xr3:uid="{00A2C113-0F75-4015-AC75-DFEEE7FC2A69}" name="Bonus"/>
    <tableColumn id="20" xr3:uid="{5A08F810-45F8-4A73-BEB2-75EB4CFEA2CD}" name="Attendance_%"/>
    <tableColumn id="21" xr3:uid="{F54162A6-73E5-4CED-9A56-96B57D875AD4}" name="Leaves_Taken"/>
    <tableColumn id="22" xr3:uid="{BB291A1B-A8A2-456C-8791-47165C9DDD18}" name="Projects_Handled"/>
    <tableColumn id="23" xr3:uid="{9416FC81-E142-4EF1-90B2-58D0630BEE47}" name="Promotion_Status"/>
    <tableColumn id="25" xr3:uid="{5053168D-D425-47FF-ADDF-CB222D56E775}" name="Work_Mode"/>
    <tableColumn id="26" xr3:uid="{905FBB37-1259-40E7-958D-13F6B8724F7E}" name="Overtime_Hours"/>
    <tableColumn id="27" xr3:uid="{EECDCF5B-579D-4B8C-8663-5D3EE28A8C8E}" name="Overtime_Cost"/>
    <tableColumn id="28" xr3:uid="{43072386-11BF-4656-BD4D-506366BE0D2D}" name="Salary_Band"/>
    <tableColumn id="33" xr3:uid="{8F054ADE-75EB-4926-8E3F-0B8DE1A92B0F}" name="Exclusion"/>
    <tableColumn id="34" xr3:uid="{A4F59B8D-7278-471E-B2D2-7A7B3D624B89}" name="Shift"/>
    <tableColumn id="35" xr3:uid="{D46B696E-AA25-4532-9103-EC53495EE937}" name="Training_Hour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E50542-7DE3-460E-8AEF-0BB7A8E6C2A3}" name="Table3" displayName="Table3" ref="A2:D9" totalsRowShown="0" headerRowBorderDxfId="10" tableBorderDxfId="9" totalsRowBorderDxfId="8">
  <tableColumns count="4">
    <tableColumn id="1" xr3:uid="{33F2ED98-198E-42C8-9BED-44A6DF525E6B}" name="KPI" dataDxfId="7"/>
    <tableColumn id="2" xr3:uid="{E058386C-8275-4B8F-8D37-DECDC326419E}" name="Values" dataDxfId="6"/>
    <tableColumn id="3" xr3:uid="{6102E62B-72C5-47C3-B3D0-4B222F4799D5}" name="Final Values" dataDxfId="5"/>
    <tableColumn id="5" xr3:uid="{EB9D3844-65B9-4057-9911-22DF9AA598FF}" name="Dashboard Name" dataDxfId="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31846-4BDC-4624-A8BD-479DDD5B1A71}">
  <dimension ref="A1:V502"/>
  <sheetViews>
    <sheetView tabSelected="1" zoomScale="89" zoomScaleNormal="175" workbookViewId="0"/>
  </sheetViews>
  <sheetFormatPr defaultRowHeight="14.5"/>
  <cols>
    <col min="1" max="1" width="10" bestFit="1" customWidth="1"/>
    <col min="2" max="2" width="19.90625" bestFit="1" customWidth="1"/>
    <col min="12" max="12" width="20.90625" bestFit="1" customWidth="1"/>
  </cols>
  <sheetData>
    <row r="1" spans="1:22">
      <c r="A1" t="s">
        <v>1061</v>
      </c>
      <c r="B1" t="s">
        <v>1062</v>
      </c>
      <c r="C1" t="s">
        <v>0</v>
      </c>
      <c r="D1" t="s">
        <v>1</v>
      </c>
      <c r="E1" t="s">
        <v>2</v>
      </c>
      <c r="F1" t="s">
        <v>3</v>
      </c>
      <c r="G1" t="s">
        <v>4</v>
      </c>
      <c r="H1" t="s">
        <v>1058</v>
      </c>
      <c r="I1" t="s">
        <v>1052</v>
      </c>
      <c r="J1" t="s">
        <v>1053</v>
      </c>
      <c r="K1" t="s">
        <v>1072</v>
      </c>
      <c r="L1" t="s">
        <v>5</v>
      </c>
      <c r="M1" t="s">
        <v>6</v>
      </c>
      <c r="N1" t="s">
        <v>7</v>
      </c>
      <c r="O1" t="s">
        <v>8</v>
      </c>
      <c r="P1" t="s">
        <v>9</v>
      </c>
      <c r="Q1" t="s">
        <v>10</v>
      </c>
      <c r="R1" t="s">
        <v>11</v>
      </c>
      <c r="S1" t="s">
        <v>12</v>
      </c>
      <c r="T1" t="s">
        <v>13</v>
      </c>
      <c r="U1" t="s">
        <v>14</v>
      </c>
      <c r="V1" t="s">
        <v>15</v>
      </c>
    </row>
    <row r="2" spans="1:22">
      <c r="A2" t="s">
        <v>23</v>
      </c>
      <c r="B2" t="s">
        <v>24</v>
      </c>
      <c r="C2">
        <v>44</v>
      </c>
      <c r="D2" t="s">
        <v>25</v>
      </c>
      <c r="E2" t="s">
        <v>26</v>
      </c>
      <c r="F2" t="s">
        <v>27</v>
      </c>
      <c r="G2" t="s">
        <v>1049</v>
      </c>
      <c r="H2" t="s">
        <v>1060</v>
      </c>
      <c r="I2">
        <v>99000</v>
      </c>
      <c r="J2">
        <v>12</v>
      </c>
      <c r="K2">
        <v>11</v>
      </c>
      <c r="L2">
        <v>4</v>
      </c>
      <c r="M2">
        <v>59000</v>
      </c>
      <c r="N2">
        <v>90</v>
      </c>
      <c r="O2">
        <v>15</v>
      </c>
      <c r="P2">
        <v>3</v>
      </c>
      <c r="R2" t="s">
        <v>38</v>
      </c>
      <c r="S2" t="s">
        <v>20</v>
      </c>
      <c r="V2" t="s">
        <v>22</v>
      </c>
    </row>
    <row r="3" spans="1:22">
      <c r="A3" t="s">
        <v>29</v>
      </c>
      <c r="B3" t="s">
        <v>30</v>
      </c>
      <c r="C3">
        <v>24</v>
      </c>
      <c r="D3" t="s">
        <v>25</v>
      </c>
      <c r="E3" t="s">
        <v>26</v>
      </c>
      <c r="F3" t="s">
        <v>31</v>
      </c>
      <c r="G3" t="s">
        <v>1045</v>
      </c>
      <c r="H3" t="s">
        <v>1060</v>
      </c>
      <c r="I3">
        <v>70500</v>
      </c>
      <c r="J3">
        <v>12</v>
      </c>
      <c r="K3">
        <v>7</v>
      </c>
      <c r="L3">
        <v>4</v>
      </c>
      <c r="M3">
        <v>10871</v>
      </c>
      <c r="N3">
        <v>80</v>
      </c>
      <c r="O3">
        <v>5</v>
      </c>
      <c r="P3">
        <v>5</v>
      </c>
      <c r="R3" t="s">
        <v>38</v>
      </c>
      <c r="S3" t="s">
        <v>20</v>
      </c>
      <c r="T3">
        <v>5</v>
      </c>
      <c r="V3" t="s">
        <v>22</v>
      </c>
    </row>
    <row r="4" spans="1:22">
      <c r="A4" t="s">
        <v>40</v>
      </c>
      <c r="B4" t="s">
        <v>41</v>
      </c>
      <c r="C4">
        <v>25</v>
      </c>
      <c r="E4" t="s">
        <v>17</v>
      </c>
      <c r="F4" t="s">
        <v>42</v>
      </c>
      <c r="G4" t="s">
        <v>51</v>
      </c>
      <c r="H4" t="s">
        <v>1060</v>
      </c>
      <c r="I4">
        <v>36000</v>
      </c>
      <c r="J4">
        <v>12</v>
      </c>
      <c r="K4">
        <v>3</v>
      </c>
      <c r="L4">
        <v>3</v>
      </c>
      <c r="M4">
        <v>10000</v>
      </c>
      <c r="N4">
        <v>90</v>
      </c>
      <c r="O4">
        <v>5</v>
      </c>
      <c r="P4">
        <v>1</v>
      </c>
      <c r="Q4" t="s">
        <v>21</v>
      </c>
      <c r="R4" t="s">
        <v>38</v>
      </c>
      <c r="S4" t="s">
        <v>20</v>
      </c>
      <c r="T4">
        <v>10</v>
      </c>
      <c r="U4">
        <v>20</v>
      </c>
      <c r="V4" t="s">
        <v>22</v>
      </c>
    </row>
    <row r="5" spans="1:22">
      <c r="A5" t="s">
        <v>44</v>
      </c>
      <c r="B5" t="s">
        <v>45</v>
      </c>
      <c r="C5">
        <v>27</v>
      </c>
      <c r="D5" t="s">
        <v>46</v>
      </c>
      <c r="E5" t="s">
        <v>47</v>
      </c>
      <c r="F5" t="s">
        <v>31</v>
      </c>
      <c r="G5" t="s">
        <v>51</v>
      </c>
      <c r="H5" t="s">
        <v>1060</v>
      </c>
      <c r="I5">
        <v>36000</v>
      </c>
      <c r="J5">
        <v>12</v>
      </c>
      <c r="K5">
        <v>3</v>
      </c>
      <c r="L5">
        <v>3</v>
      </c>
      <c r="M5">
        <v>8000</v>
      </c>
      <c r="N5">
        <v>80</v>
      </c>
      <c r="O5">
        <v>5</v>
      </c>
      <c r="P5">
        <v>3</v>
      </c>
      <c r="S5" t="s">
        <v>20</v>
      </c>
      <c r="T5">
        <v>10</v>
      </c>
      <c r="U5">
        <v>30</v>
      </c>
      <c r="V5" t="s">
        <v>22</v>
      </c>
    </row>
    <row r="6" spans="1:22">
      <c r="A6" t="s">
        <v>48</v>
      </c>
      <c r="B6" t="s">
        <v>49</v>
      </c>
      <c r="C6">
        <v>27</v>
      </c>
      <c r="D6" t="s">
        <v>46</v>
      </c>
      <c r="E6" t="s">
        <v>50</v>
      </c>
      <c r="F6" t="s">
        <v>31</v>
      </c>
      <c r="G6" t="s">
        <v>51</v>
      </c>
      <c r="H6" t="s">
        <v>1060</v>
      </c>
      <c r="I6">
        <v>49000</v>
      </c>
      <c r="J6">
        <v>12</v>
      </c>
      <c r="K6">
        <v>-4</v>
      </c>
      <c r="L6">
        <v>2</v>
      </c>
      <c r="M6">
        <v>23300</v>
      </c>
      <c r="N6">
        <v>95</v>
      </c>
      <c r="O6">
        <v>5</v>
      </c>
      <c r="P6">
        <v>3</v>
      </c>
      <c r="Q6" t="s">
        <v>37</v>
      </c>
      <c r="R6" t="s">
        <v>38</v>
      </c>
      <c r="S6" t="s">
        <v>20</v>
      </c>
      <c r="T6">
        <v>5</v>
      </c>
      <c r="U6">
        <v>30</v>
      </c>
      <c r="V6" t="s">
        <v>39</v>
      </c>
    </row>
    <row r="7" spans="1:22">
      <c r="A7" t="s">
        <v>52</v>
      </c>
      <c r="B7" t="s">
        <v>53</v>
      </c>
      <c r="C7">
        <v>27</v>
      </c>
      <c r="E7" t="s">
        <v>50</v>
      </c>
      <c r="F7" t="s">
        <v>36</v>
      </c>
      <c r="G7" t="s">
        <v>51</v>
      </c>
      <c r="H7" t="s">
        <v>1060</v>
      </c>
      <c r="I7">
        <v>51000</v>
      </c>
      <c r="J7">
        <v>12</v>
      </c>
      <c r="K7">
        <v>4</v>
      </c>
      <c r="L7">
        <v>3</v>
      </c>
      <c r="M7">
        <v>10000</v>
      </c>
      <c r="N7">
        <v>88</v>
      </c>
      <c r="O7">
        <v>5</v>
      </c>
      <c r="P7">
        <v>5</v>
      </c>
      <c r="R7" t="s">
        <v>38</v>
      </c>
      <c r="S7" t="s">
        <v>20</v>
      </c>
      <c r="U7">
        <v>12</v>
      </c>
      <c r="V7" t="s">
        <v>22</v>
      </c>
    </row>
    <row r="8" spans="1:22">
      <c r="A8" t="s">
        <v>54</v>
      </c>
      <c r="B8" t="s">
        <v>55</v>
      </c>
      <c r="C8">
        <v>26</v>
      </c>
      <c r="D8" t="s">
        <v>25</v>
      </c>
      <c r="F8" t="s">
        <v>42</v>
      </c>
      <c r="G8" t="s">
        <v>51</v>
      </c>
      <c r="H8" t="s">
        <v>1060</v>
      </c>
      <c r="I8">
        <v>42000</v>
      </c>
      <c r="J8">
        <v>12</v>
      </c>
      <c r="K8">
        <v>3</v>
      </c>
      <c r="L8">
        <v>1</v>
      </c>
      <c r="M8">
        <v>23400</v>
      </c>
      <c r="N8">
        <v>95</v>
      </c>
      <c r="O8">
        <v>15</v>
      </c>
      <c r="P8">
        <v>5</v>
      </c>
      <c r="Q8" t="s">
        <v>21</v>
      </c>
      <c r="R8" t="s">
        <v>38</v>
      </c>
      <c r="S8" t="s">
        <v>20</v>
      </c>
      <c r="T8">
        <v>10</v>
      </c>
      <c r="U8">
        <v>20</v>
      </c>
      <c r="V8" t="s">
        <v>39</v>
      </c>
    </row>
    <row r="9" spans="1:22">
      <c r="A9" t="s">
        <v>56</v>
      </c>
      <c r="B9" t="s">
        <v>594</v>
      </c>
      <c r="C9">
        <v>25</v>
      </c>
      <c r="D9" t="s">
        <v>34</v>
      </c>
      <c r="E9" t="s">
        <v>57</v>
      </c>
      <c r="F9" t="s">
        <v>42</v>
      </c>
      <c r="G9" t="s">
        <v>51</v>
      </c>
      <c r="H9" t="s">
        <v>1059</v>
      </c>
      <c r="I9">
        <v>36000</v>
      </c>
      <c r="J9">
        <v>12</v>
      </c>
      <c r="K9">
        <v>3</v>
      </c>
      <c r="L9">
        <v>4</v>
      </c>
      <c r="M9">
        <v>15000</v>
      </c>
      <c r="N9">
        <v>80</v>
      </c>
      <c r="O9">
        <v>7</v>
      </c>
      <c r="P9">
        <v>5</v>
      </c>
      <c r="R9" t="s">
        <v>28</v>
      </c>
      <c r="S9" t="s">
        <v>20</v>
      </c>
      <c r="U9">
        <v>20</v>
      </c>
      <c r="V9" t="s">
        <v>58</v>
      </c>
    </row>
    <row r="10" spans="1:22">
      <c r="A10" t="s">
        <v>59</v>
      </c>
      <c r="B10" t="s">
        <v>60</v>
      </c>
      <c r="C10">
        <v>26</v>
      </c>
      <c r="E10" t="s">
        <v>61</v>
      </c>
      <c r="F10" t="s">
        <v>42</v>
      </c>
      <c r="G10" t="s">
        <v>51</v>
      </c>
      <c r="H10" t="s">
        <v>1060</v>
      </c>
      <c r="I10">
        <v>42333</v>
      </c>
      <c r="J10">
        <v>12</v>
      </c>
      <c r="K10">
        <v>3</v>
      </c>
      <c r="L10">
        <v>4</v>
      </c>
      <c r="M10">
        <v>15000</v>
      </c>
      <c r="N10">
        <v>85</v>
      </c>
      <c r="O10">
        <v>10</v>
      </c>
      <c r="P10">
        <v>3</v>
      </c>
      <c r="S10" t="s">
        <v>20</v>
      </c>
      <c r="T10">
        <v>5</v>
      </c>
      <c r="U10">
        <v>30</v>
      </c>
      <c r="V10" t="s">
        <v>22</v>
      </c>
    </row>
    <row r="11" spans="1:22">
      <c r="A11" t="s">
        <v>62</v>
      </c>
      <c r="B11" t="s">
        <v>63</v>
      </c>
      <c r="C11">
        <v>26</v>
      </c>
      <c r="D11" t="s">
        <v>25</v>
      </c>
      <c r="E11" t="s">
        <v>64</v>
      </c>
      <c r="F11" t="s">
        <v>31</v>
      </c>
      <c r="G11" t="s">
        <v>51</v>
      </c>
      <c r="H11" t="s">
        <v>1060</v>
      </c>
      <c r="I11">
        <v>48000</v>
      </c>
      <c r="J11">
        <v>12</v>
      </c>
      <c r="K11">
        <v>4</v>
      </c>
      <c r="L11">
        <v>1</v>
      </c>
      <c r="M11">
        <v>24000</v>
      </c>
      <c r="N11">
        <v>88</v>
      </c>
      <c r="O11">
        <v>7</v>
      </c>
      <c r="P11">
        <v>1</v>
      </c>
      <c r="Q11" t="s">
        <v>21</v>
      </c>
      <c r="R11" t="s">
        <v>19</v>
      </c>
      <c r="S11" t="s">
        <v>20</v>
      </c>
      <c r="U11">
        <v>2</v>
      </c>
      <c r="V11" t="s">
        <v>39</v>
      </c>
    </row>
    <row r="12" spans="1:22">
      <c r="A12" t="s">
        <v>67</v>
      </c>
      <c r="B12" t="s">
        <v>68</v>
      </c>
      <c r="C12">
        <v>26</v>
      </c>
      <c r="D12" t="s">
        <v>25</v>
      </c>
      <c r="E12" t="s">
        <v>65</v>
      </c>
      <c r="F12" t="s">
        <v>27</v>
      </c>
      <c r="G12" t="s">
        <v>51</v>
      </c>
      <c r="H12" t="s">
        <v>1060</v>
      </c>
      <c r="I12">
        <v>48000</v>
      </c>
      <c r="J12">
        <v>13</v>
      </c>
      <c r="K12">
        <v>4</v>
      </c>
      <c r="L12">
        <v>4</v>
      </c>
      <c r="M12">
        <v>15000</v>
      </c>
      <c r="N12">
        <v>90</v>
      </c>
      <c r="O12">
        <v>10</v>
      </c>
      <c r="P12">
        <v>1</v>
      </c>
      <c r="Q12" t="s">
        <v>37</v>
      </c>
      <c r="R12" t="s">
        <v>38</v>
      </c>
      <c r="S12" t="s">
        <v>20</v>
      </c>
      <c r="T12">
        <v>5</v>
      </c>
      <c r="U12">
        <v>10</v>
      </c>
      <c r="V12" t="s">
        <v>22</v>
      </c>
    </row>
    <row r="13" spans="1:22">
      <c r="A13" t="s">
        <v>69</v>
      </c>
      <c r="B13" t="s">
        <v>70</v>
      </c>
      <c r="C13">
        <v>26</v>
      </c>
      <c r="D13" t="s">
        <v>34</v>
      </c>
      <c r="E13" t="s">
        <v>35</v>
      </c>
      <c r="F13" t="s">
        <v>27</v>
      </c>
      <c r="G13" t="s">
        <v>51</v>
      </c>
      <c r="H13" t="s">
        <v>1060</v>
      </c>
      <c r="I13">
        <v>31000</v>
      </c>
      <c r="J13">
        <v>12</v>
      </c>
      <c r="K13">
        <v>2</v>
      </c>
      <c r="L13">
        <v>5</v>
      </c>
      <c r="M13">
        <v>19000</v>
      </c>
      <c r="N13">
        <v>85</v>
      </c>
      <c r="O13">
        <v>7</v>
      </c>
      <c r="P13" t="s">
        <v>1055</v>
      </c>
      <c r="R13" t="s">
        <v>38</v>
      </c>
      <c r="S13" t="s">
        <v>33</v>
      </c>
      <c r="T13">
        <v>20</v>
      </c>
      <c r="V13" t="s">
        <v>58</v>
      </c>
    </row>
    <row r="14" spans="1:22">
      <c r="A14" t="s">
        <v>71</v>
      </c>
      <c r="B14" t="s">
        <v>72</v>
      </c>
      <c r="C14">
        <v>27</v>
      </c>
      <c r="E14" t="s">
        <v>73</v>
      </c>
      <c r="F14" t="s">
        <v>42</v>
      </c>
      <c r="G14" t="s">
        <v>51</v>
      </c>
      <c r="H14" t="s">
        <v>1060</v>
      </c>
      <c r="I14">
        <v>35000</v>
      </c>
      <c r="J14">
        <v>12</v>
      </c>
      <c r="K14">
        <v>3</v>
      </c>
      <c r="L14">
        <v>1</v>
      </c>
      <c r="N14">
        <v>90</v>
      </c>
      <c r="O14">
        <v>5</v>
      </c>
      <c r="P14">
        <v>3</v>
      </c>
      <c r="Q14" t="s">
        <v>21</v>
      </c>
      <c r="R14" t="s">
        <v>38</v>
      </c>
      <c r="S14" t="s">
        <v>33</v>
      </c>
      <c r="U14">
        <v>20</v>
      </c>
      <c r="V14" t="s">
        <v>39</v>
      </c>
    </row>
    <row r="15" spans="1:22">
      <c r="A15" t="s">
        <v>74</v>
      </c>
      <c r="B15" t="s">
        <v>75</v>
      </c>
      <c r="C15">
        <v>25</v>
      </c>
      <c r="D15" t="s">
        <v>25</v>
      </c>
      <c r="E15" t="s">
        <v>65</v>
      </c>
      <c r="F15" t="s">
        <v>18</v>
      </c>
      <c r="G15" t="s">
        <v>51</v>
      </c>
      <c r="H15" t="s">
        <v>1060</v>
      </c>
      <c r="I15">
        <v>38000</v>
      </c>
      <c r="J15">
        <v>12</v>
      </c>
      <c r="K15">
        <v>3</v>
      </c>
      <c r="L15">
        <v>5</v>
      </c>
      <c r="M15">
        <v>24000</v>
      </c>
      <c r="N15">
        <v>90</v>
      </c>
      <c r="O15">
        <v>15</v>
      </c>
      <c r="P15">
        <v>5</v>
      </c>
      <c r="R15" t="s">
        <v>38</v>
      </c>
      <c r="S15" t="s">
        <v>20</v>
      </c>
      <c r="U15">
        <v>20</v>
      </c>
      <c r="V15" t="s">
        <v>58</v>
      </c>
    </row>
    <row r="16" spans="1:22">
      <c r="A16" t="s">
        <v>76</v>
      </c>
      <c r="B16" t="s">
        <v>77</v>
      </c>
      <c r="C16">
        <v>26</v>
      </c>
      <c r="E16" t="s">
        <v>47</v>
      </c>
      <c r="F16" t="s">
        <v>36</v>
      </c>
      <c r="G16" t="s">
        <v>51</v>
      </c>
      <c r="H16" t="s">
        <v>1060</v>
      </c>
      <c r="I16">
        <v>48000</v>
      </c>
      <c r="J16">
        <v>12</v>
      </c>
      <c r="K16">
        <v>4</v>
      </c>
      <c r="L16">
        <v>4</v>
      </c>
      <c r="M16">
        <v>15000</v>
      </c>
      <c r="N16">
        <v>90</v>
      </c>
      <c r="O16">
        <v>15</v>
      </c>
      <c r="P16">
        <v>1</v>
      </c>
      <c r="Q16" t="s">
        <v>37</v>
      </c>
      <c r="R16" t="s">
        <v>38</v>
      </c>
      <c r="S16" t="s">
        <v>20</v>
      </c>
      <c r="T16">
        <v>20</v>
      </c>
      <c r="U16">
        <v>30</v>
      </c>
      <c r="V16" t="s">
        <v>58</v>
      </c>
    </row>
    <row r="17" spans="1:22">
      <c r="A17" t="s">
        <v>78</v>
      </c>
      <c r="B17" t="s">
        <v>79</v>
      </c>
      <c r="C17">
        <v>45</v>
      </c>
      <c r="D17" t="s">
        <v>34</v>
      </c>
      <c r="E17" t="s">
        <v>26</v>
      </c>
      <c r="F17" t="s">
        <v>36</v>
      </c>
      <c r="G17" t="s">
        <v>1049</v>
      </c>
      <c r="H17" t="s">
        <v>1059</v>
      </c>
      <c r="I17">
        <v>110000</v>
      </c>
      <c r="J17">
        <v>12</v>
      </c>
      <c r="K17">
        <v>10</v>
      </c>
      <c r="L17">
        <v>2</v>
      </c>
      <c r="N17">
        <v>88</v>
      </c>
      <c r="O17">
        <v>7</v>
      </c>
      <c r="P17">
        <v>5</v>
      </c>
      <c r="Q17" t="s">
        <v>37</v>
      </c>
      <c r="R17" t="s">
        <v>19</v>
      </c>
      <c r="S17" t="s">
        <v>33</v>
      </c>
      <c r="U17">
        <v>12</v>
      </c>
      <c r="V17" t="s">
        <v>39</v>
      </c>
    </row>
    <row r="18" spans="1:22">
      <c r="A18" t="s">
        <v>80</v>
      </c>
      <c r="B18" t="s">
        <v>81</v>
      </c>
      <c r="C18">
        <v>45</v>
      </c>
      <c r="D18" t="s">
        <v>25</v>
      </c>
      <c r="E18" t="s">
        <v>57</v>
      </c>
      <c r="F18" t="s">
        <v>66</v>
      </c>
      <c r="G18" t="s">
        <v>1049</v>
      </c>
      <c r="H18" t="s">
        <v>1060</v>
      </c>
      <c r="I18">
        <v>120000</v>
      </c>
      <c r="J18">
        <v>12</v>
      </c>
      <c r="K18">
        <v>12</v>
      </c>
      <c r="L18">
        <v>2</v>
      </c>
      <c r="N18">
        <v>80</v>
      </c>
      <c r="O18">
        <v>5</v>
      </c>
      <c r="P18">
        <v>3</v>
      </c>
      <c r="R18" t="s">
        <v>38</v>
      </c>
      <c r="S18" t="s">
        <v>20</v>
      </c>
      <c r="U18">
        <v>20</v>
      </c>
      <c r="V18" t="s">
        <v>39</v>
      </c>
    </row>
    <row r="19" spans="1:22">
      <c r="A19" t="s">
        <v>83</v>
      </c>
      <c r="B19" t="s">
        <v>84</v>
      </c>
      <c r="C19">
        <v>37</v>
      </c>
      <c r="D19" t="s">
        <v>25</v>
      </c>
      <c r="E19" t="s">
        <v>47</v>
      </c>
      <c r="F19" t="s">
        <v>36</v>
      </c>
      <c r="G19" t="s">
        <v>32</v>
      </c>
      <c r="H19" t="s">
        <v>1060</v>
      </c>
      <c r="I19">
        <v>90000</v>
      </c>
      <c r="J19">
        <v>12</v>
      </c>
      <c r="K19">
        <v>12</v>
      </c>
      <c r="L19">
        <v>4</v>
      </c>
      <c r="M19">
        <v>47000</v>
      </c>
      <c r="N19">
        <v>85</v>
      </c>
      <c r="O19">
        <v>7</v>
      </c>
      <c r="P19">
        <v>3</v>
      </c>
      <c r="Q19" t="s">
        <v>37</v>
      </c>
      <c r="R19" t="s">
        <v>38</v>
      </c>
      <c r="S19" t="s">
        <v>33</v>
      </c>
      <c r="T19">
        <v>5</v>
      </c>
      <c r="V19" t="s">
        <v>58</v>
      </c>
    </row>
    <row r="20" spans="1:22">
      <c r="A20" t="s">
        <v>85</v>
      </c>
      <c r="B20" t="s">
        <v>86</v>
      </c>
      <c r="C20">
        <v>41</v>
      </c>
      <c r="D20" t="s">
        <v>25</v>
      </c>
      <c r="E20" t="s">
        <v>73</v>
      </c>
      <c r="F20" t="s">
        <v>66</v>
      </c>
      <c r="G20" t="s">
        <v>1049</v>
      </c>
      <c r="H20" t="s">
        <v>1060</v>
      </c>
      <c r="I20">
        <v>123000</v>
      </c>
      <c r="J20">
        <v>12</v>
      </c>
      <c r="K20">
        <v>13</v>
      </c>
      <c r="L20">
        <v>3</v>
      </c>
      <c r="M20">
        <v>54000</v>
      </c>
      <c r="N20">
        <v>95</v>
      </c>
      <c r="O20">
        <v>15</v>
      </c>
      <c r="P20">
        <v>2</v>
      </c>
      <c r="Q20" t="s">
        <v>37</v>
      </c>
      <c r="R20" t="s">
        <v>19</v>
      </c>
      <c r="S20" t="s">
        <v>20</v>
      </c>
      <c r="T20">
        <v>10</v>
      </c>
      <c r="U20">
        <v>11</v>
      </c>
      <c r="V20" t="s">
        <v>22</v>
      </c>
    </row>
    <row r="21" spans="1:22">
      <c r="A21" t="s">
        <v>87</v>
      </c>
      <c r="B21" t="s">
        <v>88</v>
      </c>
      <c r="C21">
        <v>26</v>
      </c>
      <c r="D21" t="s">
        <v>34</v>
      </c>
      <c r="F21" t="s">
        <v>42</v>
      </c>
      <c r="G21" t="s">
        <v>51</v>
      </c>
      <c r="H21" t="s">
        <v>1060</v>
      </c>
      <c r="I21">
        <v>48000</v>
      </c>
      <c r="J21">
        <v>12</v>
      </c>
      <c r="K21">
        <v>4</v>
      </c>
      <c r="L21">
        <v>1</v>
      </c>
      <c r="N21">
        <v>88</v>
      </c>
      <c r="O21">
        <v>15</v>
      </c>
      <c r="P21">
        <v>2</v>
      </c>
      <c r="R21" t="s">
        <v>38</v>
      </c>
      <c r="S21" t="s">
        <v>20</v>
      </c>
      <c r="T21">
        <v>20</v>
      </c>
      <c r="U21">
        <v>10</v>
      </c>
      <c r="V21" t="s">
        <v>39</v>
      </c>
    </row>
    <row r="22" spans="1:22">
      <c r="A22" t="s">
        <v>89</v>
      </c>
      <c r="B22" t="s">
        <v>90</v>
      </c>
      <c r="C22">
        <v>26</v>
      </c>
      <c r="D22" t="s">
        <v>34</v>
      </c>
      <c r="E22" t="s">
        <v>61</v>
      </c>
      <c r="F22" t="s">
        <v>36</v>
      </c>
      <c r="G22" t="s">
        <v>51</v>
      </c>
      <c r="H22" t="s">
        <v>1060</v>
      </c>
      <c r="I22">
        <v>32000</v>
      </c>
      <c r="J22">
        <v>15</v>
      </c>
      <c r="K22">
        <v>2</v>
      </c>
      <c r="L22">
        <v>4</v>
      </c>
      <c r="M22">
        <v>15000</v>
      </c>
      <c r="N22">
        <v>88</v>
      </c>
      <c r="O22">
        <v>10</v>
      </c>
      <c r="P22">
        <v>5</v>
      </c>
      <c r="R22" t="s">
        <v>19</v>
      </c>
      <c r="S22" t="s">
        <v>33</v>
      </c>
      <c r="U22">
        <v>20</v>
      </c>
      <c r="V22" t="s">
        <v>22</v>
      </c>
    </row>
    <row r="23" spans="1:22">
      <c r="A23" t="s">
        <v>91</v>
      </c>
      <c r="B23" t="s">
        <v>92</v>
      </c>
      <c r="C23">
        <v>34</v>
      </c>
      <c r="D23" t="s">
        <v>16</v>
      </c>
      <c r="E23" t="s">
        <v>61</v>
      </c>
      <c r="F23" t="s">
        <v>31</v>
      </c>
      <c r="G23" t="s">
        <v>82</v>
      </c>
      <c r="H23" t="s">
        <v>1060</v>
      </c>
      <c r="I23">
        <v>79000</v>
      </c>
      <c r="J23">
        <v>12</v>
      </c>
      <c r="K23">
        <v>6</v>
      </c>
      <c r="L23">
        <v>5</v>
      </c>
      <c r="M23">
        <v>32000</v>
      </c>
      <c r="N23">
        <v>85</v>
      </c>
      <c r="O23">
        <v>10</v>
      </c>
      <c r="P23" t="s">
        <v>1056</v>
      </c>
      <c r="Q23" t="s">
        <v>37</v>
      </c>
      <c r="R23" t="s">
        <v>38</v>
      </c>
      <c r="S23" t="s">
        <v>33</v>
      </c>
      <c r="T23">
        <v>10</v>
      </c>
      <c r="U23">
        <v>30</v>
      </c>
      <c r="V23" t="s">
        <v>58</v>
      </c>
    </row>
    <row r="24" spans="1:22">
      <c r="A24" t="s">
        <v>93</v>
      </c>
      <c r="B24" t="s">
        <v>94</v>
      </c>
      <c r="C24">
        <v>44</v>
      </c>
      <c r="D24" t="s">
        <v>25</v>
      </c>
      <c r="E24" t="s">
        <v>65</v>
      </c>
      <c r="F24" t="s">
        <v>27</v>
      </c>
      <c r="G24" t="s">
        <v>1049</v>
      </c>
      <c r="H24" t="s">
        <v>1060</v>
      </c>
      <c r="I24">
        <v>120000</v>
      </c>
      <c r="J24">
        <v>12</v>
      </c>
      <c r="K24">
        <v>10</v>
      </c>
      <c r="L24">
        <v>4</v>
      </c>
      <c r="M24">
        <v>54000</v>
      </c>
      <c r="N24">
        <v>85</v>
      </c>
      <c r="O24">
        <v>7</v>
      </c>
      <c r="P24">
        <v>3</v>
      </c>
      <c r="Q24" t="s">
        <v>21</v>
      </c>
      <c r="R24" t="s">
        <v>38</v>
      </c>
      <c r="S24" t="s">
        <v>33</v>
      </c>
      <c r="V24" t="s">
        <v>58</v>
      </c>
    </row>
    <row r="25" spans="1:22">
      <c r="A25" t="s">
        <v>95</v>
      </c>
      <c r="B25" t="s">
        <v>96</v>
      </c>
      <c r="C25">
        <v>27</v>
      </c>
      <c r="D25" t="s">
        <v>25</v>
      </c>
      <c r="E25" t="s">
        <v>50</v>
      </c>
      <c r="F25" t="s">
        <v>31</v>
      </c>
      <c r="G25" t="s">
        <v>51</v>
      </c>
      <c r="H25" t="s">
        <v>1060</v>
      </c>
      <c r="I25">
        <v>38000</v>
      </c>
      <c r="J25">
        <v>12</v>
      </c>
      <c r="K25">
        <v>3</v>
      </c>
      <c r="L25">
        <v>1</v>
      </c>
      <c r="N25">
        <v>88</v>
      </c>
      <c r="O25">
        <v>15</v>
      </c>
      <c r="P25">
        <v>2</v>
      </c>
      <c r="Q25" t="s">
        <v>37</v>
      </c>
      <c r="R25" t="s">
        <v>19</v>
      </c>
      <c r="S25" t="s">
        <v>20</v>
      </c>
      <c r="T25">
        <v>20</v>
      </c>
      <c r="U25">
        <v>30</v>
      </c>
      <c r="V25" t="s">
        <v>39</v>
      </c>
    </row>
    <row r="26" spans="1:22">
      <c r="A26" t="s">
        <v>97</v>
      </c>
      <c r="B26" t="s">
        <v>98</v>
      </c>
      <c r="C26">
        <v>27</v>
      </c>
      <c r="D26" t="s">
        <v>16</v>
      </c>
      <c r="E26" t="s">
        <v>17</v>
      </c>
      <c r="F26" t="s">
        <v>36</v>
      </c>
      <c r="G26" t="s">
        <v>1045</v>
      </c>
      <c r="H26" t="s">
        <v>1060</v>
      </c>
      <c r="I26">
        <v>78000</v>
      </c>
      <c r="J26">
        <v>12</v>
      </c>
      <c r="K26">
        <v>6</v>
      </c>
      <c r="L26">
        <v>3</v>
      </c>
      <c r="M26">
        <v>11000</v>
      </c>
      <c r="N26">
        <v>88</v>
      </c>
      <c r="O26">
        <v>15</v>
      </c>
      <c r="P26">
        <v>1</v>
      </c>
      <c r="R26" t="s">
        <v>19</v>
      </c>
      <c r="S26" t="s">
        <v>33</v>
      </c>
      <c r="T26">
        <v>10</v>
      </c>
      <c r="V26" t="s">
        <v>22</v>
      </c>
    </row>
    <row r="27" spans="1:22">
      <c r="A27" t="s">
        <v>99</v>
      </c>
      <c r="B27" t="s">
        <v>100</v>
      </c>
      <c r="C27">
        <v>27</v>
      </c>
      <c r="D27" t="s">
        <v>25</v>
      </c>
      <c r="E27" t="s">
        <v>65</v>
      </c>
      <c r="F27" t="s">
        <v>27</v>
      </c>
      <c r="G27" t="s">
        <v>51</v>
      </c>
      <c r="H27" t="s">
        <v>1060</v>
      </c>
      <c r="I27">
        <v>38000</v>
      </c>
      <c r="J27">
        <v>12</v>
      </c>
      <c r="K27">
        <v>3</v>
      </c>
      <c r="L27">
        <v>1</v>
      </c>
      <c r="N27">
        <v>80</v>
      </c>
      <c r="O27">
        <v>10</v>
      </c>
      <c r="P27">
        <v>5</v>
      </c>
      <c r="Q27" t="s">
        <v>21</v>
      </c>
      <c r="R27" t="s">
        <v>38</v>
      </c>
      <c r="S27" t="s">
        <v>20</v>
      </c>
      <c r="T27">
        <v>10</v>
      </c>
      <c r="U27">
        <v>13</v>
      </c>
      <c r="V27" t="s">
        <v>39</v>
      </c>
    </row>
    <row r="28" spans="1:22">
      <c r="A28" t="s">
        <v>101</v>
      </c>
      <c r="B28" t="s">
        <v>102</v>
      </c>
      <c r="C28">
        <v>45</v>
      </c>
      <c r="E28" t="s">
        <v>73</v>
      </c>
      <c r="F28" t="s">
        <v>27</v>
      </c>
      <c r="G28" t="s">
        <v>1049</v>
      </c>
      <c r="H28" t="s">
        <v>1060</v>
      </c>
      <c r="I28">
        <v>110000</v>
      </c>
      <c r="J28">
        <v>12</v>
      </c>
      <c r="K28">
        <v>10</v>
      </c>
      <c r="L28">
        <v>1</v>
      </c>
      <c r="N28">
        <v>90</v>
      </c>
      <c r="O28">
        <v>10</v>
      </c>
      <c r="P28">
        <v>1</v>
      </c>
      <c r="Q28" t="s">
        <v>21</v>
      </c>
      <c r="R28" t="s">
        <v>19</v>
      </c>
      <c r="S28" t="s">
        <v>33</v>
      </c>
      <c r="U28">
        <v>30</v>
      </c>
      <c r="V28" t="s">
        <v>39</v>
      </c>
    </row>
    <row r="29" spans="1:22">
      <c r="A29" t="s">
        <v>103</v>
      </c>
      <c r="B29" t="s">
        <v>104</v>
      </c>
      <c r="C29">
        <v>38</v>
      </c>
      <c r="D29" t="s">
        <v>46</v>
      </c>
      <c r="E29" t="s">
        <v>65</v>
      </c>
      <c r="F29" t="s">
        <v>66</v>
      </c>
      <c r="G29" t="s">
        <v>32</v>
      </c>
      <c r="H29" t="s">
        <v>1059</v>
      </c>
      <c r="I29">
        <v>91600</v>
      </c>
      <c r="J29">
        <v>12</v>
      </c>
      <c r="K29">
        <v>12</v>
      </c>
      <c r="L29">
        <v>4</v>
      </c>
      <c r="M29">
        <v>43000</v>
      </c>
      <c r="N29">
        <v>90</v>
      </c>
      <c r="O29">
        <v>5</v>
      </c>
      <c r="P29">
        <v>5</v>
      </c>
      <c r="Q29" t="s">
        <v>37</v>
      </c>
      <c r="R29" t="s">
        <v>19</v>
      </c>
      <c r="S29" t="s">
        <v>33</v>
      </c>
      <c r="T29">
        <v>20</v>
      </c>
      <c r="U29">
        <v>20</v>
      </c>
      <c r="V29" t="s">
        <v>22</v>
      </c>
    </row>
    <row r="30" spans="1:22">
      <c r="A30" t="s">
        <v>105</v>
      </c>
      <c r="B30" t="s">
        <v>106</v>
      </c>
      <c r="C30">
        <v>26</v>
      </c>
      <c r="D30" t="s">
        <v>25</v>
      </c>
      <c r="E30" t="s">
        <v>35</v>
      </c>
      <c r="F30" t="s">
        <v>31</v>
      </c>
      <c r="G30" t="s">
        <v>51</v>
      </c>
      <c r="H30" t="s">
        <v>1060</v>
      </c>
      <c r="I30">
        <v>42500</v>
      </c>
      <c r="J30">
        <v>12</v>
      </c>
      <c r="K30">
        <v>3</v>
      </c>
      <c r="L30">
        <v>2</v>
      </c>
      <c r="N30">
        <v>80</v>
      </c>
      <c r="O30">
        <v>10</v>
      </c>
      <c r="P30">
        <v>1</v>
      </c>
      <c r="Q30" t="s">
        <v>37</v>
      </c>
      <c r="R30" t="s">
        <v>19</v>
      </c>
      <c r="S30" t="s">
        <v>20</v>
      </c>
      <c r="T30">
        <v>5</v>
      </c>
      <c r="V30" t="s">
        <v>39</v>
      </c>
    </row>
    <row r="31" spans="1:22">
      <c r="A31" t="s">
        <v>107</v>
      </c>
      <c r="B31" t="s">
        <v>108</v>
      </c>
      <c r="C31">
        <v>36</v>
      </c>
      <c r="D31" t="s">
        <v>34</v>
      </c>
      <c r="E31" t="s">
        <v>17</v>
      </c>
      <c r="F31" t="s">
        <v>66</v>
      </c>
      <c r="G31" t="s">
        <v>32</v>
      </c>
      <c r="H31" t="s">
        <v>1060</v>
      </c>
      <c r="I31">
        <v>91700</v>
      </c>
      <c r="J31">
        <v>12</v>
      </c>
      <c r="K31">
        <v>12</v>
      </c>
      <c r="L31">
        <v>2</v>
      </c>
      <c r="N31">
        <v>88</v>
      </c>
      <c r="O31">
        <v>7</v>
      </c>
      <c r="P31">
        <v>5</v>
      </c>
      <c r="Q31" t="s">
        <v>21</v>
      </c>
      <c r="R31" t="s">
        <v>38</v>
      </c>
      <c r="S31" t="s">
        <v>33</v>
      </c>
      <c r="T31">
        <v>20</v>
      </c>
      <c r="U31">
        <v>30</v>
      </c>
      <c r="V31" t="s">
        <v>39</v>
      </c>
    </row>
    <row r="32" spans="1:22">
      <c r="A32" t="s">
        <v>109</v>
      </c>
      <c r="B32" t="s">
        <v>110</v>
      </c>
      <c r="C32">
        <v>25</v>
      </c>
      <c r="D32" t="s">
        <v>16</v>
      </c>
      <c r="F32" t="s">
        <v>42</v>
      </c>
      <c r="G32" t="s">
        <v>51</v>
      </c>
      <c r="H32" t="s">
        <v>1059</v>
      </c>
      <c r="I32">
        <v>31000</v>
      </c>
      <c r="J32">
        <v>12</v>
      </c>
      <c r="K32">
        <v>2</v>
      </c>
      <c r="L32">
        <v>2</v>
      </c>
      <c r="N32">
        <v>80</v>
      </c>
      <c r="O32">
        <v>10</v>
      </c>
      <c r="P32">
        <v>3</v>
      </c>
      <c r="Q32" t="s">
        <v>37</v>
      </c>
      <c r="R32" t="s">
        <v>28</v>
      </c>
      <c r="S32" t="s">
        <v>20</v>
      </c>
      <c r="U32">
        <v>10</v>
      </c>
      <c r="V32" t="s">
        <v>39</v>
      </c>
    </row>
    <row r="33" spans="1:22">
      <c r="A33" t="s">
        <v>111</v>
      </c>
      <c r="B33" t="s">
        <v>112</v>
      </c>
      <c r="C33">
        <v>25</v>
      </c>
      <c r="D33" t="s">
        <v>16</v>
      </c>
      <c r="E33" t="s">
        <v>50</v>
      </c>
      <c r="F33" t="s">
        <v>36</v>
      </c>
      <c r="G33" t="s">
        <v>51</v>
      </c>
      <c r="H33" t="s">
        <v>1060</v>
      </c>
      <c r="I33">
        <v>33000</v>
      </c>
      <c r="J33">
        <v>12</v>
      </c>
      <c r="K33">
        <v>2</v>
      </c>
      <c r="L33">
        <v>1</v>
      </c>
      <c r="N33">
        <v>85</v>
      </c>
      <c r="O33">
        <v>5</v>
      </c>
      <c r="P33">
        <v>1</v>
      </c>
      <c r="R33" t="s">
        <v>19</v>
      </c>
      <c r="S33" t="s">
        <v>33</v>
      </c>
      <c r="T33">
        <v>20</v>
      </c>
      <c r="V33" t="s">
        <v>39</v>
      </c>
    </row>
    <row r="34" spans="1:22">
      <c r="A34" t="s">
        <v>115</v>
      </c>
      <c r="B34" t="s">
        <v>116</v>
      </c>
      <c r="C34">
        <v>25</v>
      </c>
      <c r="D34" t="s">
        <v>25</v>
      </c>
      <c r="E34" t="s">
        <v>61</v>
      </c>
      <c r="F34" t="s">
        <v>66</v>
      </c>
      <c r="G34" t="s">
        <v>51</v>
      </c>
      <c r="H34" t="s">
        <v>1060</v>
      </c>
      <c r="I34">
        <v>45000</v>
      </c>
      <c r="J34">
        <v>12</v>
      </c>
      <c r="K34">
        <v>4</v>
      </c>
      <c r="L34">
        <v>1</v>
      </c>
      <c r="N34">
        <v>95</v>
      </c>
      <c r="O34">
        <v>15</v>
      </c>
      <c r="P34">
        <v>1</v>
      </c>
      <c r="R34" t="s">
        <v>38</v>
      </c>
      <c r="S34" t="s">
        <v>20</v>
      </c>
      <c r="T34">
        <v>10</v>
      </c>
      <c r="V34" t="s">
        <v>39</v>
      </c>
    </row>
    <row r="35" spans="1:22">
      <c r="A35" t="s">
        <v>117</v>
      </c>
      <c r="B35" t="s">
        <v>118</v>
      </c>
      <c r="C35">
        <v>27</v>
      </c>
      <c r="D35" t="s">
        <v>46</v>
      </c>
      <c r="E35" t="s">
        <v>35</v>
      </c>
      <c r="F35" t="s">
        <v>36</v>
      </c>
      <c r="G35" t="s">
        <v>51</v>
      </c>
      <c r="H35" t="s">
        <v>1060</v>
      </c>
      <c r="I35">
        <v>43000</v>
      </c>
      <c r="J35">
        <v>12</v>
      </c>
      <c r="K35">
        <v>3</v>
      </c>
      <c r="L35">
        <v>1</v>
      </c>
      <c r="N35">
        <v>88</v>
      </c>
      <c r="O35">
        <v>15</v>
      </c>
      <c r="P35">
        <v>1</v>
      </c>
      <c r="Q35" t="s">
        <v>21</v>
      </c>
      <c r="R35" t="s">
        <v>38</v>
      </c>
      <c r="S35" t="s">
        <v>33</v>
      </c>
      <c r="T35">
        <v>5</v>
      </c>
      <c r="U35">
        <v>30</v>
      </c>
      <c r="V35" t="s">
        <v>39</v>
      </c>
    </row>
    <row r="36" spans="1:22">
      <c r="A36" t="s">
        <v>119</v>
      </c>
      <c r="B36" t="s">
        <v>120</v>
      </c>
      <c r="C36">
        <v>32</v>
      </c>
      <c r="D36" t="s">
        <v>16</v>
      </c>
      <c r="E36" t="s">
        <v>26</v>
      </c>
      <c r="F36" t="s">
        <v>31</v>
      </c>
      <c r="G36" t="s">
        <v>82</v>
      </c>
      <c r="H36" t="s">
        <v>1060</v>
      </c>
      <c r="I36">
        <v>80000</v>
      </c>
      <c r="J36">
        <v>12</v>
      </c>
      <c r="K36">
        <v>8</v>
      </c>
      <c r="L36">
        <v>4</v>
      </c>
      <c r="N36">
        <v>90</v>
      </c>
      <c r="O36">
        <v>5</v>
      </c>
      <c r="P36">
        <v>7</v>
      </c>
      <c r="Q36" t="s">
        <v>37</v>
      </c>
      <c r="R36" t="s">
        <v>19</v>
      </c>
      <c r="S36" t="s">
        <v>20</v>
      </c>
      <c r="T36">
        <v>20</v>
      </c>
      <c r="U36">
        <v>30</v>
      </c>
      <c r="V36" t="s">
        <v>22</v>
      </c>
    </row>
    <row r="37" spans="1:22">
      <c r="A37" t="s">
        <v>121</v>
      </c>
      <c r="B37" t="s">
        <v>122</v>
      </c>
      <c r="C37">
        <v>29</v>
      </c>
      <c r="E37" t="s">
        <v>65</v>
      </c>
      <c r="F37" t="s">
        <v>31</v>
      </c>
      <c r="G37" t="s">
        <v>1045</v>
      </c>
      <c r="H37" t="s">
        <v>1060</v>
      </c>
      <c r="I37">
        <v>78000</v>
      </c>
      <c r="J37">
        <v>12</v>
      </c>
      <c r="K37">
        <v>5</v>
      </c>
      <c r="L37">
        <v>1</v>
      </c>
      <c r="N37">
        <v>85</v>
      </c>
      <c r="O37">
        <v>10</v>
      </c>
      <c r="P37">
        <v>1</v>
      </c>
      <c r="R37" t="s">
        <v>38</v>
      </c>
      <c r="S37" t="s">
        <v>33</v>
      </c>
      <c r="T37">
        <v>20</v>
      </c>
      <c r="U37">
        <v>2</v>
      </c>
      <c r="V37" t="s">
        <v>39</v>
      </c>
    </row>
    <row r="38" spans="1:22">
      <c r="A38" t="s">
        <v>123</v>
      </c>
      <c r="B38" t="s">
        <v>124</v>
      </c>
      <c r="C38">
        <v>38</v>
      </c>
      <c r="E38" t="s">
        <v>50</v>
      </c>
      <c r="F38" t="s">
        <v>31</v>
      </c>
      <c r="G38" t="s">
        <v>1049</v>
      </c>
      <c r="H38" t="s">
        <v>1060</v>
      </c>
      <c r="I38">
        <v>110000</v>
      </c>
      <c r="J38">
        <v>12</v>
      </c>
      <c r="K38">
        <v>11</v>
      </c>
      <c r="L38">
        <v>5</v>
      </c>
      <c r="M38">
        <v>65000</v>
      </c>
      <c r="N38">
        <v>95</v>
      </c>
      <c r="O38">
        <v>10</v>
      </c>
      <c r="P38">
        <v>5</v>
      </c>
      <c r="Q38" t="s">
        <v>37</v>
      </c>
      <c r="R38" t="s">
        <v>38</v>
      </c>
      <c r="S38" t="s">
        <v>33</v>
      </c>
      <c r="U38">
        <v>22</v>
      </c>
      <c r="V38" t="s">
        <v>58</v>
      </c>
    </row>
    <row r="39" spans="1:22">
      <c r="A39" t="s">
        <v>125</v>
      </c>
      <c r="B39" t="s">
        <v>126</v>
      </c>
      <c r="C39">
        <v>38</v>
      </c>
      <c r="D39" t="s">
        <v>25</v>
      </c>
      <c r="E39" t="s">
        <v>64</v>
      </c>
      <c r="F39" t="s">
        <v>18</v>
      </c>
      <c r="G39" t="s">
        <v>1049</v>
      </c>
      <c r="H39" t="s">
        <v>1060</v>
      </c>
      <c r="I39">
        <v>99000</v>
      </c>
      <c r="J39">
        <v>12</v>
      </c>
      <c r="K39">
        <v>13</v>
      </c>
      <c r="L39">
        <v>4</v>
      </c>
      <c r="M39">
        <v>58000</v>
      </c>
      <c r="N39">
        <v>90</v>
      </c>
      <c r="O39">
        <v>7</v>
      </c>
      <c r="P39">
        <v>2</v>
      </c>
      <c r="Q39" t="s">
        <v>37</v>
      </c>
      <c r="R39" t="s">
        <v>38</v>
      </c>
      <c r="S39" t="s">
        <v>33</v>
      </c>
      <c r="U39">
        <v>30</v>
      </c>
      <c r="V39" t="s">
        <v>22</v>
      </c>
    </row>
    <row r="40" spans="1:22">
      <c r="A40" t="s">
        <v>127</v>
      </c>
      <c r="B40" t="s">
        <v>128</v>
      </c>
      <c r="C40">
        <v>27</v>
      </c>
      <c r="D40" t="s">
        <v>34</v>
      </c>
      <c r="E40" t="s">
        <v>57</v>
      </c>
      <c r="F40" t="s">
        <v>31</v>
      </c>
      <c r="G40" t="s">
        <v>1045</v>
      </c>
      <c r="H40" t="s">
        <v>1060</v>
      </c>
      <c r="I40">
        <v>79000</v>
      </c>
      <c r="J40">
        <v>12</v>
      </c>
      <c r="K40">
        <v>6</v>
      </c>
      <c r="L40">
        <v>4</v>
      </c>
      <c r="M40">
        <v>10871</v>
      </c>
      <c r="N40">
        <v>87</v>
      </c>
      <c r="O40">
        <v>15</v>
      </c>
      <c r="P40" t="s">
        <v>1057</v>
      </c>
      <c r="Q40" t="s">
        <v>37</v>
      </c>
      <c r="R40" t="s">
        <v>19</v>
      </c>
      <c r="S40" t="s">
        <v>33</v>
      </c>
      <c r="T40">
        <v>10</v>
      </c>
      <c r="U40">
        <v>20</v>
      </c>
      <c r="V40" t="s">
        <v>58</v>
      </c>
    </row>
    <row r="41" spans="1:22">
      <c r="A41" t="s">
        <v>129</v>
      </c>
      <c r="B41" t="s">
        <v>130</v>
      </c>
      <c r="C41">
        <v>42</v>
      </c>
      <c r="D41" t="s">
        <v>46</v>
      </c>
      <c r="E41" t="s">
        <v>61</v>
      </c>
      <c r="F41" t="s">
        <v>31</v>
      </c>
      <c r="G41" t="s">
        <v>1049</v>
      </c>
      <c r="H41" t="s">
        <v>1060</v>
      </c>
      <c r="I41">
        <v>100000</v>
      </c>
      <c r="J41">
        <v>12</v>
      </c>
      <c r="K41">
        <v>11</v>
      </c>
      <c r="L41">
        <v>4</v>
      </c>
      <c r="M41">
        <v>44461</v>
      </c>
      <c r="N41">
        <v>85</v>
      </c>
      <c r="O41">
        <v>10</v>
      </c>
      <c r="P41">
        <v>2</v>
      </c>
      <c r="Q41" t="s">
        <v>21</v>
      </c>
      <c r="R41" t="s">
        <v>38</v>
      </c>
      <c r="S41" t="s">
        <v>33</v>
      </c>
      <c r="U41">
        <v>20</v>
      </c>
      <c r="V41" t="s">
        <v>58</v>
      </c>
    </row>
    <row r="42" spans="1:22">
      <c r="A42" t="s">
        <v>131</v>
      </c>
      <c r="B42" t="s">
        <v>132</v>
      </c>
      <c r="C42">
        <v>28</v>
      </c>
      <c r="D42" t="s">
        <v>34</v>
      </c>
      <c r="E42" t="s">
        <v>26</v>
      </c>
      <c r="F42" t="s">
        <v>18</v>
      </c>
      <c r="G42" t="s">
        <v>1045</v>
      </c>
      <c r="H42" t="s">
        <v>1059</v>
      </c>
      <c r="I42">
        <v>80000</v>
      </c>
      <c r="J42">
        <v>12</v>
      </c>
      <c r="K42">
        <v>6</v>
      </c>
      <c r="L42">
        <v>2</v>
      </c>
      <c r="N42">
        <v>80</v>
      </c>
      <c r="O42">
        <v>5</v>
      </c>
      <c r="P42">
        <v>5</v>
      </c>
      <c r="R42" t="s">
        <v>28</v>
      </c>
      <c r="S42" t="s">
        <v>33</v>
      </c>
      <c r="T42">
        <v>5</v>
      </c>
      <c r="U42">
        <v>20</v>
      </c>
      <c r="V42" t="s">
        <v>39</v>
      </c>
    </row>
    <row r="43" spans="1:22">
      <c r="A43" t="s">
        <v>133</v>
      </c>
      <c r="B43" t="s">
        <v>134</v>
      </c>
      <c r="C43">
        <v>27</v>
      </c>
      <c r="D43" t="s">
        <v>46</v>
      </c>
      <c r="E43" t="s">
        <v>64</v>
      </c>
      <c r="F43" t="s">
        <v>27</v>
      </c>
      <c r="G43" t="s">
        <v>51</v>
      </c>
      <c r="H43" t="s">
        <v>1060</v>
      </c>
      <c r="I43">
        <v>48000</v>
      </c>
      <c r="J43">
        <v>12</v>
      </c>
      <c r="K43">
        <v>4</v>
      </c>
      <c r="L43">
        <v>2</v>
      </c>
      <c r="N43">
        <v>95</v>
      </c>
      <c r="O43">
        <v>5</v>
      </c>
      <c r="P43">
        <v>13</v>
      </c>
      <c r="R43" t="s">
        <v>38</v>
      </c>
      <c r="S43" t="s">
        <v>33</v>
      </c>
      <c r="T43">
        <v>5</v>
      </c>
      <c r="U43">
        <v>4</v>
      </c>
      <c r="V43" t="s">
        <v>39</v>
      </c>
    </row>
    <row r="44" spans="1:22">
      <c r="A44" t="s">
        <v>135</v>
      </c>
      <c r="B44" t="s">
        <v>136</v>
      </c>
      <c r="C44">
        <v>27</v>
      </c>
      <c r="E44" t="s">
        <v>50</v>
      </c>
      <c r="F44" t="s">
        <v>31</v>
      </c>
      <c r="G44" t="s">
        <v>51</v>
      </c>
      <c r="H44" t="s">
        <v>1060</v>
      </c>
      <c r="I44">
        <v>35000</v>
      </c>
      <c r="J44">
        <v>12</v>
      </c>
      <c r="K44">
        <v>2</v>
      </c>
      <c r="L44">
        <v>5</v>
      </c>
      <c r="M44">
        <v>21000</v>
      </c>
      <c r="N44">
        <v>80</v>
      </c>
      <c r="O44">
        <v>7</v>
      </c>
      <c r="P44">
        <v>10</v>
      </c>
      <c r="R44" t="s">
        <v>19</v>
      </c>
      <c r="S44" t="s">
        <v>33</v>
      </c>
      <c r="T44">
        <v>20</v>
      </c>
      <c r="U44">
        <v>30</v>
      </c>
      <c r="V44" t="s">
        <v>58</v>
      </c>
    </row>
    <row r="45" spans="1:22">
      <c r="A45" t="s">
        <v>137</v>
      </c>
      <c r="B45" t="s">
        <v>138</v>
      </c>
      <c r="C45">
        <v>25</v>
      </c>
      <c r="D45" t="s">
        <v>46</v>
      </c>
      <c r="E45" t="s">
        <v>64</v>
      </c>
      <c r="F45" t="s">
        <v>31</v>
      </c>
      <c r="G45" t="s">
        <v>1045</v>
      </c>
      <c r="H45" t="s">
        <v>1059</v>
      </c>
      <c r="I45">
        <v>78000</v>
      </c>
      <c r="J45">
        <v>12</v>
      </c>
      <c r="K45">
        <v>6</v>
      </c>
      <c r="L45">
        <v>2</v>
      </c>
      <c r="N45">
        <v>87</v>
      </c>
      <c r="O45">
        <v>10</v>
      </c>
      <c r="P45">
        <v>6</v>
      </c>
      <c r="Q45" t="s">
        <v>21</v>
      </c>
      <c r="R45" t="s">
        <v>38</v>
      </c>
      <c r="S45" t="s">
        <v>33</v>
      </c>
      <c r="T45">
        <v>10</v>
      </c>
      <c r="V45" t="s">
        <v>39</v>
      </c>
    </row>
    <row r="46" spans="1:22">
      <c r="A46" t="s">
        <v>139</v>
      </c>
      <c r="B46" t="s">
        <v>140</v>
      </c>
      <c r="C46">
        <v>30</v>
      </c>
      <c r="D46" t="s">
        <v>34</v>
      </c>
      <c r="E46" t="s">
        <v>17</v>
      </c>
      <c r="F46" t="s">
        <v>42</v>
      </c>
      <c r="G46" t="s">
        <v>1045</v>
      </c>
      <c r="H46" t="s">
        <v>1060</v>
      </c>
      <c r="I46">
        <v>78000</v>
      </c>
      <c r="J46">
        <v>12</v>
      </c>
      <c r="K46">
        <v>6</v>
      </c>
      <c r="L46">
        <v>4</v>
      </c>
      <c r="M46">
        <v>10871</v>
      </c>
      <c r="N46">
        <v>80</v>
      </c>
      <c r="O46">
        <v>7</v>
      </c>
      <c r="P46">
        <v>1</v>
      </c>
      <c r="R46" t="s">
        <v>38</v>
      </c>
      <c r="S46" t="s">
        <v>33</v>
      </c>
      <c r="U46">
        <v>20</v>
      </c>
      <c r="V46" t="s">
        <v>58</v>
      </c>
    </row>
    <row r="47" spans="1:22">
      <c r="A47" t="s">
        <v>141</v>
      </c>
      <c r="B47" t="s">
        <v>142</v>
      </c>
      <c r="C47">
        <v>26</v>
      </c>
      <c r="D47" t="s">
        <v>34</v>
      </c>
      <c r="E47" t="s">
        <v>73</v>
      </c>
      <c r="F47" t="s">
        <v>66</v>
      </c>
      <c r="G47" t="s">
        <v>51</v>
      </c>
      <c r="H47" t="s">
        <v>1060</v>
      </c>
      <c r="I47">
        <v>56000</v>
      </c>
      <c r="J47">
        <v>12</v>
      </c>
      <c r="K47">
        <v>4</v>
      </c>
      <c r="L47">
        <v>4</v>
      </c>
      <c r="M47">
        <v>15000</v>
      </c>
      <c r="N47">
        <v>90</v>
      </c>
      <c r="O47">
        <v>10</v>
      </c>
      <c r="P47">
        <v>1</v>
      </c>
      <c r="Q47" t="s">
        <v>21</v>
      </c>
      <c r="R47" t="s">
        <v>38</v>
      </c>
      <c r="S47" t="s">
        <v>33</v>
      </c>
      <c r="U47">
        <v>30</v>
      </c>
      <c r="V47" t="s">
        <v>22</v>
      </c>
    </row>
    <row r="48" spans="1:22">
      <c r="A48" t="s">
        <v>143</v>
      </c>
      <c r="B48" t="s">
        <v>144</v>
      </c>
      <c r="C48">
        <v>25</v>
      </c>
      <c r="D48" t="s">
        <v>34</v>
      </c>
      <c r="E48" t="s">
        <v>47</v>
      </c>
      <c r="F48" t="s">
        <v>42</v>
      </c>
      <c r="G48" t="s">
        <v>1045</v>
      </c>
      <c r="H48" t="s">
        <v>1060</v>
      </c>
      <c r="I48">
        <v>78000</v>
      </c>
      <c r="J48">
        <v>12</v>
      </c>
      <c r="K48">
        <v>7</v>
      </c>
      <c r="L48">
        <v>4</v>
      </c>
      <c r="M48">
        <v>10871</v>
      </c>
      <c r="N48">
        <v>95</v>
      </c>
      <c r="O48">
        <v>7</v>
      </c>
      <c r="P48">
        <v>1</v>
      </c>
      <c r="Q48" t="s">
        <v>37</v>
      </c>
      <c r="R48" t="s">
        <v>38</v>
      </c>
      <c r="S48" t="s">
        <v>20</v>
      </c>
      <c r="T48">
        <v>5</v>
      </c>
      <c r="U48">
        <v>20</v>
      </c>
      <c r="V48" t="s">
        <v>22</v>
      </c>
    </row>
    <row r="49" spans="1:22">
      <c r="A49" t="s">
        <v>145</v>
      </c>
      <c r="B49" t="s">
        <v>146</v>
      </c>
      <c r="C49">
        <v>43</v>
      </c>
      <c r="D49" t="s">
        <v>34</v>
      </c>
      <c r="E49" t="s">
        <v>17</v>
      </c>
      <c r="F49" t="s">
        <v>31</v>
      </c>
      <c r="G49" t="s">
        <v>1049</v>
      </c>
      <c r="H49" t="s">
        <v>1060</v>
      </c>
      <c r="I49">
        <v>99000</v>
      </c>
      <c r="J49">
        <v>12</v>
      </c>
      <c r="K49">
        <v>12</v>
      </c>
      <c r="L49">
        <v>1</v>
      </c>
      <c r="N49">
        <v>85</v>
      </c>
      <c r="O49">
        <v>7</v>
      </c>
      <c r="P49">
        <v>3</v>
      </c>
      <c r="Q49" t="s">
        <v>37</v>
      </c>
      <c r="R49" t="s">
        <v>38</v>
      </c>
      <c r="S49" t="s">
        <v>20</v>
      </c>
      <c r="T49">
        <v>12</v>
      </c>
      <c r="U49">
        <v>20</v>
      </c>
      <c r="V49" t="s">
        <v>39</v>
      </c>
    </row>
    <row r="50" spans="1:22">
      <c r="A50" t="s">
        <v>147</v>
      </c>
      <c r="B50" t="s">
        <v>148</v>
      </c>
      <c r="C50">
        <v>26</v>
      </c>
      <c r="E50" t="s">
        <v>73</v>
      </c>
      <c r="F50" t="s">
        <v>66</v>
      </c>
      <c r="G50" t="s">
        <v>51</v>
      </c>
      <c r="H50" t="s">
        <v>1059</v>
      </c>
      <c r="I50">
        <v>48000</v>
      </c>
      <c r="J50">
        <v>12</v>
      </c>
      <c r="K50">
        <v>4</v>
      </c>
      <c r="L50">
        <v>3</v>
      </c>
      <c r="M50">
        <v>8000</v>
      </c>
      <c r="N50">
        <v>87</v>
      </c>
      <c r="O50">
        <v>15</v>
      </c>
      <c r="P50">
        <v>2</v>
      </c>
      <c r="Q50" t="s">
        <v>21</v>
      </c>
      <c r="R50" t="s">
        <v>28</v>
      </c>
      <c r="S50" t="s">
        <v>20</v>
      </c>
      <c r="T50">
        <v>10</v>
      </c>
      <c r="V50" t="s">
        <v>22</v>
      </c>
    </row>
    <row r="51" spans="1:22">
      <c r="A51" t="s">
        <v>149</v>
      </c>
      <c r="B51" t="s">
        <v>150</v>
      </c>
      <c r="C51">
        <v>19</v>
      </c>
      <c r="D51" t="s">
        <v>46</v>
      </c>
      <c r="E51" t="s">
        <v>50</v>
      </c>
      <c r="F51" t="s">
        <v>27</v>
      </c>
      <c r="G51" t="s">
        <v>1047</v>
      </c>
      <c r="H51" t="s">
        <v>1060</v>
      </c>
      <c r="I51">
        <v>9000</v>
      </c>
      <c r="J51">
        <v>12</v>
      </c>
      <c r="K51">
        <v>0</v>
      </c>
      <c r="L51">
        <v>1</v>
      </c>
      <c r="N51">
        <v>85</v>
      </c>
      <c r="O51">
        <v>15</v>
      </c>
      <c r="P51">
        <v>3</v>
      </c>
      <c r="Q51" t="s">
        <v>21</v>
      </c>
      <c r="R51" t="s">
        <v>38</v>
      </c>
      <c r="S51" t="s">
        <v>20</v>
      </c>
      <c r="T51">
        <v>10</v>
      </c>
      <c r="U51">
        <v>20</v>
      </c>
      <c r="V51" t="s">
        <v>39</v>
      </c>
    </row>
    <row r="52" spans="1:22">
      <c r="A52" t="s">
        <v>151</v>
      </c>
      <c r="B52" t="s">
        <v>152</v>
      </c>
      <c r="C52">
        <v>25</v>
      </c>
      <c r="D52" t="s">
        <v>16</v>
      </c>
      <c r="F52" t="s">
        <v>31</v>
      </c>
      <c r="G52" t="s">
        <v>51</v>
      </c>
      <c r="H52" t="s">
        <v>1060</v>
      </c>
      <c r="I52">
        <v>48000</v>
      </c>
      <c r="J52">
        <v>12</v>
      </c>
      <c r="K52">
        <v>4</v>
      </c>
      <c r="L52">
        <v>2</v>
      </c>
      <c r="N52">
        <v>87</v>
      </c>
      <c r="O52">
        <v>15</v>
      </c>
      <c r="P52">
        <v>3</v>
      </c>
      <c r="Q52" t="s">
        <v>37</v>
      </c>
      <c r="R52" t="s">
        <v>38</v>
      </c>
      <c r="S52" t="s">
        <v>20</v>
      </c>
      <c r="V52" t="s">
        <v>39</v>
      </c>
    </row>
    <row r="53" spans="1:22">
      <c r="A53" t="s">
        <v>153</v>
      </c>
      <c r="B53" t="s">
        <v>154</v>
      </c>
      <c r="C53">
        <v>21</v>
      </c>
      <c r="D53" t="s">
        <v>16</v>
      </c>
      <c r="E53" t="s">
        <v>50</v>
      </c>
      <c r="F53" t="s">
        <v>36</v>
      </c>
      <c r="G53" t="s">
        <v>1047</v>
      </c>
      <c r="H53" t="s">
        <v>1060</v>
      </c>
      <c r="I53">
        <v>15000</v>
      </c>
      <c r="J53">
        <v>12</v>
      </c>
      <c r="K53">
        <v>1</v>
      </c>
      <c r="L53">
        <v>2</v>
      </c>
      <c r="N53">
        <v>90</v>
      </c>
      <c r="O53">
        <v>7</v>
      </c>
      <c r="P53">
        <v>3</v>
      </c>
      <c r="Q53" t="s">
        <v>21</v>
      </c>
      <c r="R53" t="s">
        <v>38</v>
      </c>
      <c r="S53" t="s">
        <v>20</v>
      </c>
      <c r="V53" t="s">
        <v>39</v>
      </c>
    </row>
    <row r="54" spans="1:22">
      <c r="A54" t="s">
        <v>155</v>
      </c>
      <c r="B54" t="s">
        <v>156</v>
      </c>
      <c r="C54">
        <v>24</v>
      </c>
      <c r="E54" t="s">
        <v>61</v>
      </c>
      <c r="F54" t="s">
        <v>31</v>
      </c>
      <c r="G54" t="s">
        <v>1045</v>
      </c>
      <c r="H54" t="s">
        <v>1060</v>
      </c>
      <c r="I54">
        <v>78000</v>
      </c>
      <c r="J54">
        <v>12</v>
      </c>
      <c r="K54">
        <v>7</v>
      </c>
      <c r="L54">
        <v>1</v>
      </c>
      <c r="N54">
        <v>80</v>
      </c>
      <c r="O54">
        <v>15</v>
      </c>
      <c r="P54">
        <v>12</v>
      </c>
      <c r="Q54" t="s">
        <v>37</v>
      </c>
      <c r="R54" t="s">
        <v>19</v>
      </c>
      <c r="S54" t="s">
        <v>33</v>
      </c>
      <c r="T54">
        <v>20</v>
      </c>
      <c r="V54" t="s">
        <v>39</v>
      </c>
    </row>
    <row r="55" spans="1:22">
      <c r="A55" t="s">
        <v>157</v>
      </c>
      <c r="B55" t="s">
        <v>158</v>
      </c>
      <c r="C55">
        <v>25</v>
      </c>
      <c r="D55" t="s">
        <v>34</v>
      </c>
      <c r="E55" t="s">
        <v>35</v>
      </c>
      <c r="F55" t="s">
        <v>66</v>
      </c>
      <c r="G55" t="s">
        <v>51</v>
      </c>
      <c r="H55" t="s">
        <v>1060</v>
      </c>
      <c r="I55">
        <v>37000</v>
      </c>
      <c r="J55">
        <v>12</v>
      </c>
      <c r="K55">
        <v>2</v>
      </c>
      <c r="L55">
        <v>5</v>
      </c>
      <c r="M55">
        <v>21000</v>
      </c>
      <c r="N55">
        <v>95</v>
      </c>
      <c r="O55">
        <v>10</v>
      </c>
      <c r="P55">
        <v>1</v>
      </c>
      <c r="Q55" t="s">
        <v>37</v>
      </c>
      <c r="R55" t="s">
        <v>19</v>
      </c>
      <c r="S55" t="s">
        <v>33</v>
      </c>
      <c r="U55">
        <v>30</v>
      </c>
      <c r="V55" t="s">
        <v>58</v>
      </c>
    </row>
    <row r="56" spans="1:22">
      <c r="A56" t="s">
        <v>159</v>
      </c>
      <c r="B56" t="s">
        <v>160</v>
      </c>
      <c r="C56">
        <v>25</v>
      </c>
      <c r="F56" t="s">
        <v>66</v>
      </c>
      <c r="G56" t="s">
        <v>51</v>
      </c>
      <c r="H56" t="s">
        <v>1060</v>
      </c>
      <c r="I56">
        <v>43000</v>
      </c>
      <c r="J56">
        <v>12</v>
      </c>
      <c r="K56">
        <v>3</v>
      </c>
      <c r="L56">
        <v>4</v>
      </c>
      <c r="M56">
        <v>10000</v>
      </c>
      <c r="N56">
        <v>85</v>
      </c>
      <c r="O56">
        <v>5</v>
      </c>
      <c r="P56">
        <v>12</v>
      </c>
      <c r="Q56" t="s">
        <v>37</v>
      </c>
      <c r="R56" t="s">
        <v>38</v>
      </c>
      <c r="S56" t="s">
        <v>20</v>
      </c>
      <c r="T56">
        <v>20</v>
      </c>
      <c r="U56">
        <v>20</v>
      </c>
      <c r="V56" t="s">
        <v>58</v>
      </c>
    </row>
    <row r="57" spans="1:22">
      <c r="A57" t="s">
        <v>161</v>
      </c>
      <c r="B57" t="s">
        <v>162</v>
      </c>
      <c r="C57">
        <v>26</v>
      </c>
      <c r="D57" t="s">
        <v>16</v>
      </c>
      <c r="E57" t="s">
        <v>17</v>
      </c>
      <c r="F57" t="s">
        <v>36</v>
      </c>
      <c r="G57" t="s">
        <v>51</v>
      </c>
      <c r="H57" t="s">
        <v>1060</v>
      </c>
      <c r="I57">
        <v>37000</v>
      </c>
      <c r="J57">
        <v>12</v>
      </c>
      <c r="K57">
        <v>2</v>
      </c>
      <c r="L57">
        <v>1</v>
      </c>
      <c r="N57">
        <v>90</v>
      </c>
      <c r="O57">
        <v>10</v>
      </c>
      <c r="P57">
        <v>6</v>
      </c>
      <c r="Q57" t="s">
        <v>21</v>
      </c>
      <c r="R57" t="s">
        <v>38</v>
      </c>
      <c r="S57" t="s">
        <v>33</v>
      </c>
      <c r="U57">
        <v>30</v>
      </c>
      <c r="V57" t="s">
        <v>39</v>
      </c>
    </row>
    <row r="58" spans="1:22">
      <c r="A58" t="s">
        <v>163</v>
      </c>
      <c r="B58" t="s">
        <v>164</v>
      </c>
      <c r="C58">
        <v>27</v>
      </c>
      <c r="D58" t="s">
        <v>34</v>
      </c>
      <c r="E58" t="s">
        <v>73</v>
      </c>
      <c r="F58" t="s">
        <v>36</v>
      </c>
      <c r="G58" t="s">
        <v>51</v>
      </c>
      <c r="H58" t="s">
        <v>1060</v>
      </c>
      <c r="I58">
        <v>48000</v>
      </c>
      <c r="J58">
        <v>12</v>
      </c>
      <c r="K58">
        <v>4</v>
      </c>
      <c r="L58">
        <v>3</v>
      </c>
      <c r="M58">
        <v>8000</v>
      </c>
      <c r="N58">
        <v>80</v>
      </c>
      <c r="O58">
        <v>7</v>
      </c>
      <c r="P58">
        <v>1</v>
      </c>
      <c r="Q58" t="s">
        <v>37</v>
      </c>
      <c r="R58" t="s">
        <v>38</v>
      </c>
      <c r="S58" t="s">
        <v>33</v>
      </c>
      <c r="V58" t="s">
        <v>22</v>
      </c>
    </row>
    <row r="59" spans="1:22">
      <c r="A59" t="s">
        <v>165</v>
      </c>
      <c r="B59" t="s">
        <v>166</v>
      </c>
      <c r="C59">
        <v>27</v>
      </c>
      <c r="D59" t="s">
        <v>16</v>
      </c>
      <c r="E59" t="s">
        <v>65</v>
      </c>
      <c r="F59" t="s">
        <v>42</v>
      </c>
      <c r="G59" t="s">
        <v>51</v>
      </c>
      <c r="H59" t="s">
        <v>1060</v>
      </c>
      <c r="J59">
        <v>12</v>
      </c>
      <c r="K59">
        <v>4</v>
      </c>
      <c r="L59">
        <v>2</v>
      </c>
      <c r="N59">
        <v>80</v>
      </c>
      <c r="O59">
        <v>10</v>
      </c>
      <c r="P59">
        <v>11</v>
      </c>
      <c r="Q59" t="s">
        <v>21</v>
      </c>
      <c r="R59" t="s">
        <v>19</v>
      </c>
      <c r="S59" t="s">
        <v>20</v>
      </c>
      <c r="V59" t="s">
        <v>39</v>
      </c>
    </row>
    <row r="60" spans="1:22">
      <c r="A60" t="s">
        <v>167</v>
      </c>
      <c r="B60" t="s">
        <v>168</v>
      </c>
      <c r="C60">
        <v>26</v>
      </c>
      <c r="E60" t="s">
        <v>26</v>
      </c>
      <c r="F60" t="s">
        <v>18</v>
      </c>
      <c r="G60" t="s">
        <v>51</v>
      </c>
      <c r="H60" t="s">
        <v>1060</v>
      </c>
      <c r="I60">
        <v>53500</v>
      </c>
      <c r="J60">
        <v>12</v>
      </c>
      <c r="K60">
        <v>4</v>
      </c>
      <c r="L60">
        <v>2</v>
      </c>
      <c r="N60">
        <v>85</v>
      </c>
      <c r="O60">
        <v>5</v>
      </c>
      <c r="P60">
        <v>3</v>
      </c>
      <c r="R60" t="s">
        <v>38</v>
      </c>
      <c r="S60" t="s">
        <v>33</v>
      </c>
      <c r="V60" t="s">
        <v>39</v>
      </c>
    </row>
    <row r="61" spans="1:22">
      <c r="A61" t="s">
        <v>169</v>
      </c>
      <c r="B61" t="s">
        <v>170</v>
      </c>
      <c r="C61">
        <v>25</v>
      </c>
      <c r="D61" t="s">
        <v>46</v>
      </c>
      <c r="E61" t="s">
        <v>61</v>
      </c>
      <c r="F61" t="s">
        <v>36</v>
      </c>
      <c r="G61" t="s">
        <v>51</v>
      </c>
      <c r="H61" t="s">
        <v>1060</v>
      </c>
      <c r="I61">
        <v>43000</v>
      </c>
      <c r="J61">
        <v>12</v>
      </c>
      <c r="K61">
        <v>3</v>
      </c>
      <c r="L61">
        <v>1</v>
      </c>
      <c r="N61">
        <v>80</v>
      </c>
      <c r="O61">
        <v>15</v>
      </c>
      <c r="P61">
        <v>3</v>
      </c>
      <c r="R61" t="s">
        <v>19</v>
      </c>
      <c r="S61" t="s">
        <v>20</v>
      </c>
      <c r="T61">
        <v>10</v>
      </c>
      <c r="U61">
        <v>20</v>
      </c>
      <c r="V61" t="s">
        <v>39</v>
      </c>
    </row>
    <row r="62" spans="1:22">
      <c r="A62" t="s">
        <v>171</v>
      </c>
      <c r="B62" t="s">
        <v>172</v>
      </c>
      <c r="C62">
        <v>45</v>
      </c>
      <c r="D62" t="s">
        <v>46</v>
      </c>
      <c r="E62" t="s">
        <v>65</v>
      </c>
      <c r="F62" t="s">
        <v>66</v>
      </c>
      <c r="G62" t="s">
        <v>1049</v>
      </c>
      <c r="H62" t="s">
        <v>1060</v>
      </c>
      <c r="I62">
        <v>120000</v>
      </c>
      <c r="J62">
        <v>12</v>
      </c>
      <c r="K62">
        <v>13</v>
      </c>
      <c r="L62">
        <v>2</v>
      </c>
      <c r="N62">
        <v>90</v>
      </c>
      <c r="O62">
        <v>10</v>
      </c>
      <c r="P62">
        <v>13</v>
      </c>
      <c r="R62" t="s">
        <v>38</v>
      </c>
      <c r="S62" t="s">
        <v>20</v>
      </c>
      <c r="U62">
        <v>30</v>
      </c>
      <c r="V62" t="s">
        <v>39</v>
      </c>
    </row>
    <row r="63" spans="1:22">
      <c r="A63" t="s">
        <v>173</v>
      </c>
      <c r="B63" t="s">
        <v>174</v>
      </c>
      <c r="C63">
        <v>25</v>
      </c>
      <c r="D63" t="s">
        <v>25</v>
      </c>
      <c r="E63" t="s">
        <v>73</v>
      </c>
      <c r="F63" t="s">
        <v>27</v>
      </c>
      <c r="G63" t="s">
        <v>51</v>
      </c>
      <c r="H63" t="s">
        <v>1060</v>
      </c>
      <c r="I63">
        <v>48000</v>
      </c>
      <c r="J63">
        <v>12</v>
      </c>
      <c r="K63">
        <v>4</v>
      </c>
      <c r="L63">
        <v>4</v>
      </c>
      <c r="M63">
        <v>12000</v>
      </c>
      <c r="N63">
        <v>90</v>
      </c>
      <c r="O63">
        <v>5</v>
      </c>
      <c r="P63">
        <v>3</v>
      </c>
      <c r="R63" t="s">
        <v>38</v>
      </c>
      <c r="S63" t="s">
        <v>20</v>
      </c>
      <c r="T63">
        <v>20</v>
      </c>
      <c r="U63">
        <v>30</v>
      </c>
      <c r="V63" t="s">
        <v>58</v>
      </c>
    </row>
    <row r="64" spans="1:22">
      <c r="A64" t="s">
        <v>175</v>
      </c>
      <c r="B64" t="s">
        <v>176</v>
      </c>
      <c r="C64">
        <v>35</v>
      </c>
      <c r="D64" t="s">
        <v>34</v>
      </c>
      <c r="E64" t="s">
        <v>73</v>
      </c>
      <c r="F64" t="s">
        <v>31</v>
      </c>
      <c r="G64" t="s">
        <v>1045</v>
      </c>
      <c r="H64" t="s">
        <v>1060</v>
      </c>
      <c r="I64">
        <v>76500</v>
      </c>
      <c r="J64">
        <v>12</v>
      </c>
      <c r="K64">
        <v>5</v>
      </c>
      <c r="L64">
        <v>3</v>
      </c>
      <c r="M64">
        <v>7000</v>
      </c>
      <c r="N64">
        <v>85</v>
      </c>
      <c r="O64">
        <v>10</v>
      </c>
      <c r="P64">
        <v>2</v>
      </c>
      <c r="Q64" t="s">
        <v>37</v>
      </c>
      <c r="R64" t="s">
        <v>38</v>
      </c>
      <c r="S64" t="s">
        <v>20</v>
      </c>
      <c r="T64">
        <v>10</v>
      </c>
      <c r="U64">
        <v>30</v>
      </c>
      <c r="V64" t="s">
        <v>22</v>
      </c>
    </row>
    <row r="65" spans="1:22">
      <c r="A65" t="s">
        <v>177</v>
      </c>
      <c r="B65" t="s">
        <v>178</v>
      </c>
      <c r="C65">
        <v>26</v>
      </c>
      <c r="D65" t="s">
        <v>25</v>
      </c>
      <c r="E65" t="s">
        <v>35</v>
      </c>
      <c r="F65" t="s">
        <v>66</v>
      </c>
      <c r="G65" t="s">
        <v>51</v>
      </c>
      <c r="H65" t="s">
        <v>1060</v>
      </c>
      <c r="I65">
        <v>37000</v>
      </c>
      <c r="J65">
        <v>12</v>
      </c>
      <c r="K65">
        <v>2</v>
      </c>
      <c r="L65">
        <v>4</v>
      </c>
      <c r="M65">
        <v>12000</v>
      </c>
      <c r="N65">
        <v>80</v>
      </c>
      <c r="O65">
        <v>15</v>
      </c>
      <c r="P65">
        <v>11</v>
      </c>
      <c r="Q65" t="s">
        <v>21</v>
      </c>
      <c r="R65" t="s">
        <v>19</v>
      </c>
      <c r="S65" t="s">
        <v>33</v>
      </c>
      <c r="T65">
        <v>10</v>
      </c>
      <c r="V65" t="s">
        <v>22</v>
      </c>
    </row>
    <row r="66" spans="1:22">
      <c r="A66" t="s">
        <v>179</v>
      </c>
      <c r="B66" t="s">
        <v>180</v>
      </c>
      <c r="C66">
        <v>28</v>
      </c>
      <c r="D66" t="s">
        <v>16</v>
      </c>
      <c r="F66" t="s">
        <v>18</v>
      </c>
      <c r="G66" t="s">
        <v>1045</v>
      </c>
      <c r="H66" t="s">
        <v>1059</v>
      </c>
      <c r="I66">
        <v>78000</v>
      </c>
      <c r="J66">
        <v>12</v>
      </c>
      <c r="K66">
        <v>7</v>
      </c>
      <c r="L66">
        <v>1</v>
      </c>
      <c r="N66">
        <v>90</v>
      </c>
      <c r="O66">
        <v>7</v>
      </c>
      <c r="P66">
        <v>1</v>
      </c>
      <c r="Q66" t="s">
        <v>37</v>
      </c>
      <c r="R66" t="s">
        <v>28</v>
      </c>
      <c r="S66" t="s">
        <v>20</v>
      </c>
      <c r="T66">
        <v>20</v>
      </c>
      <c r="U66">
        <v>10</v>
      </c>
      <c r="V66" t="s">
        <v>39</v>
      </c>
    </row>
    <row r="67" spans="1:22">
      <c r="A67" t="s">
        <v>56</v>
      </c>
      <c r="B67" t="s">
        <v>594</v>
      </c>
      <c r="C67">
        <v>25</v>
      </c>
      <c r="D67" t="s">
        <v>34</v>
      </c>
      <c r="E67" t="s">
        <v>57</v>
      </c>
      <c r="F67" t="s">
        <v>42</v>
      </c>
      <c r="G67" t="s">
        <v>51</v>
      </c>
      <c r="H67" t="s">
        <v>1059</v>
      </c>
      <c r="I67">
        <v>36000</v>
      </c>
      <c r="J67">
        <v>12</v>
      </c>
      <c r="K67">
        <v>3</v>
      </c>
      <c r="L67">
        <v>4</v>
      </c>
      <c r="M67">
        <v>15000</v>
      </c>
      <c r="N67">
        <v>80</v>
      </c>
      <c r="O67">
        <v>7</v>
      </c>
      <c r="P67">
        <v>5</v>
      </c>
      <c r="R67" t="s">
        <v>28</v>
      </c>
      <c r="S67" t="s">
        <v>20</v>
      </c>
      <c r="U67">
        <v>20</v>
      </c>
      <c r="V67" t="s">
        <v>58</v>
      </c>
    </row>
    <row r="68" spans="1:22">
      <c r="A68" t="s">
        <v>181</v>
      </c>
      <c r="B68" t="s">
        <v>182</v>
      </c>
      <c r="C68">
        <v>27</v>
      </c>
      <c r="D68" t="s">
        <v>46</v>
      </c>
      <c r="E68" t="s">
        <v>73</v>
      </c>
      <c r="F68" t="s">
        <v>66</v>
      </c>
      <c r="G68" t="s">
        <v>51</v>
      </c>
      <c r="H68" t="s">
        <v>1060</v>
      </c>
      <c r="I68">
        <v>37000</v>
      </c>
      <c r="J68">
        <v>12</v>
      </c>
      <c r="K68">
        <v>2</v>
      </c>
      <c r="L68">
        <v>4</v>
      </c>
      <c r="M68">
        <v>13000</v>
      </c>
      <c r="N68">
        <v>85</v>
      </c>
      <c r="O68">
        <v>10</v>
      </c>
      <c r="P68">
        <v>1</v>
      </c>
      <c r="Q68" t="s">
        <v>21</v>
      </c>
      <c r="R68" t="s">
        <v>38</v>
      </c>
      <c r="S68" t="s">
        <v>20</v>
      </c>
      <c r="T68">
        <v>5</v>
      </c>
      <c r="U68">
        <v>30</v>
      </c>
      <c r="V68" t="s">
        <v>22</v>
      </c>
    </row>
    <row r="69" spans="1:22">
      <c r="A69" t="s">
        <v>183</v>
      </c>
      <c r="B69" t="s">
        <v>184</v>
      </c>
      <c r="C69">
        <v>26</v>
      </c>
      <c r="D69" t="s">
        <v>34</v>
      </c>
      <c r="E69" t="s">
        <v>64</v>
      </c>
      <c r="F69" t="s">
        <v>18</v>
      </c>
      <c r="G69" t="s">
        <v>51</v>
      </c>
      <c r="H69" t="s">
        <v>1060</v>
      </c>
      <c r="I69">
        <v>43000</v>
      </c>
      <c r="J69">
        <v>12</v>
      </c>
      <c r="K69">
        <v>3</v>
      </c>
      <c r="L69">
        <v>2</v>
      </c>
      <c r="N69">
        <v>85</v>
      </c>
      <c r="O69">
        <v>10</v>
      </c>
      <c r="P69">
        <v>3</v>
      </c>
      <c r="Q69" t="s">
        <v>37</v>
      </c>
      <c r="R69" t="s">
        <v>19</v>
      </c>
      <c r="S69" t="s">
        <v>33</v>
      </c>
      <c r="T69">
        <v>10</v>
      </c>
      <c r="U69">
        <v>30</v>
      </c>
      <c r="V69" t="s">
        <v>39</v>
      </c>
    </row>
    <row r="70" spans="1:22">
      <c r="A70" t="s">
        <v>185</v>
      </c>
      <c r="B70" t="s">
        <v>186</v>
      </c>
      <c r="C70">
        <v>35</v>
      </c>
      <c r="D70" t="s">
        <v>25</v>
      </c>
      <c r="E70" t="s">
        <v>73</v>
      </c>
      <c r="F70" t="s">
        <v>42</v>
      </c>
      <c r="G70" t="s">
        <v>82</v>
      </c>
      <c r="H70" t="s">
        <v>1059</v>
      </c>
      <c r="I70">
        <v>80000</v>
      </c>
      <c r="J70">
        <v>12</v>
      </c>
      <c r="K70">
        <v>9</v>
      </c>
      <c r="L70">
        <v>1</v>
      </c>
      <c r="N70">
        <v>90</v>
      </c>
      <c r="O70">
        <v>10</v>
      </c>
      <c r="P70">
        <v>11</v>
      </c>
      <c r="Q70" t="s">
        <v>37</v>
      </c>
      <c r="R70" t="s">
        <v>28</v>
      </c>
      <c r="S70" t="s">
        <v>20</v>
      </c>
      <c r="U70">
        <v>20</v>
      </c>
      <c r="V70" t="s">
        <v>39</v>
      </c>
    </row>
    <row r="71" spans="1:22">
      <c r="A71" t="s">
        <v>187</v>
      </c>
      <c r="B71" t="s">
        <v>188</v>
      </c>
      <c r="C71">
        <v>26</v>
      </c>
      <c r="E71" t="s">
        <v>61</v>
      </c>
      <c r="F71" t="s">
        <v>27</v>
      </c>
      <c r="G71" t="s">
        <v>51</v>
      </c>
      <c r="H71" t="s">
        <v>1060</v>
      </c>
      <c r="I71">
        <v>43000</v>
      </c>
      <c r="J71">
        <v>12</v>
      </c>
      <c r="K71">
        <v>3</v>
      </c>
      <c r="L71">
        <v>1</v>
      </c>
      <c r="N71">
        <v>87</v>
      </c>
      <c r="O71">
        <v>5</v>
      </c>
      <c r="P71">
        <v>5</v>
      </c>
      <c r="R71" t="s">
        <v>19</v>
      </c>
      <c r="S71" t="s">
        <v>20</v>
      </c>
      <c r="T71">
        <v>5</v>
      </c>
      <c r="V71" t="s">
        <v>39</v>
      </c>
    </row>
    <row r="72" spans="1:22">
      <c r="A72" t="s">
        <v>189</v>
      </c>
      <c r="B72" t="s">
        <v>190</v>
      </c>
      <c r="C72">
        <v>28</v>
      </c>
      <c r="D72" t="s">
        <v>16</v>
      </c>
      <c r="E72" t="s">
        <v>73</v>
      </c>
      <c r="F72" t="s">
        <v>18</v>
      </c>
      <c r="G72" t="s">
        <v>1045</v>
      </c>
      <c r="H72" t="s">
        <v>1060</v>
      </c>
      <c r="I72">
        <v>78000</v>
      </c>
      <c r="J72">
        <v>12</v>
      </c>
      <c r="K72">
        <v>7</v>
      </c>
      <c r="L72">
        <v>3</v>
      </c>
      <c r="M72">
        <v>11000</v>
      </c>
      <c r="N72">
        <v>90</v>
      </c>
      <c r="O72">
        <v>7</v>
      </c>
      <c r="P72">
        <v>2</v>
      </c>
      <c r="Q72" t="s">
        <v>37</v>
      </c>
      <c r="R72" t="s">
        <v>19</v>
      </c>
      <c r="S72" t="s">
        <v>20</v>
      </c>
      <c r="V72" t="s">
        <v>22</v>
      </c>
    </row>
    <row r="73" spans="1:22">
      <c r="A73" t="s">
        <v>191</v>
      </c>
      <c r="B73" t="s">
        <v>192</v>
      </c>
      <c r="C73">
        <v>40</v>
      </c>
      <c r="D73" t="s">
        <v>25</v>
      </c>
      <c r="E73" t="s">
        <v>50</v>
      </c>
      <c r="F73" t="s">
        <v>18</v>
      </c>
      <c r="G73" t="s">
        <v>1049</v>
      </c>
      <c r="H73" t="s">
        <v>1060</v>
      </c>
      <c r="I73">
        <v>130000</v>
      </c>
      <c r="J73">
        <v>12</v>
      </c>
      <c r="K73">
        <v>13</v>
      </c>
      <c r="L73">
        <v>1</v>
      </c>
      <c r="N73">
        <v>87</v>
      </c>
      <c r="O73">
        <v>15</v>
      </c>
      <c r="P73">
        <v>2</v>
      </c>
      <c r="Q73" t="s">
        <v>37</v>
      </c>
      <c r="R73" t="s">
        <v>19</v>
      </c>
      <c r="S73" t="s">
        <v>20</v>
      </c>
      <c r="V73" t="s">
        <v>39</v>
      </c>
    </row>
    <row r="74" spans="1:22">
      <c r="A74" t="s">
        <v>193</v>
      </c>
      <c r="B74" t="s">
        <v>194</v>
      </c>
      <c r="C74">
        <v>27</v>
      </c>
      <c r="D74" t="s">
        <v>16</v>
      </c>
      <c r="E74" t="s">
        <v>47</v>
      </c>
      <c r="F74" t="s">
        <v>31</v>
      </c>
      <c r="G74" t="s">
        <v>1045</v>
      </c>
      <c r="H74" t="s">
        <v>1060</v>
      </c>
      <c r="I74">
        <v>78000</v>
      </c>
      <c r="J74">
        <v>12</v>
      </c>
      <c r="K74">
        <v>7</v>
      </c>
      <c r="L74">
        <v>1</v>
      </c>
      <c r="N74">
        <v>87</v>
      </c>
      <c r="O74">
        <v>15</v>
      </c>
      <c r="P74">
        <v>5</v>
      </c>
      <c r="Q74" t="s">
        <v>37</v>
      </c>
      <c r="R74" t="s">
        <v>19</v>
      </c>
      <c r="S74" t="s">
        <v>20</v>
      </c>
      <c r="T74">
        <v>10</v>
      </c>
      <c r="U74">
        <v>10</v>
      </c>
      <c r="V74" t="s">
        <v>39</v>
      </c>
    </row>
    <row r="75" spans="1:22">
      <c r="A75" t="s">
        <v>195</v>
      </c>
      <c r="B75" t="s">
        <v>196</v>
      </c>
      <c r="C75">
        <v>25</v>
      </c>
      <c r="E75" t="s">
        <v>47</v>
      </c>
      <c r="F75" t="s">
        <v>18</v>
      </c>
      <c r="G75" t="s">
        <v>51</v>
      </c>
      <c r="H75" t="s">
        <v>1060</v>
      </c>
      <c r="I75">
        <v>38000</v>
      </c>
      <c r="J75">
        <v>12</v>
      </c>
      <c r="K75">
        <v>2</v>
      </c>
      <c r="L75">
        <v>4</v>
      </c>
      <c r="M75">
        <v>10000</v>
      </c>
      <c r="N75">
        <v>85</v>
      </c>
      <c r="O75">
        <v>5</v>
      </c>
      <c r="P75">
        <v>2</v>
      </c>
      <c r="Q75" t="s">
        <v>37</v>
      </c>
      <c r="R75" t="s">
        <v>38</v>
      </c>
      <c r="S75" t="s">
        <v>20</v>
      </c>
      <c r="T75">
        <v>10</v>
      </c>
      <c r="V75" t="s">
        <v>22</v>
      </c>
    </row>
    <row r="76" spans="1:22">
      <c r="A76" t="s">
        <v>197</v>
      </c>
      <c r="B76" t="s">
        <v>198</v>
      </c>
      <c r="C76">
        <v>33</v>
      </c>
      <c r="D76" t="s">
        <v>16</v>
      </c>
      <c r="F76" t="s">
        <v>27</v>
      </c>
      <c r="G76" t="s">
        <v>32</v>
      </c>
      <c r="H76" t="s">
        <v>1060</v>
      </c>
      <c r="I76">
        <v>94500</v>
      </c>
      <c r="J76">
        <v>12</v>
      </c>
      <c r="K76">
        <v>9</v>
      </c>
      <c r="L76">
        <v>5</v>
      </c>
      <c r="M76">
        <v>28381</v>
      </c>
      <c r="N76">
        <v>90</v>
      </c>
      <c r="O76">
        <v>5</v>
      </c>
      <c r="P76">
        <v>5</v>
      </c>
      <c r="Q76" t="s">
        <v>21</v>
      </c>
      <c r="R76" t="s">
        <v>38</v>
      </c>
      <c r="S76" t="s">
        <v>20</v>
      </c>
      <c r="U76">
        <v>30</v>
      </c>
      <c r="V76" t="s">
        <v>58</v>
      </c>
    </row>
    <row r="77" spans="1:22">
      <c r="A77" t="s">
        <v>199</v>
      </c>
      <c r="B77" t="s">
        <v>200</v>
      </c>
      <c r="C77">
        <v>25</v>
      </c>
      <c r="E77" t="s">
        <v>26</v>
      </c>
      <c r="F77" t="s">
        <v>18</v>
      </c>
      <c r="G77" t="s">
        <v>51</v>
      </c>
      <c r="H77" t="s">
        <v>1059</v>
      </c>
      <c r="I77">
        <v>48000</v>
      </c>
      <c r="J77">
        <v>12</v>
      </c>
      <c r="K77">
        <v>4</v>
      </c>
      <c r="L77">
        <v>1</v>
      </c>
      <c r="N77">
        <v>95</v>
      </c>
      <c r="O77">
        <v>5</v>
      </c>
      <c r="P77">
        <v>1</v>
      </c>
      <c r="Q77" t="s">
        <v>37</v>
      </c>
      <c r="R77" t="s">
        <v>28</v>
      </c>
      <c r="S77" t="s">
        <v>20</v>
      </c>
      <c r="T77">
        <v>10</v>
      </c>
      <c r="U77">
        <v>30</v>
      </c>
      <c r="V77" t="s">
        <v>39</v>
      </c>
    </row>
    <row r="78" spans="1:22">
      <c r="A78" t="s">
        <v>201</v>
      </c>
      <c r="B78" t="s">
        <v>202</v>
      </c>
      <c r="C78">
        <v>25</v>
      </c>
      <c r="D78" t="s">
        <v>34</v>
      </c>
      <c r="E78" t="s">
        <v>35</v>
      </c>
      <c r="F78" t="s">
        <v>66</v>
      </c>
      <c r="G78" t="s">
        <v>51</v>
      </c>
      <c r="H78" t="s">
        <v>1060</v>
      </c>
      <c r="I78">
        <v>45000</v>
      </c>
      <c r="J78">
        <v>12</v>
      </c>
      <c r="K78">
        <v>3</v>
      </c>
      <c r="L78">
        <v>4</v>
      </c>
      <c r="M78">
        <v>10000</v>
      </c>
      <c r="N78">
        <v>85</v>
      </c>
      <c r="O78">
        <v>5</v>
      </c>
      <c r="P78">
        <v>8</v>
      </c>
      <c r="Q78" t="s">
        <v>21</v>
      </c>
      <c r="R78" t="s">
        <v>38</v>
      </c>
      <c r="S78" t="s">
        <v>20</v>
      </c>
      <c r="T78">
        <v>5</v>
      </c>
      <c r="U78">
        <v>20</v>
      </c>
      <c r="V78" t="s">
        <v>22</v>
      </c>
    </row>
    <row r="79" spans="1:22">
      <c r="A79" t="s">
        <v>203</v>
      </c>
      <c r="B79" t="s">
        <v>204</v>
      </c>
      <c r="C79">
        <v>27</v>
      </c>
      <c r="E79" t="s">
        <v>50</v>
      </c>
      <c r="F79" t="s">
        <v>31</v>
      </c>
      <c r="G79" t="s">
        <v>51</v>
      </c>
      <c r="H79" t="s">
        <v>1060</v>
      </c>
      <c r="I79">
        <v>37000</v>
      </c>
      <c r="J79">
        <v>12</v>
      </c>
      <c r="K79">
        <v>2</v>
      </c>
      <c r="L79">
        <v>1</v>
      </c>
      <c r="N79">
        <v>85</v>
      </c>
      <c r="O79">
        <v>7</v>
      </c>
      <c r="P79">
        <v>13</v>
      </c>
      <c r="Q79" t="s">
        <v>21</v>
      </c>
      <c r="R79" t="s">
        <v>38</v>
      </c>
      <c r="S79" t="s">
        <v>20</v>
      </c>
      <c r="T79">
        <v>10</v>
      </c>
      <c r="U79">
        <v>10</v>
      </c>
      <c r="V79" t="s">
        <v>39</v>
      </c>
    </row>
    <row r="80" spans="1:22">
      <c r="A80" t="s">
        <v>205</v>
      </c>
      <c r="B80" t="s">
        <v>206</v>
      </c>
      <c r="C80">
        <v>26</v>
      </c>
      <c r="D80" t="s">
        <v>46</v>
      </c>
      <c r="E80" t="s">
        <v>17</v>
      </c>
      <c r="F80" t="s">
        <v>18</v>
      </c>
      <c r="G80" t="s">
        <v>51</v>
      </c>
      <c r="H80" t="s">
        <v>1060</v>
      </c>
      <c r="I80">
        <v>45000</v>
      </c>
      <c r="J80">
        <v>12</v>
      </c>
      <c r="K80">
        <v>3</v>
      </c>
      <c r="L80">
        <v>4</v>
      </c>
      <c r="M80">
        <v>15000</v>
      </c>
      <c r="N80">
        <v>90</v>
      </c>
      <c r="O80">
        <v>7</v>
      </c>
      <c r="P80">
        <v>2</v>
      </c>
      <c r="Q80" t="s">
        <v>21</v>
      </c>
      <c r="R80" t="s">
        <v>38</v>
      </c>
      <c r="S80" t="s">
        <v>20</v>
      </c>
      <c r="U80">
        <v>20</v>
      </c>
      <c r="V80" t="s">
        <v>22</v>
      </c>
    </row>
    <row r="81" spans="1:22">
      <c r="A81" t="s">
        <v>207</v>
      </c>
      <c r="B81" t="s">
        <v>208</v>
      </c>
      <c r="C81">
        <v>33</v>
      </c>
      <c r="D81" t="s">
        <v>46</v>
      </c>
      <c r="F81" t="s">
        <v>27</v>
      </c>
      <c r="G81" t="s">
        <v>32</v>
      </c>
      <c r="H81" t="s">
        <v>1060</v>
      </c>
      <c r="I81">
        <v>90000</v>
      </c>
      <c r="J81">
        <v>12</v>
      </c>
      <c r="K81">
        <v>12</v>
      </c>
      <c r="L81">
        <v>2</v>
      </c>
      <c r="N81">
        <v>85</v>
      </c>
      <c r="O81">
        <v>7</v>
      </c>
      <c r="P81">
        <v>2</v>
      </c>
      <c r="R81" t="s">
        <v>38</v>
      </c>
      <c r="S81" t="s">
        <v>20</v>
      </c>
      <c r="T81">
        <v>5</v>
      </c>
      <c r="U81">
        <v>20</v>
      </c>
      <c r="V81" t="s">
        <v>39</v>
      </c>
    </row>
    <row r="82" spans="1:22">
      <c r="A82" t="s">
        <v>209</v>
      </c>
      <c r="B82" t="s">
        <v>210</v>
      </c>
      <c r="C82">
        <v>27</v>
      </c>
      <c r="D82" t="s">
        <v>16</v>
      </c>
      <c r="E82" t="s">
        <v>17</v>
      </c>
      <c r="F82" t="s">
        <v>42</v>
      </c>
      <c r="G82" t="s">
        <v>51</v>
      </c>
      <c r="H82" t="s">
        <v>1059</v>
      </c>
      <c r="I82">
        <v>37000</v>
      </c>
      <c r="J82">
        <v>12</v>
      </c>
      <c r="K82">
        <v>2</v>
      </c>
      <c r="L82">
        <v>3</v>
      </c>
      <c r="M82">
        <v>8000</v>
      </c>
      <c r="N82">
        <v>90</v>
      </c>
      <c r="O82">
        <v>7</v>
      </c>
      <c r="P82">
        <v>6</v>
      </c>
      <c r="R82" t="s">
        <v>28</v>
      </c>
      <c r="S82" t="s">
        <v>20</v>
      </c>
      <c r="U82">
        <v>30</v>
      </c>
      <c r="V82" t="s">
        <v>22</v>
      </c>
    </row>
    <row r="83" spans="1:22">
      <c r="A83" t="s">
        <v>211</v>
      </c>
      <c r="B83" t="s">
        <v>212</v>
      </c>
      <c r="C83">
        <v>19</v>
      </c>
      <c r="E83" t="s">
        <v>35</v>
      </c>
      <c r="F83" t="s">
        <v>36</v>
      </c>
      <c r="G83" t="s">
        <v>1047</v>
      </c>
      <c r="H83" t="s">
        <v>1060</v>
      </c>
      <c r="I83">
        <v>12000</v>
      </c>
      <c r="J83">
        <v>12</v>
      </c>
      <c r="K83">
        <v>0</v>
      </c>
      <c r="L83">
        <v>1</v>
      </c>
      <c r="N83">
        <v>85</v>
      </c>
      <c r="O83">
        <v>10</v>
      </c>
      <c r="P83">
        <v>8</v>
      </c>
      <c r="Q83" t="s">
        <v>21</v>
      </c>
      <c r="R83" t="s">
        <v>38</v>
      </c>
      <c r="S83" t="s">
        <v>20</v>
      </c>
      <c r="T83">
        <v>5</v>
      </c>
      <c r="V83" t="s">
        <v>39</v>
      </c>
    </row>
    <row r="84" spans="1:22">
      <c r="A84" t="s">
        <v>213</v>
      </c>
      <c r="B84" t="s">
        <v>214</v>
      </c>
      <c r="C84">
        <v>27</v>
      </c>
      <c r="D84" t="s">
        <v>25</v>
      </c>
      <c r="E84" t="s">
        <v>17</v>
      </c>
      <c r="F84" t="s">
        <v>31</v>
      </c>
      <c r="G84" t="s">
        <v>1045</v>
      </c>
      <c r="H84" t="s">
        <v>1060</v>
      </c>
      <c r="I84">
        <v>78000</v>
      </c>
      <c r="J84">
        <v>12</v>
      </c>
      <c r="K84">
        <v>7</v>
      </c>
      <c r="L84">
        <v>2</v>
      </c>
      <c r="N84">
        <v>85</v>
      </c>
      <c r="O84">
        <v>7</v>
      </c>
      <c r="P84">
        <v>5</v>
      </c>
      <c r="R84" t="s">
        <v>38</v>
      </c>
      <c r="S84" t="s">
        <v>20</v>
      </c>
      <c r="U84">
        <v>10</v>
      </c>
      <c r="V84" t="s">
        <v>39</v>
      </c>
    </row>
    <row r="85" spans="1:22">
      <c r="A85" t="s">
        <v>215</v>
      </c>
      <c r="B85" t="s">
        <v>216</v>
      </c>
      <c r="C85">
        <v>34</v>
      </c>
      <c r="D85" t="s">
        <v>34</v>
      </c>
      <c r="E85" t="s">
        <v>65</v>
      </c>
      <c r="F85" t="s">
        <v>42</v>
      </c>
      <c r="G85" t="s">
        <v>82</v>
      </c>
      <c r="H85" t="s">
        <v>1060</v>
      </c>
      <c r="I85">
        <v>88000</v>
      </c>
      <c r="J85">
        <v>12</v>
      </c>
      <c r="K85">
        <v>8</v>
      </c>
      <c r="L85">
        <v>1</v>
      </c>
      <c r="N85">
        <v>85</v>
      </c>
      <c r="O85">
        <v>10</v>
      </c>
      <c r="P85">
        <v>5</v>
      </c>
      <c r="Q85" t="s">
        <v>21</v>
      </c>
      <c r="R85" t="s">
        <v>38</v>
      </c>
      <c r="S85" t="s">
        <v>20</v>
      </c>
      <c r="T85">
        <v>10</v>
      </c>
      <c r="V85" t="s">
        <v>39</v>
      </c>
    </row>
    <row r="86" spans="1:22">
      <c r="A86" t="s">
        <v>217</v>
      </c>
      <c r="B86" t="s">
        <v>218</v>
      </c>
      <c r="C86">
        <v>25</v>
      </c>
      <c r="D86" t="s">
        <v>46</v>
      </c>
      <c r="E86" t="s">
        <v>26</v>
      </c>
      <c r="F86" t="s">
        <v>18</v>
      </c>
      <c r="G86" t="s">
        <v>51</v>
      </c>
      <c r="H86" t="s">
        <v>1060</v>
      </c>
      <c r="I86">
        <v>47000</v>
      </c>
      <c r="J86">
        <v>12</v>
      </c>
      <c r="K86">
        <v>3</v>
      </c>
      <c r="L86">
        <v>2</v>
      </c>
      <c r="N86">
        <v>90</v>
      </c>
      <c r="O86">
        <v>15</v>
      </c>
      <c r="P86">
        <v>1</v>
      </c>
      <c r="R86" t="s">
        <v>38</v>
      </c>
      <c r="S86" t="s">
        <v>20</v>
      </c>
      <c r="T86">
        <v>10</v>
      </c>
      <c r="V86" t="s">
        <v>39</v>
      </c>
    </row>
    <row r="87" spans="1:22">
      <c r="A87" t="s">
        <v>219</v>
      </c>
      <c r="B87" t="s">
        <v>220</v>
      </c>
      <c r="C87">
        <v>37</v>
      </c>
      <c r="D87" t="s">
        <v>34</v>
      </c>
      <c r="E87" t="s">
        <v>26</v>
      </c>
      <c r="F87" t="s">
        <v>18</v>
      </c>
      <c r="G87" t="s">
        <v>32</v>
      </c>
      <c r="H87" t="s">
        <v>1059</v>
      </c>
      <c r="I87">
        <v>90000</v>
      </c>
      <c r="J87">
        <v>12</v>
      </c>
      <c r="K87">
        <v>12</v>
      </c>
      <c r="L87">
        <v>4</v>
      </c>
      <c r="M87">
        <v>43000</v>
      </c>
      <c r="N87">
        <v>80</v>
      </c>
      <c r="O87">
        <v>7</v>
      </c>
      <c r="P87">
        <v>2</v>
      </c>
      <c r="Q87" t="s">
        <v>37</v>
      </c>
      <c r="R87" t="s">
        <v>28</v>
      </c>
      <c r="S87" t="s">
        <v>20</v>
      </c>
      <c r="T87">
        <v>10</v>
      </c>
      <c r="U87">
        <v>10</v>
      </c>
      <c r="V87" t="s">
        <v>58</v>
      </c>
    </row>
    <row r="88" spans="1:22">
      <c r="A88" t="s">
        <v>221</v>
      </c>
      <c r="B88" t="s">
        <v>222</v>
      </c>
      <c r="C88">
        <v>34</v>
      </c>
      <c r="D88" t="s">
        <v>34</v>
      </c>
      <c r="E88" t="s">
        <v>65</v>
      </c>
      <c r="F88" t="s">
        <v>36</v>
      </c>
      <c r="G88" t="s">
        <v>32</v>
      </c>
      <c r="H88" t="s">
        <v>1060</v>
      </c>
      <c r="I88">
        <v>93200</v>
      </c>
      <c r="J88">
        <v>12</v>
      </c>
      <c r="K88">
        <v>9</v>
      </c>
      <c r="L88">
        <v>2</v>
      </c>
      <c r="N88">
        <v>80</v>
      </c>
      <c r="O88">
        <v>15</v>
      </c>
      <c r="P88">
        <v>6</v>
      </c>
      <c r="Q88" t="s">
        <v>21</v>
      </c>
      <c r="R88" t="s">
        <v>38</v>
      </c>
      <c r="S88" t="s">
        <v>20</v>
      </c>
      <c r="T88">
        <v>5</v>
      </c>
      <c r="V88" t="s">
        <v>39</v>
      </c>
    </row>
    <row r="89" spans="1:22">
      <c r="A89" t="s">
        <v>223</v>
      </c>
      <c r="B89" t="s">
        <v>224</v>
      </c>
      <c r="C89">
        <v>27</v>
      </c>
      <c r="D89" t="s">
        <v>25</v>
      </c>
      <c r="E89" t="s">
        <v>57</v>
      </c>
      <c r="F89" t="s">
        <v>31</v>
      </c>
      <c r="G89" t="s">
        <v>51</v>
      </c>
      <c r="H89" t="s">
        <v>1060</v>
      </c>
      <c r="I89">
        <v>48000</v>
      </c>
      <c r="J89">
        <v>12</v>
      </c>
      <c r="K89">
        <v>4</v>
      </c>
      <c r="L89">
        <v>1</v>
      </c>
      <c r="N89">
        <v>85</v>
      </c>
      <c r="O89">
        <v>10</v>
      </c>
      <c r="P89">
        <v>1</v>
      </c>
      <c r="Q89" t="s">
        <v>21</v>
      </c>
      <c r="R89" t="s">
        <v>38</v>
      </c>
      <c r="S89" t="s">
        <v>20</v>
      </c>
      <c r="T89">
        <v>5</v>
      </c>
      <c r="U89">
        <v>20</v>
      </c>
      <c r="V89" t="s">
        <v>39</v>
      </c>
    </row>
    <row r="90" spans="1:22">
      <c r="A90" t="s">
        <v>225</v>
      </c>
      <c r="B90" t="s">
        <v>226</v>
      </c>
      <c r="C90">
        <v>27</v>
      </c>
      <c r="E90" t="s">
        <v>47</v>
      </c>
      <c r="F90" t="s">
        <v>36</v>
      </c>
      <c r="G90" t="s">
        <v>51</v>
      </c>
      <c r="H90" t="s">
        <v>1060</v>
      </c>
      <c r="I90">
        <v>47000</v>
      </c>
      <c r="J90">
        <v>12</v>
      </c>
      <c r="K90">
        <v>3</v>
      </c>
      <c r="L90">
        <v>5</v>
      </c>
      <c r="M90">
        <v>21000</v>
      </c>
      <c r="N90">
        <v>85</v>
      </c>
      <c r="O90">
        <v>5</v>
      </c>
      <c r="P90">
        <v>5</v>
      </c>
      <c r="Q90" t="s">
        <v>21</v>
      </c>
      <c r="R90" t="s">
        <v>38</v>
      </c>
      <c r="S90" t="s">
        <v>20</v>
      </c>
      <c r="T90">
        <v>20</v>
      </c>
      <c r="U90">
        <v>10</v>
      </c>
      <c r="V90" t="s">
        <v>58</v>
      </c>
    </row>
    <row r="91" spans="1:22">
      <c r="A91" t="s">
        <v>227</v>
      </c>
      <c r="B91" t="s">
        <v>228</v>
      </c>
      <c r="C91">
        <v>27</v>
      </c>
      <c r="E91" t="s">
        <v>50</v>
      </c>
      <c r="F91" t="s">
        <v>36</v>
      </c>
      <c r="G91" t="s">
        <v>51</v>
      </c>
      <c r="H91" t="s">
        <v>1060</v>
      </c>
      <c r="I91">
        <v>47500</v>
      </c>
      <c r="J91">
        <v>12</v>
      </c>
      <c r="K91">
        <v>4</v>
      </c>
      <c r="L91">
        <v>5</v>
      </c>
      <c r="M91">
        <v>21000</v>
      </c>
      <c r="N91">
        <v>85</v>
      </c>
      <c r="O91">
        <v>5</v>
      </c>
      <c r="P91">
        <v>5</v>
      </c>
      <c r="R91" t="s">
        <v>38</v>
      </c>
      <c r="S91" t="s">
        <v>20</v>
      </c>
      <c r="T91">
        <v>5</v>
      </c>
      <c r="U91">
        <v>10</v>
      </c>
      <c r="V91" t="s">
        <v>58</v>
      </c>
    </row>
    <row r="92" spans="1:22">
      <c r="A92" t="s">
        <v>229</v>
      </c>
      <c r="B92" t="s">
        <v>230</v>
      </c>
      <c r="C92">
        <v>27</v>
      </c>
      <c r="D92" t="s">
        <v>16</v>
      </c>
      <c r="E92" t="s">
        <v>26</v>
      </c>
      <c r="F92" t="s">
        <v>66</v>
      </c>
      <c r="G92" t="s">
        <v>51</v>
      </c>
      <c r="H92" t="s">
        <v>1060</v>
      </c>
      <c r="I92">
        <v>47000</v>
      </c>
      <c r="J92">
        <v>12</v>
      </c>
      <c r="K92">
        <v>3</v>
      </c>
      <c r="L92">
        <v>3</v>
      </c>
      <c r="N92">
        <v>85</v>
      </c>
      <c r="O92">
        <v>7</v>
      </c>
      <c r="P92">
        <v>1</v>
      </c>
      <c r="Q92" t="s">
        <v>37</v>
      </c>
      <c r="R92" t="s">
        <v>38</v>
      </c>
      <c r="S92" t="s">
        <v>20</v>
      </c>
      <c r="T92">
        <v>20</v>
      </c>
      <c r="V92" t="s">
        <v>22</v>
      </c>
    </row>
    <row r="93" spans="1:22">
      <c r="A93" t="s">
        <v>231</v>
      </c>
      <c r="B93" t="s">
        <v>232</v>
      </c>
      <c r="C93">
        <v>26</v>
      </c>
      <c r="D93" t="s">
        <v>46</v>
      </c>
      <c r="E93" t="s">
        <v>35</v>
      </c>
      <c r="F93" t="s">
        <v>36</v>
      </c>
      <c r="G93" t="s">
        <v>51</v>
      </c>
      <c r="H93" t="s">
        <v>1060</v>
      </c>
      <c r="I93">
        <v>47000</v>
      </c>
      <c r="J93">
        <v>12</v>
      </c>
      <c r="K93">
        <v>3</v>
      </c>
      <c r="L93">
        <v>1</v>
      </c>
      <c r="N93">
        <v>95</v>
      </c>
      <c r="O93">
        <v>7</v>
      </c>
      <c r="P93">
        <v>3</v>
      </c>
      <c r="Q93" t="s">
        <v>21</v>
      </c>
      <c r="R93" t="s">
        <v>38</v>
      </c>
      <c r="S93" t="s">
        <v>20</v>
      </c>
      <c r="T93">
        <v>20</v>
      </c>
      <c r="V93" t="s">
        <v>39</v>
      </c>
    </row>
    <row r="94" spans="1:22">
      <c r="A94" t="s">
        <v>233</v>
      </c>
      <c r="B94" t="s">
        <v>234</v>
      </c>
      <c r="C94">
        <v>25</v>
      </c>
      <c r="D94" t="s">
        <v>16</v>
      </c>
      <c r="E94" t="s">
        <v>61</v>
      </c>
      <c r="F94" t="s">
        <v>66</v>
      </c>
      <c r="G94" t="s">
        <v>51</v>
      </c>
      <c r="H94" t="s">
        <v>1060</v>
      </c>
      <c r="I94">
        <v>48000</v>
      </c>
      <c r="J94">
        <v>12</v>
      </c>
      <c r="K94">
        <v>4</v>
      </c>
      <c r="L94">
        <v>4</v>
      </c>
      <c r="M94">
        <v>10000</v>
      </c>
      <c r="N94">
        <v>85</v>
      </c>
      <c r="O94">
        <v>5</v>
      </c>
      <c r="P94">
        <v>3</v>
      </c>
      <c r="Q94" t="s">
        <v>37</v>
      </c>
      <c r="R94" t="s">
        <v>38</v>
      </c>
      <c r="S94" t="s">
        <v>20</v>
      </c>
      <c r="T94">
        <v>20</v>
      </c>
      <c r="U94">
        <v>30</v>
      </c>
      <c r="V94" t="s">
        <v>58</v>
      </c>
    </row>
    <row r="95" spans="1:22">
      <c r="A95" t="s">
        <v>235</v>
      </c>
      <c r="B95" t="s">
        <v>236</v>
      </c>
      <c r="C95">
        <v>25</v>
      </c>
      <c r="E95" t="s">
        <v>64</v>
      </c>
      <c r="F95" t="s">
        <v>42</v>
      </c>
      <c r="G95" t="s">
        <v>51</v>
      </c>
      <c r="H95" t="s">
        <v>1060</v>
      </c>
      <c r="I95">
        <v>48000</v>
      </c>
      <c r="J95">
        <v>12</v>
      </c>
      <c r="K95">
        <v>4</v>
      </c>
      <c r="L95">
        <v>4</v>
      </c>
      <c r="M95">
        <v>15000</v>
      </c>
      <c r="N95">
        <v>80</v>
      </c>
      <c r="O95">
        <v>7</v>
      </c>
      <c r="P95">
        <v>1</v>
      </c>
      <c r="Q95" t="s">
        <v>37</v>
      </c>
      <c r="R95" t="s">
        <v>38</v>
      </c>
      <c r="S95" t="s">
        <v>20</v>
      </c>
      <c r="T95">
        <v>5</v>
      </c>
      <c r="U95">
        <v>30</v>
      </c>
      <c r="V95" t="s">
        <v>22</v>
      </c>
    </row>
    <row r="96" spans="1:22">
      <c r="A96" t="s">
        <v>237</v>
      </c>
      <c r="B96" t="s">
        <v>238</v>
      </c>
      <c r="C96">
        <v>25</v>
      </c>
      <c r="F96" t="s">
        <v>42</v>
      </c>
      <c r="G96" t="s">
        <v>51</v>
      </c>
      <c r="H96" t="s">
        <v>1060</v>
      </c>
      <c r="I96">
        <v>44000</v>
      </c>
      <c r="J96">
        <v>12</v>
      </c>
      <c r="K96">
        <v>3</v>
      </c>
      <c r="L96">
        <v>5</v>
      </c>
      <c r="M96">
        <v>21000</v>
      </c>
      <c r="N96">
        <v>95</v>
      </c>
      <c r="O96">
        <v>5</v>
      </c>
      <c r="P96">
        <v>2</v>
      </c>
      <c r="Q96" t="s">
        <v>21</v>
      </c>
      <c r="R96" t="s">
        <v>19</v>
      </c>
      <c r="S96" t="s">
        <v>20</v>
      </c>
      <c r="T96">
        <v>5</v>
      </c>
      <c r="V96" t="s">
        <v>58</v>
      </c>
    </row>
    <row r="97" spans="1:22">
      <c r="A97" t="s">
        <v>239</v>
      </c>
      <c r="B97" t="s">
        <v>240</v>
      </c>
      <c r="C97">
        <v>26</v>
      </c>
      <c r="E97" t="s">
        <v>50</v>
      </c>
      <c r="F97" t="s">
        <v>27</v>
      </c>
      <c r="G97" t="s">
        <v>51</v>
      </c>
      <c r="H97" t="s">
        <v>1060</v>
      </c>
      <c r="I97">
        <v>33000</v>
      </c>
      <c r="J97">
        <v>12</v>
      </c>
      <c r="K97">
        <v>2</v>
      </c>
      <c r="L97">
        <v>4</v>
      </c>
      <c r="M97">
        <v>15000</v>
      </c>
      <c r="N97">
        <v>80</v>
      </c>
      <c r="O97">
        <v>5</v>
      </c>
      <c r="P97">
        <v>1</v>
      </c>
      <c r="Q97" t="s">
        <v>37</v>
      </c>
      <c r="R97" t="s">
        <v>38</v>
      </c>
      <c r="S97" t="s">
        <v>20</v>
      </c>
      <c r="V97" t="s">
        <v>58</v>
      </c>
    </row>
    <row r="98" spans="1:22">
      <c r="A98" t="s">
        <v>241</v>
      </c>
      <c r="B98" t="s">
        <v>242</v>
      </c>
      <c r="C98">
        <v>27</v>
      </c>
      <c r="E98" t="s">
        <v>26</v>
      </c>
      <c r="F98" t="s">
        <v>18</v>
      </c>
      <c r="G98" t="s">
        <v>51</v>
      </c>
      <c r="H98" t="s">
        <v>1059</v>
      </c>
      <c r="I98">
        <v>48000</v>
      </c>
      <c r="J98">
        <v>12</v>
      </c>
      <c r="K98">
        <v>4</v>
      </c>
      <c r="L98">
        <v>5</v>
      </c>
      <c r="M98">
        <v>21000</v>
      </c>
      <c r="N98">
        <v>95</v>
      </c>
      <c r="O98">
        <v>10</v>
      </c>
      <c r="P98">
        <v>1</v>
      </c>
      <c r="Q98" t="s">
        <v>37</v>
      </c>
      <c r="R98" t="s">
        <v>28</v>
      </c>
      <c r="S98" t="s">
        <v>20</v>
      </c>
      <c r="T98">
        <v>10</v>
      </c>
      <c r="U98">
        <v>30</v>
      </c>
      <c r="V98" t="s">
        <v>58</v>
      </c>
    </row>
    <row r="99" spans="1:22">
      <c r="A99" t="s">
        <v>243</v>
      </c>
      <c r="B99" t="s">
        <v>244</v>
      </c>
      <c r="C99">
        <v>26</v>
      </c>
      <c r="D99" t="s">
        <v>16</v>
      </c>
      <c r="E99" t="s">
        <v>73</v>
      </c>
      <c r="F99" t="s">
        <v>18</v>
      </c>
      <c r="G99" t="s">
        <v>51</v>
      </c>
      <c r="H99" t="s">
        <v>1060</v>
      </c>
      <c r="I99">
        <v>37000</v>
      </c>
      <c r="J99">
        <v>12</v>
      </c>
      <c r="K99">
        <v>2</v>
      </c>
      <c r="L99">
        <v>2</v>
      </c>
      <c r="N99">
        <v>80</v>
      </c>
      <c r="O99">
        <v>5</v>
      </c>
      <c r="P99">
        <v>1</v>
      </c>
      <c r="Q99" t="s">
        <v>21</v>
      </c>
      <c r="R99" t="s">
        <v>38</v>
      </c>
      <c r="S99" t="s">
        <v>20</v>
      </c>
      <c r="T99">
        <v>5</v>
      </c>
      <c r="U99">
        <v>10</v>
      </c>
      <c r="V99" t="s">
        <v>39</v>
      </c>
    </row>
    <row r="100" spans="1:22">
      <c r="A100" t="s">
        <v>245</v>
      </c>
      <c r="B100" t="s">
        <v>246</v>
      </c>
      <c r="C100">
        <v>27</v>
      </c>
      <c r="E100" t="s">
        <v>17</v>
      </c>
      <c r="F100" t="s">
        <v>42</v>
      </c>
      <c r="G100" t="s">
        <v>51</v>
      </c>
      <c r="H100" t="s">
        <v>1060</v>
      </c>
      <c r="I100">
        <v>37000</v>
      </c>
      <c r="J100">
        <v>12</v>
      </c>
      <c r="K100">
        <v>2</v>
      </c>
      <c r="L100">
        <v>1</v>
      </c>
      <c r="N100">
        <v>90</v>
      </c>
      <c r="O100">
        <v>15</v>
      </c>
      <c r="P100">
        <v>5</v>
      </c>
      <c r="Q100" t="s">
        <v>37</v>
      </c>
      <c r="R100" t="s">
        <v>38</v>
      </c>
      <c r="S100" t="s">
        <v>20</v>
      </c>
      <c r="T100">
        <v>5</v>
      </c>
      <c r="U100">
        <v>20</v>
      </c>
      <c r="V100" t="s">
        <v>39</v>
      </c>
    </row>
    <row r="101" spans="1:22">
      <c r="A101" t="s">
        <v>247</v>
      </c>
      <c r="B101" t="s">
        <v>248</v>
      </c>
      <c r="C101">
        <v>25</v>
      </c>
      <c r="D101" t="s">
        <v>46</v>
      </c>
      <c r="E101" t="s">
        <v>26</v>
      </c>
      <c r="F101" t="s">
        <v>31</v>
      </c>
      <c r="G101" t="s">
        <v>51</v>
      </c>
      <c r="H101" t="s">
        <v>1060</v>
      </c>
      <c r="I101">
        <v>37000</v>
      </c>
      <c r="J101">
        <v>12</v>
      </c>
      <c r="K101">
        <v>2</v>
      </c>
      <c r="L101">
        <v>2</v>
      </c>
      <c r="N101">
        <v>85</v>
      </c>
      <c r="O101">
        <v>15</v>
      </c>
      <c r="P101">
        <v>3</v>
      </c>
      <c r="R101" t="s">
        <v>38</v>
      </c>
      <c r="S101" t="s">
        <v>20</v>
      </c>
      <c r="U101">
        <v>30</v>
      </c>
      <c r="V101" t="s">
        <v>39</v>
      </c>
    </row>
    <row r="102" spans="1:22">
      <c r="A102" t="s">
        <v>249</v>
      </c>
      <c r="B102" t="s">
        <v>250</v>
      </c>
      <c r="C102">
        <v>26</v>
      </c>
      <c r="E102" t="s">
        <v>26</v>
      </c>
      <c r="F102" t="s">
        <v>36</v>
      </c>
      <c r="G102" t="s">
        <v>51</v>
      </c>
      <c r="H102" t="s">
        <v>1060</v>
      </c>
      <c r="I102">
        <v>47000</v>
      </c>
      <c r="J102">
        <v>12</v>
      </c>
      <c r="K102">
        <v>3</v>
      </c>
      <c r="L102">
        <v>2</v>
      </c>
      <c r="N102">
        <v>95</v>
      </c>
      <c r="O102">
        <v>10</v>
      </c>
      <c r="P102">
        <v>3</v>
      </c>
      <c r="R102" t="s">
        <v>38</v>
      </c>
      <c r="S102" t="s">
        <v>20</v>
      </c>
      <c r="T102">
        <v>20</v>
      </c>
      <c r="U102">
        <v>10</v>
      </c>
      <c r="V102" t="s">
        <v>39</v>
      </c>
    </row>
    <row r="103" spans="1:22">
      <c r="A103" t="s">
        <v>251</v>
      </c>
      <c r="B103" t="s">
        <v>252</v>
      </c>
      <c r="C103">
        <v>26</v>
      </c>
      <c r="D103" t="s">
        <v>46</v>
      </c>
      <c r="F103" t="s">
        <v>31</v>
      </c>
      <c r="G103" t="s">
        <v>51</v>
      </c>
      <c r="H103" t="s">
        <v>1060</v>
      </c>
      <c r="I103">
        <v>35000</v>
      </c>
      <c r="J103">
        <v>12</v>
      </c>
      <c r="K103">
        <v>2</v>
      </c>
      <c r="L103">
        <v>4</v>
      </c>
      <c r="M103">
        <v>5000</v>
      </c>
      <c r="N103">
        <v>80</v>
      </c>
      <c r="O103">
        <v>7</v>
      </c>
      <c r="P103">
        <v>5</v>
      </c>
      <c r="Q103" t="s">
        <v>21</v>
      </c>
      <c r="R103" t="s">
        <v>19</v>
      </c>
      <c r="S103" t="s">
        <v>20</v>
      </c>
      <c r="T103">
        <v>10</v>
      </c>
      <c r="U103">
        <v>20</v>
      </c>
      <c r="V103" t="s">
        <v>22</v>
      </c>
    </row>
    <row r="104" spans="1:22">
      <c r="A104" t="s">
        <v>253</v>
      </c>
      <c r="B104" t="s">
        <v>254</v>
      </c>
      <c r="C104">
        <v>27</v>
      </c>
      <c r="D104" t="s">
        <v>46</v>
      </c>
      <c r="E104" t="s">
        <v>73</v>
      </c>
      <c r="F104" t="s">
        <v>42</v>
      </c>
      <c r="G104" t="s">
        <v>51</v>
      </c>
      <c r="H104" t="s">
        <v>1060</v>
      </c>
      <c r="J104">
        <v>12</v>
      </c>
      <c r="K104">
        <v>4</v>
      </c>
      <c r="L104">
        <v>2</v>
      </c>
      <c r="N104">
        <v>85</v>
      </c>
      <c r="O104">
        <v>10</v>
      </c>
      <c r="P104">
        <v>1</v>
      </c>
      <c r="Q104" t="s">
        <v>37</v>
      </c>
      <c r="R104" t="s">
        <v>19</v>
      </c>
      <c r="S104" t="s">
        <v>20</v>
      </c>
      <c r="T104">
        <v>20</v>
      </c>
      <c r="U104">
        <v>20</v>
      </c>
      <c r="V104" t="s">
        <v>39</v>
      </c>
    </row>
    <row r="105" spans="1:22">
      <c r="A105" t="s">
        <v>255</v>
      </c>
      <c r="B105" t="s">
        <v>256</v>
      </c>
      <c r="C105">
        <v>27</v>
      </c>
      <c r="E105" t="s">
        <v>26</v>
      </c>
      <c r="F105" t="s">
        <v>31</v>
      </c>
      <c r="G105" t="s">
        <v>1045</v>
      </c>
      <c r="H105" t="s">
        <v>1059</v>
      </c>
      <c r="I105">
        <v>81000</v>
      </c>
      <c r="J105">
        <v>12</v>
      </c>
      <c r="K105">
        <v>6</v>
      </c>
      <c r="L105">
        <v>1</v>
      </c>
      <c r="N105">
        <v>80</v>
      </c>
      <c r="O105">
        <v>15</v>
      </c>
      <c r="P105">
        <v>11</v>
      </c>
      <c r="Q105" t="s">
        <v>37</v>
      </c>
      <c r="R105" t="s">
        <v>28</v>
      </c>
      <c r="S105" t="s">
        <v>20</v>
      </c>
      <c r="T105">
        <v>10</v>
      </c>
      <c r="U105">
        <v>10</v>
      </c>
      <c r="V105" t="s">
        <v>39</v>
      </c>
    </row>
    <row r="106" spans="1:22">
      <c r="A106" t="s">
        <v>257</v>
      </c>
      <c r="B106" t="s">
        <v>258</v>
      </c>
      <c r="C106">
        <v>29</v>
      </c>
      <c r="E106" t="s">
        <v>50</v>
      </c>
      <c r="F106" t="s">
        <v>42</v>
      </c>
      <c r="G106" t="s">
        <v>1045</v>
      </c>
      <c r="H106" t="s">
        <v>1060</v>
      </c>
      <c r="I106">
        <v>78000</v>
      </c>
      <c r="J106">
        <v>12</v>
      </c>
      <c r="K106">
        <v>5</v>
      </c>
      <c r="L106">
        <v>5</v>
      </c>
      <c r="M106">
        <v>10005</v>
      </c>
      <c r="N106">
        <v>85</v>
      </c>
      <c r="O106">
        <v>10</v>
      </c>
      <c r="P106">
        <v>1</v>
      </c>
      <c r="R106" t="s">
        <v>19</v>
      </c>
      <c r="S106" t="s">
        <v>20</v>
      </c>
      <c r="T106">
        <v>20</v>
      </c>
      <c r="U106">
        <v>20</v>
      </c>
      <c r="V106" t="s">
        <v>58</v>
      </c>
    </row>
    <row r="107" spans="1:22">
      <c r="A107" t="s">
        <v>259</v>
      </c>
      <c r="B107" t="s">
        <v>260</v>
      </c>
      <c r="C107">
        <v>34</v>
      </c>
      <c r="D107" t="s">
        <v>25</v>
      </c>
      <c r="E107" t="s">
        <v>17</v>
      </c>
      <c r="F107" t="s">
        <v>27</v>
      </c>
      <c r="G107" t="s">
        <v>32</v>
      </c>
      <c r="H107" t="s">
        <v>1060</v>
      </c>
      <c r="I107">
        <v>90000</v>
      </c>
      <c r="J107">
        <v>12</v>
      </c>
      <c r="K107">
        <v>9</v>
      </c>
      <c r="L107">
        <v>1</v>
      </c>
      <c r="N107">
        <v>85</v>
      </c>
      <c r="O107">
        <v>10</v>
      </c>
      <c r="P107">
        <v>3</v>
      </c>
      <c r="R107" t="s">
        <v>38</v>
      </c>
      <c r="S107" t="s">
        <v>20</v>
      </c>
      <c r="U107">
        <v>30</v>
      </c>
      <c r="V107" t="s">
        <v>39</v>
      </c>
    </row>
    <row r="108" spans="1:22">
      <c r="A108" t="s">
        <v>261</v>
      </c>
      <c r="B108" t="s">
        <v>262</v>
      </c>
      <c r="C108">
        <v>43</v>
      </c>
      <c r="E108" t="s">
        <v>65</v>
      </c>
      <c r="F108" t="s">
        <v>66</v>
      </c>
      <c r="G108" t="s">
        <v>1049</v>
      </c>
      <c r="H108" t="s">
        <v>1060</v>
      </c>
      <c r="I108">
        <v>120000</v>
      </c>
      <c r="J108">
        <v>12</v>
      </c>
      <c r="K108">
        <v>13</v>
      </c>
      <c r="L108">
        <v>3</v>
      </c>
      <c r="M108">
        <v>51000</v>
      </c>
      <c r="N108">
        <v>95</v>
      </c>
      <c r="O108">
        <v>5</v>
      </c>
      <c r="P108">
        <v>1</v>
      </c>
      <c r="R108" t="s">
        <v>38</v>
      </c>
      <c r="S108" t="s">
        <v>20</v>
      </c>
      <c r="V108" t="s">
        <v>22</v>
      </c>
    </row>
    <row r="109" spans="1:22">
      <c r="A109" t="s">
        <v>263</v>
      </c>
      <c r="B109" t="s">
        <v>264</v>
      </c>
      <c r="C109">
        <v>38</v>
      </c>
      <c r="D109" t="s">
        <v>16</v>
      </c>
      <c r="E109" t="s">
        <v>47</v>
      </c>
      <c r="F109" t="s">
        <v>27</v>
      </c>
      <c r="G109" t="s">
        <v>32</v>
      </c>
      <c r="H109" t="s">
        <v>1060</v>
      </c>
      <c r="I109">
        <v>93500</v>
      </c>
      <c r="J109">
        <v>12</v>
      </c>
      <c r="K109">
        <v>12</v>
      </c>
      <c r="L109">
        <v>2</v>
      </c>
      <c r="N109">
        <v>90</v>
      </c>
      <c r="O109">
        <v>10</v>
      </c>
      <c r="P109">
        <v>5</v>
      </c>
      <c r="Q109" t="s">
        <v>37</v>
      </c>
      <c r="R109" t="s">
        <v>19</v>
      </c>
      <c r="S109" t="s">
        <v>20</v>
      </c>
      <c r="T109">
        <v>5</v>
      </c>
      <c r="V109" t="s">
        <v>39</v>
      </c>
    </row>
    <row r="110" spans="1:22">
      <c r="A110" t="s">
        <v>265</v>
      </c>
      <c r="B110" t="s">
        <v>266</v>
      </c>
      <c r="C110">
        <v>24</v>
      </c>
      <c r="D110" t="s">
        <v>46</v>
      </c>
      <c r="E110" t="s">
        <v>17</v>
      </c>
      <c r="F110" t="s">
        <v>42</v>
      </c>
      <c r="G110" t="s">
        <v>1045</v>
      </c>
      <c r="H110" t="s">
        <v>1059</v>
      </c>
      <c r="I110">
        <v>78000</v>
      </c>
      <c r="J110">
        <v>12</v>
      </c>
      <c r="K110">
        <v>5</v>
      </c>
      <c r="L110">
        <v>4</v>
      </c>
      <c r="M110">
        <v>13000</v>
      </c>
      <c r="N110">
        <v>85</v>
      </c>
      <c r="O110">
        <v>7</v>
      </c>
      <c r="P110">
        <v>4</v>
      </c>
      <c r="Q110" t="s">
        <v>21</v>
      </c>
      <c r="R110" t="s">
        <v>28</v>
      </c>
      <c r="S110" t="s">
        <v>20</v>
      </c>
      <c r="T110">
        <v>5</v>
      </c>
      <c r="U110">
        <v>30</v>
      </c>
      <c r="V110" t="s">
        <v>22</v>
      </c>
    </row>
    <row r="111" spans="1:22">
      <c r="A111" t="s">
        <v>267</v>
      </c>
      <c r="B111" t="s">
        <v>268</v>
      </c>
      <c r="C111">
        <v>26</v>
      </c>
      <c r="E111" t="s">
        <v>26</v>
      </c>
      <c r="F111" t="s">
        <v>27</v>
      </c>
      <c r="G111" t="s">
        <v>51</v>
      </c>
      <c r="H111" t="s">
        <v>1060</v>
      </c>
      <c r="I111">
        <v>48000</v>
      </c>
      <c r="J111">
        <v>12</v>
      </c>
      <c r="K111">
        <v>4</v>
      </c>
      <c r="L111">
        <v>2</v>
      </c>
      <c r="N111">
        <v>95</v>
      </c>
      <c r="O111">
        <v>7</v>
      </c>
      <c r="P111">
        <v>3</v>
      </c>
      <c r="R111" t="s">
        <v>19</v>
      </c>
      <c r="S111" t="s">
        <v>20</v>
      </c>
      <c r="T111">
        <v>5</v>
      </c>
      <c r="U111">
        <v>20</v>
      </c>
      <c r="V111" t="s">
        <v>39</v>
      </c>
    </row>
    <row r="112" spans="1:22">
      <c r="A112" t="s">
        <v>269</v>
      </c>
      <c r="B112" t="s">
        <v>270</v>
      </c>
      <c r="C112">
        <v>27</v>
      </c>
      <c r="D112" t="s">
        <v>16</v>
      </c>
      <c r="E112" t="s">
        <v>50</v>
      </c>
      <c r="F112" t="s">
        <v>42</v>
      </c>
      <c r="G112" t="s">
        <v>1045</v>
      </c>
      <c r="H112" t="s">
        <v>1060</v>
      </c>
      <c r="I112">
        <v>78000</v>
      </c>
      <c r="J112">
        <v>12</v>
      </c>
      <c r="K112">
        <v>7</v>
      </c>
      <c r="L112">
        <v>4</v>
      </c>
      <c r="M112">
        <v>13000</v>
      </c>
      <c r="N112">
        <v>90</v>
      </c>
      <c r="O112">
        <v>5</v>
      </c>
      <c r="P112">
        <v>1</v>
      </c>
      <c r="Q112" t="s">
        <v>37</v>
      </c>
      <c r="R112" t="s">
        <v>19</v>
      </c>
      <c r="S112" t="s">
        <v>20</v>
      </c>
      <c r="T112">
        <v>20</v>
      </c>
      <c r="V112" t="s">
        <v>58</v>
      </c>
    </row>
    <row r="113" spans="1:22">
      <c r="A113" t="s">
        <v>271</v>
      </c>
      <c r="B113" t="s">
        <v>272</v>
      </c>
      <c r="C113">
        <v>25</v>
      </c>
      <c r="D113" t="s">
        <v>16</v>
      </c>
      <c r="E113" t="s">
        <v>61</v>
      </c>
      <c r="F113" t="s">
        <v>31</v>
      </c>
      <c r="G113" t="s">
        <v>51</v>
      </c>
      <c r="H113" t="s">
        <v>1060</v>
      </c>
      <c r="I113">
        <v>37000</v>
      </c>
      <c r="J113">
        <v>12</v>
      </c>
      <c r="K113">
        <v>2</v>
      </c>
      <c r="L113">
        <v>2</v>
      </c>
      <c r="N113">
        <v>80</v>
      </c>
      <c r="O113">
        <v>15</v>
      </c>
      <c r="P113">
        <v>5</v>
      </c>
      <c r="R113" t="s">
        <v>19</v>
      </c>
      <c r="S113" t="s">
        <v>20</v>
      </c>
      <c r="U113">
        <v>20</v>
      </c>
      <c r="V113" t="s">
        <v>39</v>
      </c>
    </row>
    <row r="114" spans="1:22">
      <c r="A114" t="s">
        <v>273</v>
      </c>
      <c r="B114" t="s">
        <v>274</v>
      </c>
      <c r="C114">
        <v>27</v>
      </c>
      <c r="D114" t="s">
        <v>16</v>
      </c>
      <c r="E114" t="s">
        <v>47</v>
      </c>
      <c r="F114" t="s">
        <v>18</v>
      </c>
      <c r="G114" t="s">
        <v>51</v>
      </c>
      <c r="H114" t="s">
        <v>1060</v>
      </c>
      <c r="I114">
        <v>47000</v>
      </c>
      <c r="J114">
        <v>12</v>
      </c>
      <c r="K114">
        <v>3</v>
      </c>
      <c r="L114">
        <v>5</v>
      </c>
      <c r="M114">
        <v>21000</v>
      </c>
      <c r="N114">
        <v>85</v>
      </c>
      <c r="O114">
        <v>5</v>
      </c>
      <c r="P114">
        <v>10</v>
      </c>
      <c r="Q114" t="s">
        <v>37</v>
      </c>
      <c r="R114" t="s">
        <v>38</v>
      </c>
      <c r="S114" t="s">
        <v>20</v>
      </c>
      <c r="U114">
        <v>10</v>
      </c>
      <c r="V114" t="s">
        <v>58</v>
      </c>
    </row>
    <row r="115" spans="1:22">
      <c r="A115" t="s">
        <v>275</v>
      </c>
      <c r="B115" t="s">
        <v>276</v>
      </c>
      <c r="C115">
        <v>27</v>
      </c>
      <c r="D115" t="s">
        <v>25</v>
      </c>
      <c r="E115" t="s">
        <v>57</v>
      </c>
      <c r="F115" t="s">
        <v>42</v>
      </c>
      <c r="G115" t="s">
        <v>51</v>
      </c>
      <c r="H115" t="s">
        <v>1060</v>
      </c>
      <c r="I115">
        <v>47000</v>
      </c>
      <c r="J115">
        <v>12</v>
      </c>
      <c r="K115">
        <v>3</v>
      </c>
      <c r="L115">
        <v>2</v>
      </c>
      <c r="N115">
        <v>80</v>
      </c>
      <c r="O115">
        <v>5</v>
      </c>
      <c r="P115">
        <v>3</v>
      </c>
      <c r="Q115" t="s">
        <v>37</v>
      </c>
      <c r="R115" t="s">
        <v>38</v>
      </c>
      <c r="S115" t="s">
        <v>20</v>
      </c>
      <c r="T115">
        <v>10</v>
      </c>
      <c r="U115">
        <v>30</v>
      </c>
      <c r="V115" t="s">
        <v>39</v>
      </c>
    </row>
    <row r="116" spans="1:22">
      <c r="A116" t="s">
        <v>277</v>
      </c>
      <c r="B116" t="s">
        <v>278</v>
      </c>
      <c r="C116">
        <v>25</v>
      </c>
      <c r="D116" t="s">
        <v>34</v>
      </c>
      <c r="E116" t="s">
        <v>50</v>
      </c>
      <c r="F116" t="s">
        <v>42</v>
      </c>
      <c r="G116" t="s">
        <v>51</v>
      </c>
      <c r="H116" t="s">
        <v>1060</v>
      </c>
      <c r="I116">
        <v>35500</v>
      </c>
      <c r="J116">
        <v>12</v>
      </c>
      <c r="K116">
        <v>2</v>
      </c>
      <c r="L116">
        <v>1</v>
      </c>
      <c r="N116">
        <v>90</v>
      </c>
      <c r="O116">
        <v>5</v>
      </c>
      <c r="P116">
        <v>5</v>
      </c>
      <c r="Q116" t="s">
        <v>37</v>
      </c>
      <c r="R116" t="s">
        <v>38</v>
      </c>
      <c r="S116" t="s">
        <v>20</v>
      </c>
      <c r="U116">
        <v>30</v>
      </c>
      <c r="V116" t="s">
        <v>39</v>
      </c>
    </row>
    <row r="117" spans="1:22">
      <c r="A117" t="s">
        <v>279</v>
      </c>
      <c r="B117" t="s">
        <v>280</v>
      </c>
      <c r="C117">
        <v>26</v>
      </c>
      <c r="F117" t="s">
        <v>36</v>
      </c>
      <c r="G117" t="s">
        <v>51</v>
      </c>
      <c r="H117" t="s">
        <v>1060</v>
      </c>
      <c r="I117">
        <v>48000</v>
      </c>
      <c r="J117">
        <v>12</v>
      </c>
      <c r="K117">
        <v>4</v>
      </c>
      <c r="L117">
        <v>1</v>
      </c>
      <c r="N117">
        <v>85</v>
      </c>
      <c r="O117">
        <v>5</v>
      </c>
      <c r="P117">
        <v>5</v>
      </c>
      <c r="Q117" t="s">
        <v>37</v>
      </c>
      <c r="R117" t="s">
        <v>38</v>
      </c>
      <c r="S117" t="s">
        <v>20</v>
      </c>
      <c r="T117">
        <v>20</v>
      </c>
      <c r="U117">
        <v>20</v>
      </c>
      <c r="V117" t="s">
        <v>39</v>
      </c>
    </row>
    <row r="118" spans="1:22">
      <c r="A118" t="s">
        <v>281</v>
      </c>
      <c r="B118" t="s">
        <v>282</v>
      </c>
      <c r="C118">
        <v>25</v>
      </c>
      <c r="D118" t="s">
        <v>16</v>
      </c>
      <c r="E118" t="s">
        <v>35</v>
      </c>
      <c r="F118" t="s">
        <v>66</v>
      </c>
      <c r="G118" t="s">
        <v>51</v>
      </c>
      <c r="H118" t="s">
        <v>1060</v>
      </c>
      <c r="I118">
        <v>43000</v>
      </c>
      <c r="J118">
        <v>12</v>
      </c>
      <c r="K118">
        <v>3</v>
      </c>
      <c r="L118">
        <v>2</v>
      </c>
      <c r="N118">
        <v>80</v>
      </c>
      <c r="O118">
        <v>23</v>
      </c>
      <c r="P118">
        <v>9</v>
      </c>
      <c r="R118" t="s">
        <v>38</v>
      </c>
      <c r="S118" t="s">
        <v>20</v>
      </c>
      <c r="U118">
        <v>10</v>
      </c>
      <c r="V118" t="s">
        <v>39</v>
      </c>
    </row>
    <row r="119" spans="1:22">
      <c r="A119" t="s">
        <v>283</v>
      </c>
      <c r="B119" t="s">
        <v>284</v>
      </c>
      <c r="C119">
        <v>26</v>
      </c>
      <c r="D119" t="s">
        <v>25</v>
      </c>
      <c r="E119" t="s">
        <v>26</v>
      </c>
      <c r="F119" t="s">
        <v>66</v>
      </c>
      <c r="G119" t="s">
        <v>51</v>
      </c>
      <c r="H119" t="s">
        <v>1060</v>
      </c>
      <c r="I119">
        <v>48000</v>
      </c>
      <c r="J119">
        <v>12</v>
      </c>
      <c r="K119">
        <v>4</v>
      </c>
      <c r="L119">
        <v>2</v>
      </c>
      <c r="N119">
        <v>80</v>
      </c>
      <c r="O119">
        <v>10</v>
      </c>
      <c r="P119">
        <v>3</v>
      </c>
      <c r="Q119" t="s">
        <v>21</v>
      </c>
      <c r="R119" t="s">
        <v>19</v>
      </c>
      <c r="S119" t="s">
        <v>20</v>
      </c>
      <c r="T119">
        <v>20</v>
      </c>
      <c r="U119">
        <v>10</v>
      </c>
      <c r="V119" t="s">
        <v>39</v>
      </c>
    </row>
    <row r="120" spans="1:22">
      <c r="A120" t="s">
        <v>285</v>
      </c>
      <c r="B120" t="s">
        <v>286</v>
      </c>
      <c r="C120">
        <v>27</v>
      </c>
      <c r="D120" t="s">
        <v>25</v>
      </c>
      <c r="E120" t="s">
        <v>73</v>
      </c>
      <c r="F120" t="s">
        <v>31</v>
      </c>
      <c r="G120" t="s">
        <v>51</v>
      </c>
      <c r="H120" t="s">
        <v>1060</v>
      </c>
      <c r="I120">
        <v>43000</v>
      </c>
      <c r="J120">
        <v>12</v>
      </c>
      <c r="K120">
        <v>3</v>
      </c>
      <c r="L120">
        <v>5</v>
      </c>
      <c r="M120">
        <v>21000</v>
      </c>
      <c r="N120">
        <v>90</v>
      </c>
      <c r="O120">
        <v>15</v>
      </c>
      <c r="P120">
        <v>3</v>
      </c>
      <c r="Q120" t="s">
        <v>37</v>
      </c>
      <c r="R120" t="s">
        <v>19</v>
      </c>
      <c r="S120" t="s">
        <v>20</v>
      </c>
      <c r="T120">
        <v>10</v>
      </c>
      <c r="U120">
        <v>30</v>
      </c>
      <c r="V120" t="s">
        <v>58</v>
      </c>
    </row>
    <row r="121" spans="1:22">
      <c r="A121" t="s">
        <v>287</v>
      </c>
      <c r="B121" t="s">
        <v>288</v>
      </c>
      <c r="C121">
        <v>26</v>
      </c>
      <c r="D121" t="s">
        <v>34</v>
      </c>
      <c r="E121" t="s">
        <v>26</v>
      </c>
      <c r="F121" t="s">
        <v>31</v>
      </c>
      <c r="G121" t="s">
        <v>51</v>
      </c>
      <c r="H121" t="s">
        <v>1060</v>
      </c>
      <c r="I121">
        <v>37000</v>
      </c>
      <c r="J121">
        <v>12</v>
      </c>
      <c r="K121">
        <v>2</v>
      </c>
      <c r="L121">
        <v>2</v>
      </c>
      <c r="N121">
        <v>85</v>
      </c>
      <c r="O121">
        <v>5</v>
      </c>
      <c r="P121">
        <v>1</v>
      </c>
      <c r="Q121" t="s">
        <v>37</v>
      </c>
      <c r="R121" t="s">
        <v>38</v>
      </c>
      <c r="S121" t="s">
        <v>20</v>
      </c>
      <c r="T121">
        <v>20</v>
      </c>
      <c r="U121">
        <v>30</v>
      </c>
      <c r="V121" t="s">
        <v>39</v>
      </c>
    </row>
    <row r="122" spans="1:22">
      <c r="A122" t="s">
        <v>289</v>
      </c>
      <c r="B122" t="s">
        <v>290</v>
      </c>
      <c r="C122">
        <v>26</v>
      </c>
      <c r="D122" t="s">
        <v>46</v>
      </c>
      <c r="E122" t="s">
        <v>73</v>
      </c>
      <c r="F122" t="s">
        <v>27</v>
      </c>
      <c r="G122" t="s">
        <v>51</v>
      </c>
      <c r="H122" t="s">
        <v>1060</v>
      </c>
      <c r="I122">
        <v>43000</v>
      </c>
      <c r="J122">
        <v>12</v>
      </c>
      <c r="K122">
        <v>3</v>
      </c>
      <c r="L122">
        <v>4</v>
      </c>
      <c r="M122">
        <v>10000</v>
      </c>
      <c r="N122">
        <v>85</v>
      </c>
      <c r="O122">
        <v>15</v>
      </c>
      <c r="P122">
        <v>2</v>
      </c>
      <c r="R122" t="s">
        <v>38</v>
      </c>
      <c r="S122" t="s">
        <v>20</v>
      </c>
      <c r="T122">
        <v>10</v>
      </c>
      <c r="U122">
        <v>10</v>
      </c>
      <c r="V122" t="s">
        <v>22</v>
      </c>
    </row>
    <row r="123" spans="1:22">
      <c r="A123" t="s">
        <v>291</v>
      </c>
      <c r="B123" t="s">
        <v>292</v>
      </c>
      <c r="C123">
        <v>25</v>
      </c>
      <c r="D123" t="s">
        <v>46</v>
      </c>
      <c r="E123" t="s">
        <v>35</v>
      </c>
      <c r="F123" t="s">
        <v>42</v>
      </c>
      <c r="G123" t="s">
        <v>51</v>
      </c>
      <c r="H123" t="s">
        <v>1060</v>
      </c>
      <c r="I123">
        <v>43000</v>
      </c>
      <c r="J123">
        <v>12</v>
      </c>
      <c r="K123">
        <v>3</v>
      </c>
      <c r="L123">
        <v>1</v>
      </c>
      <c r="N123">
        <v>85</v>
      </c>
      <c r="O123">
        <v>15</v>
      </c>
      <c r="P123">
        <v>5</v>
      </c>
      <c r="Q123" t="s">
        <v>21</v>
      </c>
      <c r="R123" t="s">
        <v>38</v>
      </c>
      <c r="S123" t="s">
        <v>20</v>
      </c>
      <c r="T123">
        <v>20</v>
      </c>
      <c r="U123">
        <v>10</v>
      </c>
      <c r="V123" t="s">
        <v>39</v>
      </c>
    </row>
    <row r="124" spans="1:22">
      <c r="A124" t="s">
        <v>293</v>
      </c>
      <c r="B124" t="s">
        <v>294</v>
      </c>
      <c r="C124">
        <v>25</v>
      </c>
      <c r="D124" t="s">
        <v>16</v>
      </c>
      <c r="E124" t="s">
        <v>17</v>
      </c>
      <c r="F124" t="s">
        <v>31</v>
      </c>
      <c r="G124" t="s">
        <v>51</v>
      </c>
      <c r="H124" t="s">
        <v>1060</v>
      </c>
      <c r="I124">
        <v>48000</v>
      </c>
      <c r="J124">
        <v>12</v>
      </c>
      <c r="K124">
        <v>4</v>
      </c>
      <c r="L124">
        <v>4</v>
      </c>
      <c r="M124">
        <v>5000</v>
      </c>
      <c r="N124">
        <v>85</v>
      </c>
      <c r="O124">
        <v>15</v>
      </c>
      <c r="P124">
        <v>3</v>
      </c>
      <c r="R124" t="s">
        <v>38</v>
      </c>
      <c r="S124" t="s">
        <v>20</v>
      </c>
      <c r="T124">
        <v>20</v>
      </c>
      <c r="V124" t="s">
        <v>58</v>
      </c>
    </row>
    <row r="125" spans="1:22">
      <c r="A125" t="s">
        <v>295</v>
      </c>
      <c r="B125" t="s">
        <v>296</v>
      </c>
      <c r="C125">
        <v>25</v>
      </c>
      <c r="E125" t="s">
        <v>26</v>
      </c>
      <c r="F125" t="s">
        <v>36</v>
      </c>
      <c r="G125" t="s">
        <v>51</v>
      </c>
      <c r="H125" t="s">
        <v>1059</v>
      </c>
      <c r="I125">
        <v>43000</v>
      </c>
      <c r="J125">
        <v>12</v>
      </c>
      <c r="K125">
        <v>3</v>
      </c>
      <c r="L125">
        <v>4</v>
      </c>
      <c r="N125">
        <v>90</v>
      </c>
      <c r="O125">
        <v>10</v>
      </c>
      <c r="P125">
        <v>2</v>
      </c>
      <c r="Q125" t="s">
        <v>21</v>
      </c>
      <c r="R125" t="s">
        <v>28</v>
      </c>
      <c r="S125" t="s">
        <v>20</v>
      </c>
      <c r="T125">
        <v>5</v>
      </c>
      <c r="U125">
        <v>20</v>
      </c>
      <c r="V125" t="s">
        <v>22</v>
      </c>
    </row>
    <row r="126" spans="1:22">
      <c r="A126" t="s">
        <v>297</v>
      </c>
      <c r="B126" t="s">
        <v>298</v>
      </c>
      <c r="C126">
        <v>40</v>
      </c>
      <c r="D126" t="s">
        <v>34</v>
      </c>
      <c r="E126" t="s">
        <v>17</v>
      </c>
      <c r="F126" t="s">
        <v>27</v>
      </c>
      <c r="G126" t="s">
        <v>32</v>
      </c>
      <c r="H126" t="s">
        <v>1060</v>
      </c>
      <c r="I126">
        <v>89000</v>
      </c>
      <c r="J126">
        <v>12</v>
      </c>
      <c r="K126">
        <v>11</v>
      </c>
      <c r="L126">
        <v>1</v>
      </c>
      <c r="N126">
        <v>80</v>
      </c>
      <c r="O126">
        <v>5</v>
      </c>
      <c r="P126">
        <v>3</v>
      </c>
      <c r="R126" t="s">
        <v>19</v>
      </c>
      <c r="S126" t="s">
        <v>20</v>
      </c>
      <c r="T126">
        <v>20</v>
      </c>
      <c r="U126">
        <v>10</v>
      </c>
      <c r="V126" t="s">
        <v>39</v>
      </c>
    </row>
    <row r="127" spans="1:22">
      <c r="A127" t="s">
        <v>299</v>
      </c>
      <c r="B127" t="s">
        <v>300</v>
      </c>
      <c r="C127">
        <v>25</v>
      </c>
      <c r="D127" t="s">
        <v>46</v>
      </c>
      <c r="E127" t="s">
        <v>64</v>
      </c>
      <c r="F127" t="s">
        <v>66</v>
      </c>
      <c r="G127" t="s">
        <v>51</v>
      </c>
      <c r="H127" t="s">
        <v>1060</v>
      </c>
      <c r="I127">
        <v>35000</v>
      </c>
      <c r="J127">
        <v>12</v>
      </c>
      <c r="K127">
        <v>3</v>
      </c>
      <c r="L127">
        <v>2</v>
      </c>
      <c r="N127">
        <v>85</v>
      </c>
      <c r="O127">
        <v>23</v>
      </c>
      <c r="P127">
        <v>1</v>
      </c>
      <c r="R127" t="s">
        <v>38</v>
      </c>
      <c r="S127" t="s">
        <v>20</v>
      </c>
      <c r="T127">
        <v>20</v>
      </c>
      <c r="V127" t="s">
        <v>39</v>
      </c>
    </row>
    <row r="128" spans="1:22">
      <c r="A128" t="s">
        <v>301</v>
      </c>
      <c r="B128" t="s">
        <v>302</v>
      </c>
      <c r="C128">
        <v>25</v>
      </c>
      <c r="D128" t="s">
        <v>46</v>
      </c>
      <c r="E128" t="s">
        <v>64</v>
      </c>
      <c r="F128" t="s">
        <v>42</v>
      </c>
      <c r="G128" t="s">
        <v>51</v>
      </c>
      <c r="H128" t="s">
        <v>1060</v>
      </c>
      <c r="I128">
        <v>48000</v>
      </c>
      <c r="J128">
        <v>12</v>
      </c>
      <c r="K128">
        <v>4</v>
      </c>
      <c r="L128">
        <v>2</v>
      </c>
      <c r="N128">
        <v>90</v>
      </c>
      <c r="O128">
        <v>15</v>
      </c>
      <c r="P128">
        <v>2</v>
      </c>
      <c r="Q128" t="s">
        <v>21</v>
      </c>
      <c r="R128" t="s">
        <v>19</v>
      </c>
      <c r="S128" t="s">
        <v>20</v>
      </c>
      <c r="T128">
        <v>10</v>
      </c>
      <c r="U128">
        <v>30</v>
      </c>
      <c r="V128" t="s">
        <v>39</v>
      </c>
    </row>
    <row r="129" spans="1:22">
      <c r="A129" t="s">
        <v>303</v>
      </c>
      <c r="B129" t="s">
        <v>304</v>
      </c>
      <c r="C129">
        <v>39</v>
      </c>
      <c r="E129" t="s">
        <v>57</v>
      </c>
      <c r="F129" t="s">
        <v>42</v>
      </c>
      <c r="G129" t="s">
        <v>1049</v>
      </c>
      <c r="H129" t="s">
        <v>1060</v>
      </c>
      <c r="I129">
        <v>123000</v>
      </c>
      <c r="J129">
        <v>12</v>
      </c>
      <c r="K129">
        <v>13</v>
      </c>
      <c r="L129">
        <v>1</v>
      </c>
      <c r="N129">
        <v>85</v>
      </c>
      <c r="O129">
        <v>31</v>
      </c>
      <c r="P129">
        <v>5</v>
      </c>
      <c r="Q129" t="s">
        <v>21</v>
      </c>
      <c r="R129" t="s">
        <v>38</v>
      </c>
      <c r="S129" t="s">
        <v>20</v>
      </c>
      <c r="U129">
        <v>10</v>
      </c>
      <c r="V129" t="s">
        <v>39</v>
      </c>
    </row>
    <row r="130" spans="1:22">
      <c r="A130" t="s">
        <v>305</v>
      </c>
      <c r="B130" t="s">
        <v>306</v>
      </c>
      <c r="C130">
        <v>26</v>
      </c>
      <c r="D130" t="s">
        <v>46</v>
      </c>
      <c r="E130" t="s">
        <v>65</v>
      </c>
      <c r="F130" t="s">
        <v>42</v>
      </c>
      <c r="G130" t="s">
        <v>51</v>
      </c>
      <c r="H130" t="s">
        <v>1060</v>
      </c>
      <c r="I130">
        <v>48000</v>
      </c>
      <c r="J130">
        <v>12</v>
      </c>
      <c r="K130">
        <v>4</v>
      </c>
      <c r="L130">
        <v>1</v>
      </c>
      <c r="N130">
        <v>95</v>
      </c>
      <c r="O130">
        <v>10</v>
      </c>
      <c r="P130">
        <v>1</v>
      </c>
      <c r="Q130" t="s">
        <v>37</v>
      </c>
      <c r="R130" t="s">
        <v>19</v>
      </c>
      <c r="S130" t="s">
        <v>20</v>
      </c>
      <c r="T130">
        <v>5</v>
      </c>
      <c r="U130">
        <v>10</v>
      </c>
      <c r="V130" t="s">
        <v>39</v>
      </c>
    </row>
    <row r="131" spans="1:22">
      <c r="A131" t="s">
        <v>307</v>
      </c>
      <c r="B131" t="s">
        <v>308</v>
      </c>
      <c r="C131">
        <v>27</v>
      </c>
      <c r="D131" t="s">
        <v>25</v>
      </c>
      <c r="E131" t="s">
        <v>65</v>
      </c>
      <c r="F131" t="s">
        <v>42</v>
      </c>
      <c r="G131" t="s">
        <v>51</v>
      </c>
      <c r="H131" t="s">
        <v>1059</v>
      </c>
      <c r="I131">
        <v>49500</v>
      </c>
      <c r="J131">
        <v>12</v>
      </c>
      <c r="K131">
        <v>4</v>
      </c>
      <c r="L131">
        <v>5</v>
      </c>
      <c r="M131">
        <v>21000</v>
      </c>
      <c r="N131">
        <v>80</v>
      </c>
      <c r="O131">
        <v>23</v>
      </c>
      <c r="P131">
        <v>1</v>
      </c>
      <c r="R131" t="s">
        <v>28</v>
      </c>
      <c r="S131" t="s">
        <v>20</v>
      </c>
      <c r="T131">
        <v>20</v>
      </c>
      <c r="V131" t="s">
        <v>58</v>
      </c>
    </row>
    <row r="132" spans="1:22">
      <c r="A132" t="s">
        <v>309</v>
      </c>
      <c r="B132" t="s">
        <v>310</v>
      </c>
      <c r="C132">
        <v>27</v>
      </c>
      <c r="E132" t="s">
        <v>65</v>
      </c>
      <c r="F132" t="s">
        <v>27</v>
      </c>
      <c r="G132" t="s">
        <v>51</v>
      </c>
      <c r="H132" t="s">
        <v>1060</v>
      </c>
      <c r="I132">
        <v>48000</v>
      </c>
      <c r="J132">
        <v>12</v>
      </c>
      <c r="K132">
        <v>4</v>
      </c>
      <c r="L132">
        <v>1</v>
      </c>
      <c r="N132">
        <v>85</v>
      </c>
      <c r="O132">
        <v>15</v>
      </c>
      <c r="P132">
        <v>5</v>
      </c>
      <c r="R132" t="s">
        <v>19</v>
      </c>
      <c r="S132" t="s">
        <v>20</v>
      </c>
      <c r="U132">
        <v>30</v>
      </c>
      <c r="V132" t="s">
        <v>39</v>
      </c>
    </row>
    <row r="133" spans="1:22">
      <c r="A133" t="s">
        <v>311</v>
      </c>
      <c r="B133" t="s">
        <v>312</v>
      </c>
      <c r="C133">
        <v>25</v>
      </c>
      <c r="D133" t="s">
        <v>25</v>
      </c>
      <c r="E133" t="s">
        <v>73</v>
      </c>
      <c r="F133" t="s">
        <v>42</v>
      </c>
      <c r="G133" t="s">
        <v>51</v>
      </c>
      <c r="H133" t="s">
        <v>1060</v>
      </c>
      <c r="I133">
        <v>35000</v>
      </c>
      <c r="J133">
        <v>12</v>
      </c>
      <c r="K133">
        <v>3</v>
      </c>
      <c r="L133">
        <v>5</v>
      </c>
      <c r="M133">
        <v>21000</v>
      </c>
      <c r="N133">
        <v>85</v>
      </c>
      <c r="O133">
        <v>5</v>
      </c>
      <c r="P133">
        <v>4</v>
      </c>
      <c r="Q133" t="s">
        <v>21</v>
      </c>
      <c r="R133" t="s">
        <v>38</v>
      </c>
      <c r="S133" t="s">
        <v>20</v>
      </c>
      <c r="T133">
        <v>10</v>
      </c>
      <c r="U133">
        <v>10</v>
      </c>
      <c r="V133" t="s">
        <v>58</v>
      </c>
    </row>
    <row r="134" spans="1:22">
      <c r="A134" t="s">
        <v>313</v>
      </c>
      <c r="B134" t="s">
        <v>314</v>
      </c>
      <c r="C134">
        <v>25</v>
      </c>
      <c r="D134" t="s">
        <v>16</v>
      </c>
      <c r="E134" t="s">
        <v>61</v>
      </c>
      <c r="F134" t="s">
        <v>42</v>
      </c>
      <c r="G134" t="s">
        <v>51</v>
      </c>
      <c r="H134" t="s">
        <v>1060</v>
      </c>
      <c r="I134">
        <v>37000</v>
      </c>
      <c r="J134">
        <v>12</v>
      </c>
      <c r="K134">
        <v>2</v>
      </c>
      <c r="L134">
        <v>1</v>
      </c>
      <c r="N134">
        <v>87</v>
      </c>
      <c r="O134">
        <v>5</v>
      </c>
      <c r="P134">
        <v>12</v>
      </c>
      <c r="Q134" t="s">
        <v>37</v>
      </c>
      <c r="R134" t="s">
        <v>38</v>
      </c>
      <c r="S134" t="s">
        <v>20</v>
      </c>
      <c r="T134">
        <v>5</v>
      </c>
      <c r="V134" t="s">
        <v>39</v>
      </c>
    </row>
    <row r="135" spans="1:22">
      <c r="A135" t="s">
        <v>315</v>
      </c>
      <c r="B135" t="s">
        <v>316</v>
      </c>
      <c r="C135">
        <v>25</v>
      </c>
      <c r="E135" t="s">
        <v>47</v>
      </c>
      <c r="F135" t="s">
        <v>42</v>
      </c>
      <c r="G135" t="s">
        <v>1045</v>
      </c>
      <c r="H135" t="s">
        <v>1060</v>
      </c>
      <c r="I135">
        <v>78000</v>
      </c>
      <c r="J135">
        <v>12</v>
      </c>
      <c r="K135">
        <v>7</v>
      </c>
      <c r="L135">
        <v>3</v>
      </c>
      <c r="M135">
        <v>7000</v>
      </c>
      <c r="N135">
        <v>90</v>
      </c>
      <c r="O135">
        <v>23</v>
      </c>
      <c r="P135">
        <v>1</v>
      </c>
      <c r="Q135" t="s">
        <v>37</v>
      </c>
      <c r="R135" t="s">
        <v>19</v>
      </c>
      <c r="S135" t="s">
        <v>20</v>
      </c>
      <c r="T135">
        <v>20</v>
      </c>
      <c r="U135">
        <v>30</v>
      </c>
      <c r="V135" t="s">
        <v>22</v>
      </c>
    </row>
    <row r="136" spans="1:22">
      <c r="A136" t="s">
        <v>317</v>
      </c>
      <c r="B136" t="s">
        <v>318</v>
      </c>
      <c r="C136">
        <v>33</v>
      </c>
      <c r="D136" t="s">
        <v>16</v>
      </c>
      <c r="E136" t="s">
        <v>73</v>
      </c>
      <c r="F136" t="s">
        <v>36</v>
      </c>
      <c r="G136" t="s">
        <v>32</v>
      </c>
      <c r="H136" t="s">
        <v>1060</v>
      </c>
      <c r="I136">
        <v>90000</v>
      </c>
      <c r="J136">
        <v>12</v>
      </c>
      <c r="K136">
        <v>9</v>
      </c>
      <c r="L136">
        <v>1</v>
      </c>
      <c r="N136">
        <v>90</v>
      </c>
      <c r="O136">
        <v>5</v>
      </c>
      <c r="P136">
        <v>1</v>
      </c>
      <c r="R136" t="s">
        <v>19</v>
      </c>
      <c r="S136" t="s">
        <v>20</v>
      </c>
      <c r="U136">
        <v>20</v>
      </c>
      <c r="V136" t="s">
        <v>39</v>
      </c>
    </row>
    <row r="137" spans="1:22">
      <c r="A137" t="s">
        <v>319</v>
      </c>
      <c r="B137" t="s">
        <v>320</v>
      </c>
      <c r="C137">
        <v>26</v>
      </c>
      <c r="D137" t="s">
        <v>34</v>
      </c>
      <c r="E137" t="s">
        <v>73</v>
      </c>
      <c r="F137" t="s">
        <v>27</v>
      </c>
      <c r="G137" t="s">
        <v>51</v>
      </c>
      <c r="H137" t="s">
        <v>1060</v>
      </c>
      <c r="I137">
        <v>37000</v>
      </c>
      <c r="J137">
        <v>12</v>
      </c>
      <c r="K137">
        <v>2</v>
      </c>
      <c r="L137">
        <v>4</v>
      </c>
      <c r="M137">
        <v>15000</v>
      </c>
      <c r="N137">
        <v>90</v>
      </c>
      <c r="O137">
        <v>5</v>
      </c>
      <c r="P137">
        <v>1</v>
      </c>
      <c r="Q137" t="s">
        <v>21</v>
      </c>
      <c r="R137" t="s">
        <v>38</v>
      </c>
      <c r="S137" t="s">
        <v>20</v>
      </c>
      <c r="U137">
        <v>20</v>
      </c>
      <c r="V137" t="s">
        <v>22</v>
      </c>
    </row>
    <row r="138" spans="1:22">
      <c r="A138" t="s">
        <v>321</v>
      </c>
      <c r="B138" t="s">
        <v>322</v>
      </c>
      <c r="C138">
        <v>25</v>
      </c>
      <c r="D138" t="s">
        <v>34</v>
      </c>
      <c r="E138" t="s">
        <v>26</v>
      </c>
      <c r="F138" t="s">
        <v>66</v>
      </c>
      <c r="G138" t="s">
        <v>51</v>
      </c>
      <c r="H138" t="s">
        <v>1060</v>
      </c>
      <c r="I138">
        <v>31500</v>
      </c>
      <c r="J138">
        <v>12</v>
      </c>
      <c r="K138">
        <v>2</v>
      </c>
      <c r="L138">
        <v>2</v>
      </c>
      <c r="N138">
        <v>87</v>
      </c>
      <c r="O138">
        <v>15</v>
      </c>
      <c r="P138">
        <v>1</v>
      </c>
      <c r="Q138" t="s">
        <v>37</v>
      </c>
      <c r="R138" t="s">
        <v>38</v>
      </c>
      <c r="S138" t="s">
        <v>20</v>
      </c>
      <c r="T138">
        <v>5</v>
      </c>
      <c r="U138">
        <v>10</v>
      </c>
      <c r="V138" t="s">
        <v>39</v>
      </c>
    </row>
    <row r="139" spans="1:22">
      <c r="A139" t="s">
        <v>323</v>
      </c>
      <c r="B139" t="s">
        <v>324</v>
      </c>
      <c r="C139">
        <v>40</v>
      </c>
      <c r="D139" t="s">
        <v>16</v>
      </c>
      <c r="E139" t="s">
        <v>64</v>
      </c>
      <c r="F139" t="s">
        <v>27</v>
      </c>
      <c r="G139" t="s">
        <v>32</v>
      </c>
      <c r="H139" t="s">
        <v>1060</v>
      </c>
      <c r="I139">
        <v>90000</v>
      </c>
      <c r="J139">
        <v>12</v>
      </c>
      <c r="K139">
        <v>10</v>
      </c>
      <c r="L139">
        <v>2</v>
      </c>
      <c r="N139">
        <v>90</v>
      </c>
      <c r="O139">
        <v>10</v>
      </c>
      <c r="P139">
        <v>5</v>
      </c>
      <c r="R139" t="s">
        <v>19</v>
      </c>
      <c r="S139" t="s">
        <v>20</v>
      </c>
      <c r="T139">
        <v>5</v>
      </c>
      <c r="V139" t="s">
        <v>39</v>
      </c>
    </row>
    <row r="140" spans="1:22">
      <c r="A140" t="s">
        <v>325</v>
      </c>
      <c r="B140" t="s">
        <v>326</v>
      </c>
      <c r="C140">
        <v>25</v>
      </c>
      <c r="E140" t="s">
        <v>35</v>
      </c>
      <c r="F140" t="s">
        <v>42</v>
      </c>
      <c r="G140" t="s">
        <v>51</v>
      </c>
      <c r="H140" t="s">
        <v>1060</v>
      </c>
      <c r="I140">
        <v>35000</v>
      </c>
      <c r="J140">
        <v>12</v>
      </c>
      <c r="K140">
        <v>3</v>
      </c>
      <c r="L140">
        <v>3</v>
      </c>
      <c r="M140">
        <v>8000</v>
      </c>
      <c r="N140">
        <v>95</v>
      </c>
      <c r="O140">
        <v>22</v>
      </c>
      <c r="P140">
        <v>10</v>
      </c>
      <c r="Q140" t="s">
        <v>21</v>
      </c>
      <c r="R140" t="s">
        <v>19</v>
      </c>
      <c r="S140" t="s">
        <v>20</v>
      </c>
      <c r="T140">
        <v>5</v>
      </c>
      <c r="V140" t="s">
        <v>22</v>
      </c>
    </row>
    <row r="141" spans="1:22">
      <c r="A141" t="s">
        <v>327</v>
      </c>
      <c r="B141" t="s">
        <v>328</v>
      </c>
      <c r="C141">
        <v>40</v>
      </c>
      <c r="D141" t="s">
        <v>46</v>
      </c>
      <c r="E141" t="s">
        <v>64</v>
      </c>
      <c r="F141" t="s">
        <v>31</v>
      </c>
      <c r="G141" t="s">
        <v>1045</v>
      </c>
      <c r="H141" t="s">
        <v>1060</v>
      </c>
      <c r="I141">
        <v>78000</v>
      </c>
      <c r="J141">
        <v>12</v>
      </c>
      <c r="K141">
        <v>7</v>
      </c>
      <c r="L141">
        <v>4</v>
      </c>
      <c r="M141">
        <v>10871</v>
      </c>
      <c r="N141">
        <v>95</v>
      </c>
      <c r="O141">
        <v>15</v>
      </c>
      <c r="P141">
        <v>1</v>
      </c>
      <c r="R141" t="s">
        <v>38</v>
      </c>
      <c r="S141" t="s">
        <v>20</v>
      </c>
      <c r="T141">
        <v>5</v>
      </c>
      <c r="U141">
        <v>10</v>
      </c>
      <c r="V141" t="s">
        <v>58</v>
      </c>
    </row>
    <row r="142" spans="1:22">
      <c r="A142" t="s">
        <v>329</v>
      </c>
      <c r="B142" t="s">
        <v>330</v>
      </c>
      <c r="C142">
        <v>43</v>
      </c>
      <c r="D142" t="s">
        <v>16</v>
      </c>
      <c r="E142" t="s">
        <v>65</v>
      </c>
      <c r="F142" t="s">
        <v>31</v>
      </c>
      <c r="G142" t="s">
        <v>1049</v>
      </c>
      <c r="H142" t="s">
        <v>1060</v>
      </c>
      <c r="I142">
        <v>124500</v>
      </c>
      <c r="J142">
        <v>12</v>
      </c>
      <c r="K142">
        <v>12</v>
      </c>
      <c r="L142">
        <v>3</v>
      </c>
      <c r="M142">
        <v>54000</v>
      </c>
      <c r="N142">
        <v>80</v>
      </c>
      <c r="O142">
        <v>5</v>
      </c>
      <c r="P142">
        <v>10</v>
      </c>
      <c r="R142" t="s">
        <v>38</v>
      </c>
      <c r="S142" t="s">
        <v>20</v>
      </c>
      <c r="U142">
        <v>10</v>
      </c>
      <c r="V142" t="s">
        <v>22</v>
      </c>
    </row>
    <row r="143" spans="1:22">
      <c r="A143" t="s">
        <v>331</v>
      </c>
      <c r="B143" t="s">
        <v>332</v>
      </c>
      <c r="C143">
        <v>27</v>
      </c>
      <c r="E143" t="s">
        <v>64</v>
      </c>
      <c r="F143" t="s">
        <v>27</v>
      </c>
      <c r="G143" t="s">
        <v>51</v>
      </c>
      <c r="H143" t="s">
        <v>1060</v>
      </c>
      <c r="I143">
        <v>48000</v>
      </c>
      <c r="J143">
        <v>12</v>
      </c>
      <c r="K143">
        <v>4</v>
      </c>
      <c r="L143">
        <v>3</v>
      </c>
      <c r="M143">
        <v>10000</v>
      </c>
      <c r="N143">
        <v>95</v>
      </c>
      <c r="O143">
        <v>5</v>
      </c>
      <c r="P143">
        <v>12</v>
      </c>
      <c r="Q143" t="s">
        <v>21</v>
      </c>
      <c r="R143" t="s">
        <v>19</v>
      </c>
      <c r="S143" t="s">
        <v>20</v>
      </c>
      <c r="T143">
        <v>20</v>
      </c>
      <c r="U143">
        <v>30</v>
      </c>
      <c r="V143" t="s">
        <v>22</v>
      </c>
    </row>
    <row r="144" spans="1:22">
      <c r="A144" t="s">
        <v>333</v>
      </c>
      <c r="B144" t="s">
        <v>334</v>
      </c>
      <c r="C144">
        <v>27</v>
      </c>
      <c r="D144" t="s">
        <v>46</v>
      </c>
      <c r="E144" t="s">
        <v>64</v>
      </c>
      <c r="F144" t="s">
        <v>42</v>
      </c>
      <c r="G144" t="s">
        <v>51</v>
      </c>
      <c r="H144" t="s">
        <v>1060</v>
      </c>
      <c r="I144">
        <v>51000</v>
      </c>
      <c r="J144">
        <v>12</v>
      </c>
      <c r="K144">
        <v>4</v>
      </c>
      <c r="L144">
        <v>4</v>
      </c>
      <c r="N144">
        <v>95</v>
      </c>
      <c r="O144">
        <v>15</v>
      </c>
      <c r="P144">
        <v>2</v>
      </c>
      <c r="Q144" t="s">
        <v>37</v>
      </c>
      <c r="R144" t="s">
        <v>19</v>
      </c>
      <c r="S144" t="s">
        <v>20</v>
      </c>
      <c r="T144">
        <v>10</v>
      </c>
      <c r="U144">
        <v>30</v>
      </c>
      <c r="V144" t="s">
        <v>22</v>
      </c>
    </row>
    <row r="145" spans="1:22">
      <c r="A145" t="s">
        <v>335</v>
      </c>
      <c r="B145" t="s">
        <v>336</v>
      </c>
      <c r="C145">
        <v>41</v>
      </c>
      <c r="D145" t="s">
        <v>34</v>
      </c>
      <c r="E145" t="s">
        <v>47</v>
      </c>
      <c r="F145" t="s">
        <v>36</v>
      </c>
      <c r="G145" t="s">
        <v>1050</v>
      </c>
      <c r="H145" t="s">
        <v>1060</v>
      </c>
      <c r="I145">
        <v>125000</v>
      </c>
      <c r="J145">
        <v>12</v>
      </c>
      <c r="K145">
        <v>16</v>
      </c>
      <c r="L145">
        <v>4</v>
      </c>
      <c r="M145">
        <v>59762</v>
      </c>
      <c r="N145">
        <v>80</v>
      </c>
      <c r="O145">
        <v>23</v>
      </c>
      <c r="P145">
        <v>5</v>
      </c>
      <c r="Q145" t="s">
        <v>37</v>
      </c>
      <c r="R145" t="s">
        <v>19</v>
      </c>
      <c r="S145" t="s">
        <v>20</v>
      </c>
      <c r="U145">
        <v>30</v>
      </c>
      <c r="V145" t="s">
        <v>22</v>
      </c>
    </row>
    <row r="146" spans="1:22">
      <c r="A146" t="s">
        <v>337</v>
      </c>
      <c r="B146" t="s">
        <v>338</v>
      </c>
      <c r="C146">
        <v>25</v>
      </c>
      <c r="D146" t="s">
        <v>16</v>
      </c>
      <c r="E146" t="s">
        <v>17</v>
      </c>
      <c r="F146" t="s">
        <v>66</v>
      </c>
      <c r="G146" t="s">
        <v>51</v>
      </c>
      <c r="H146" t="s">
        <v>1060</v>
      </c>
      <c r="I146">
        <v>48000</v>
      </c>
      <c r="J146">
        <v>12</v>
      </c>
      <c r="K146">
        <v>4</v>
      </c>
      <c r="L146">
        <v>3</v>
      </c>
      <c r="M146">
        <v>10500</v>
      </c>
      <c r="N146">
        <v>85</v>
      </c>
      <c r="O146">
        <v>22</v>
      </c>
      <c r="P146">
        <v>5</v>
      </c>
      <c r="Q146" t="s">
        <v>37</v>
      </c>
      <c r="R146" t="s">
        <v>38</v>
      </c>
      <c r="S146" t="s">
        <v>20</v>
      </c>
      <c r="U146">
        <v>30</v>
      </c>
      <c r="V146" t="s">
        <v>22</v>
      </c>
    </row>
    <row r="147" spans="1:22">
      <c r="A147" t="s">
        <v>339</v>
      </c>
      <c r="B147" t="s">
        <v>340</v>
      </c>
      <c r="C147">
        <v>32</v>
      </c>
      <c r="E147" t="s">
        <v>64</v>
      </c>
      <c r="F147" t="s">
        <v>42</v>
      </c>
      <c r="G147" t="s">
        <v>82</v>
      </c>
      <c r="H147" t="s">
        <v>1059</v>
      </c>
      <c r="I147">
        <v>88000</v>
      </c>
      <c r="J147">
        <v>12</v>
      </c>
      <c r="K147">
        <v>8</v>
      </c>
      <c r="L147">
        <v>3</v>
      </c>
      <c r="M147">
        <v>24000</v>
      </c>
      <c r="N147">
        <v>87</v>
      </c>
      <c r="O147">
        <v>5</v>
      </c>
      <c r="P147">
        <v>8</v>
      </c>
      <c r="Q147" t="s">
        <v>37</v>
      </c>
      <c r="R147" t="s">
        <v>28</v>
      </c>
      <c r="S147" t="s">
        <v>20</v>
      </c>
      <c r="U147">
        <v>20</v>
      </c>
      <c r="V147" t="s">
        <v>22</v>
      </c>
    </row>
    <row r="148" spans="1:22">
      <c r="A148" t="s">
        <v>341</v>
      </c>
      <c r="B148" t="s">
        <v>342</v>
      </c>
      <c r="C148">
        <v>42</v>
      </c>
      <c r="D148" t="s">
        <v>34</v>
      </c>
      <c r="E148" t="s">
        <v>17</v>
      </c>
      <c r="F148" t="s">
        <v>66</v>
      </c>
      <c r="G148" t="s">
        <v>1050</v>
      </c>
      <c r="H148" t="s">
        <v>1060</v>
      </c>
      <c r="I148">
        <v>135000</v>
      </c>
      <c r="J148">
        <v>12</v>
      </c>
      <c r="K148">
        <v>19</v>
      </c>
      <c r="L148">
        <v>1</v>
      </c>
      <c r="N148">
        <v>90</v>
      </c>
      <c r="O148">
        <v>5</v>
      </c>
      <c r="P148">
        <v>5</v>
      </c>
      <c r="Q148" t="s">
        <v>37</v>
      </c>
      <c r="R148" t="s">
        <v>38</v>
      </c>
      <c r="S148" t="s">
        <v>20</v>
      </c>
      <c r="V148" t="s">
        <v>39</v>
      </c>
    </row>
    <row r="149" spans="1:22">
      <c r="A149" t="s">
        <v>343</v>
      </c>
      <c r="B149" t="s">
        <v>344</v>
      </c>
      <c r="C149">
        <v>27</v>
      </c>
      <c r="D149" t="s">
        <v>46</v>
      </c>
      <c r="E149" t="s">
        <v>26</v>
      </c>
      <c r="F149" t="s">
        <v>66</v>
      </c>
      <c r="G149" t="s">
        <v>51</v>
      </c>
      <c r="H149" t="s">
        <v>1060</v>
      </c>
      <c r="I149">
        <v>40000</v>
      </c>
      <c r="J149">
        <v>12</v>
      </c>
      <c r="K149">
        <v>2</v>
      </c>
      <c r="L149">
        <v>4</v>
      </c>
      <c r="N149">
        <v>80</v>
      </c>
      <c r="O149">
        <v>5</v>
      </c>
      <c r="P149">
        <v>7</v>
      </c>
      <c r="R149" t="s">
        <v>38</v>
      </c>
      <c r="S149" t="s">
        <v>20</v>
      </c>
      <c r="T149">
        <v>10</v>
      </c>
      <c r="U149">
        <v>30</v>
      </c>
      <c r="V149" t="s">
        <v>22</v>
      </c>
    </row>
    <row r="150" spans="1:22">
      <c r="A150" t="s">
        <v>345</v>
      </c>
      <c r="B150" t="s">
        <v>346</v>
      </c>
      <c r="C150">
        <v>27</v>
      </c>
      <c r="D150" t="s">
        <v>46</v>
      </c>
      <c r="E150" t="s">
        <v>61</v>
      </c>
      <c r="F150" t="s">
        <v>66</v>
      </c>
      <c r="G150" t="s">
        <v>51</v>
      </c>
      <c r="H150" t="s">
        <v>1059</v>
      </c>
      <c r="I150">
        <v>36000</v>
      </c>
      <c r="J150">
        <v>12</v>
      </c>
      <c r="K150">
        <v>3</v>
      </c>
      <c r="L150">
        <v>4</v>
      </c>
      <c r="M150">
        <v>10000</v>
      </c>
      <c r="N150">
        <v>95</v>
      </c>
      <c r="O150">
        <v>23</v>
      </c>
      <c r="P150">
        <v>2</v>
      </c>
      <c r="R150" t="s">
        <v>28</v>
      </c>
      <c r="S150" t="s">
        <v>20</v>
      </c>
      <c r="T150">
        <v>10</v>
      </c>
      <c r="U150">
        <v>20</v>
      </c>
      <c r="V150" t="s">
        <v>58</v>
      </c>
    </row>
    <row r="151" spans="1:22">
      <c r="A151" t="s">
        <v>347</v>
      </c>
      <c r="B151" t="s">
        <v>348</v>
      </c>
      <c r="C151">
        <v>25</v>
      </c>
      <c r="E151" t="s">
        <v>50</v>
      </c>
      <c r="F151" t="s">
        <v>31</v>
      </c>
      <c r="G151" t="s">
        <v>51</v>
      </c>
      <c r="H151" t="s">
        <v>1060</v>
      </c>
      <c r="I151">
        <v>48000</v>
      </c>
      <c r="J151">
        <v>12</v>
      </c>
      <c r="K151">
        <v>4</v>
      </c>
      <c r="L151">
        <v>4</v>
      </c>
      <c r="M151">
        <v>5000</v>
      </c>
      <c r="N151">
        <v>95</v>
      </c>
      <c r="O151">
        <v>10</v>
      </c>
      <c r="P151">
        <v>3</v>
      </c>
      <c r="Q151" t="s">
        <v>37</v>
      </c>
      <c r="R151" t="s">
        <v>38</v>
      </c>
      <c r="S151" t="s">
        <v>20</v>
      </c>
      <c r="U151">
        <v>20</v>
      </c>
      <c r="V151" t="s">
        <v>22</v>
      </c>
    </row>
    <row r="152" spans="1:22">
      <c r="A152" t="s">
        <v>349</v>
      </c>
      <c r="B152" t="s">
        <v>350</v>
      </c>
      <c r="C152">
        <v>26</v>
      </c>
      <c r="D152" t="s">
        <v>16</v>
      </c>
      <c r="E152" t="s">
        <v>65</v>
      </c>
      <c r="F152" t="s">
        <v>42</v>
      </c>
      <c r="G152" t="s">
        <v>51</v>
      </c>
      <c r="H152" t="s">
        <v>1060</v>
      </c>
      <c r="I152">
        <v>37000</v>
      </c>
      <c r="J152">
        <v>12</v>
      </c>
      <c r="K152">
        <v>2</v>
      </c>
      <c r="L152">
        <v>2</v>
      </c>
      <c r="N152">
        <v>90</v>
      </c>
      <c r="O152">
        <v>5</v>
      </c>
      <c r="P152">
        <v>1</v>
      </c>
      <c r="Q152" t="s">
        <v>37</v>
      </c>
      <c r="R152" t="s">
        <v>38</v>
      </c>
      <c r="S152" t="s">
        <v>20</v>
      </c>
      <c r="T152">
        <v>10</v>
      </c>
      <c r="U152">
        <v>20</v>
      </c>
      <c r="V152" t="s">
        <v>39</v>
      </c>
    </row>
    <row r="153" spans="1:22">
      <c r="A153" t="s">
        <v>351</v>
      </c>
      <c r="B153" t="s">
        <v>352</v>
      </c>
      <c r="C153">
        <v>25</v>
      </c>
      <c r="D153" t="s">
        <v>25</v>
      </c>
      <c r="E153" t="s">
        <v>26</v>
      </c>
      <c r="F153" t="s">
        <v>36</v>
      </c>
      <c r="G153" t="s">
        <v>51</v>
      </c>
      <c r="H153" t="s">
        <v>1060</v>
      </c>
      <c r="I153">
        <v>36000</v>
      </c>
      <c r="J153">
        <v>12</v>
      </c>
      <c r="K153">
        <v>3</v>
      </c>
      <c r="L153">
        <v>3</v>
      </c>
      <c r="M153">
        <v>10500</v>
      </c>
      <c r="N153">
        <v>90</v>
      </c>
      <c r="O153">
        <v>23</v>
      </c>
      <c r="P153">
        <v>2</v>
      </c>
      <c r="R153" t="s">
        <v>38</v>
      </c>
      <c r="S153" t="s">
        <v>20</v>
      </c>
      <c r="T153">
        <v>10</v>
      </c>
      <c r="U153">
        <v>30</v>
      </c>
      <c r="V153" t="s">
        <v>22</v>
      </c>
    </row>
    <row r="154" spans="1:22">
      <c r="A154" t="s">
        <v>353</v>
      </c>
      <c r="B154" t="s">
        <v>354</v>
      </c>
      <c r="C154">
        <v>26</v>
      </c>
      <c r="D154" t="s">
        <v>46</v>
      </c>
      <c r="E154" t="s">
        <v>26</v>
      </c>
      <c r="F154" t="s">
        <v>66</v>
      </c>
      <c r="G154" t="s">
        <v>51</v>
      </c>
      <c r="H154" t="s">
        <v>1060</v>
      </c>
      <c r="I154">
        <v>37000</v>
      </c>
      <c r="J154">
        <v>12</v>
      </c>
      <c r="K154">
        <v>2</v>
      </c>
      <c r="L154">
        <v>1</v>
      </c>
      <c r="N154">
        <v>80</v>
      </c>
      <c r="O154">
        <v>5</v>
      </c>
      <c r="P154">
        <v>5</v>
      </c>
      <c r="R154" t="s">
        <v>19</v>
      </c>
      <c r="S154" t="s">
        <v>20</v>
      </c>
      <c r="T154">
        <v>5</v>
      </c>
      <c r="V154" t="s">
        <v>39</v>
      </c>
    </row>
    <row r="155" spans="1:22">
      <c r="A155" t="s">
        <v>355</v>
      </c>
      <c r="B155" t="s">
        <v>356</v>
      </c>
      <c r="C155">
        <v>26</v>
      </c>
      <c r="D155" t="s">
        <v>46</v>
      </c>
      <c r="E155" t="s">
        <v>17</v>
      </c>
      <c r="F155" t="s">
        <v>27</v>
      </c>
      <c r="G155" t="s">
        <v>51</v>
      </c>
      <c r="H155" t="s">
        <v>1060</v>
      </c>
      <c r="I155">
        <v>36000</v>
      </c>
      <c r="J155">
        <v>12</v>
      </c>
      <c r="K155">
        <v>3</v>
      </c>
      <c r="L155">
        <v>3</v>
      </c>
      <c r="M155">
        <v>10500</v>
      </c>
      <c r="N155">
        <v>80</v>
      </c>
      <c r="O155">
        <v>23</v>
      </c>
      <c r="P155">
        <v>7</v>
      </c>
      <c r="Q155" t="s">
        <v>37</v>
      </c>
      <c r="R155" t="s">
        <v>38</v>
      </c>
      <c r="S155" t="s">
        <v>20</v>
      </c>
      <c r="T155">
        <v>10</v>
      </c>
      <c r="V155" t="s">
        <v>22</v>
      </c>
    </row>
    <row r="156" spans="1:22">
      <c r="A156" t="s">
        <v>357</v>
      </c>
      <c r="B156" t="s">
        <v>358</v>
      </c>
      <c r="C156">
        <v>25</v>
      </c>
      <c r="D156" t="s">
        <v>25</v>
      </c>
      <c r="E156" t="s">
        <v>64</v>
      </c>
      <c r="F156" t="s">
        <v>18</v>
      </c>
      <c r="G156" t="s">
        <v>51</v>
      </c>
      <c r="H156" t="s">
        <v>1060</v>
      </c>
      <c r="I156">
        <v>36000</v>
      </c>
      <c r="J156">
        <v>12</v>
      </c>
      <c r="K156">
        <v>3</v>
      </c>
      <c r="L156">
        <v>5</v>
      </c>
      <c r="M156">
        <v>21000</v>
      </c>
      <c r="N156">
        <v>95</v>
      </c>
      <c r="O156">
        <v>23</v>
      </c>
      <c r="P156">
        <v>2</v>
      </c>
      <c r="Q156" t="s">
        <v>37</v>
      </c>
      <c r="R156" t="s">
        <v>19</v>
      </c>
      <c r="S156" t="s">
        <v>20</v>
      </c>
      <c r="T156">
        <v>20</v>
      </c>
      <c r="U156">
        <v>30</v>
      </c>
      <c r="V156" t="s">
        <v>58</v>
      </c>
    </row>
    <row r="157" spans="1:22">
      <c r="A157" t="s">
        <v>339</v>
      </c>
      <c r="B157" t="s">
        <v>340</v>
      </c>
      <c r="C157">
        <v>32</v>
      </c>
      <c r="E157" t="s">
        <v>64</v>
      </c>
      <c r="F157" t="s">
        <v>42</v>
      </c>
      <c r="G157" t="s">
        <v>82</v>
      </c>
      <c r="H157" t="s">
        <v>1059</v>
      </c>
      <c r="I157">
        <v>88000</v>
      </c>
      <c r="J157">
        <v>12</v>
      </c>
      <c r="K157">
        <v>8</v>
      </c>
      <c r="L157">
        <v>3</v>
      </c>
      <c r="M157">
        <v>24000</v>
      </c>
      <c r="N157">
        <v>87</v>
      </c>
      <c r="O157">
        <v>5</v>
      </c>
      <c r="P157">
        <v>8</v>
      </c>
      <c r="Q157" t="s">
        <v>37</v>
      </c>
      <c r="R157" t="s">
        <v>28</v>
      </c>
      <c r="S157" t="s">
        <v>20</v>
      </c>
      <c r="U157">
        <v>20</v>
      </c>
      <c r="V157" t="s">
        <v>22</v>
      </c>
    </row>
    <row r="158" spans="1:22">
      <c r="A158" t="s">
        <v>360</v>
      </c>
      <c r="B158" t="s">
        <v>361</v>
      </c>
      <c r="C158">
        <v>20</v>
      </c>
      <c r="E158" t="s">
        <v>65</v>
      </c>
      <c r="F158" t="s">
        <v>36</v>
      </c>
      <c r="G158" t="s">
        <v>1047</v>
      </c>
      <c r="H158" t="s">
        <v>1059</v>
      </c>
      <c r="I158">
        <v>12000</v>
      </c>
      <c r="J158">
        <v>12</v>
      </c>
      <c r="K158">
        <v>0</v>
      </c>
      <c r="L158">
        <v>1</v>
      </c>
      <c r="N158">
        <v>85</v>
      </c>
      <c r="O158">
        <v>5</v>
      </c>
      <c r="P158">
        <v>3</v>
      </c>
      <c r="Q158" t="s">
        <v>21</v>
      </c>
      <c r="R158" t="s">
        <v>28</v>
      </c>
      <c r="S158" t="s">
        <v>20</v>
      </c>
      <c r="U158">
        <v>10</v>
      </c>
      <c r="V158" t="s">
        <v>39</v>
      </c>
    </row>
    <row r="159" spans="1:22">
      <c r="A159" t="s">
        <v>362</v>
      </c>
      <c r="B159" t="s">
        <v>363</v>
      </c>
      <c r="C159">
        <v>21</v>
      </c>
      <c r="D159" t="s">
        <v>16</v>
      </c>
      <c r="E159" t="s">
        <v>64</v>
      </c>
      <c r="F159" t="s">
        <v>42</v>
      </c>
      <c r="G159" t="s">
        <v>1047</v>
      </c>
      <c r="H159" t="s">
        <v>1060</v>
      </c>
      <c r="I159">
        <v>7000</v>
      </c>
      <c r="J159">
        <v>12</v>
      </c>
      <c r="K159">
        <v>1</v>
      </c>
      <c r="L159">
        <v>2</v>
      </c>
      <c r="N159">
        <v>95</v>
      </c>
      <c r="O159">
        <v>10</v>
      </c>
      <c r="P159">
        <v>12</v>
      </c>
      <c r="Q159" t="s">
        <v>21</v>
      </c>
      <c r="R159" t="s">
        <v>38</v>
      </c>
      <c r="S159" t="s">
        <v>20</v>
      </c>
      <c r="T159">
        <v>5</v>
      </c>
      <c r="U159">
        <v>30</v>
      </c>
      <c r="V159" t="s">
        <v>39</v>
      </c>
    </row>
    <row r="160" spans="1:22">
      <c r="A160" t="s">
        <v>364</v>
      </c>
      <c r="B160" t="s">
        <v>365</v>
      </c>
      <c r="C160">
        <v>20</v>
      </c>
      <c r="E160" t="s">
        <v>35</v>
      </c>
      <c r="F160" t="s">
        <v>27</v>
      </c>
      <c r="G160" t="s">
        <v>1047</v>
      </c>
      <c r="H160" t="s">
        <v>1060</v>
      </c>
      <c r="I160">
        <v>9000</v>
      </c>
      <c r="J160">
        <v>12</v>
      </c>
      <c r="K160">
        <v>0</v>
      </c>
      <c r="L160">
        <v>2</v>
      </c>
      <c r="N160">
        <v>95</v>
      </c>
      <c r="O160">
        <v>10</v>
      </c>
      <c r="P160">
        <v>9</v>
      </c>
      <c r="Q160" t="s">
        <v>21</v>
      </c>
      <c r="R160" t="s">
        <v>38</v>
      </c>
      <c r="S160" t="s">
        <v>20</v>
      </c>
      <c r="T160">
        <v>10</v>
      </c>
      <c r="U160">
        <v>10</v>
      </c>
      <c r="V160" t="s">
        <v>39</v>
      </c>
    </row>
    <row r="161" spans="1:22">
      <c r="A161" t="s">
        <v>366</v>
      </c>
      <c r="B161" t="s">
        <v>367</v>
      </c>
      <c r="C161">
        <v>21</v>
      </c>
      <c r="D161" t="s">
        <v>25</v>
      </c>
      <c r="E161" t="s">
        <v>57</v>
      </c>
      <c r="F161" t="s">
        <v>27</v>
      </c>
      <c r="G161" t="s">
        <v>1047</v>
      </c>
      <c r="H161" t="s">
        <v>1060</v>
      </c>
      <c r="I161">
        <v>6000</v>
      </c>
      <c r="J161">
        <v>12</v>
      </c>
      <c r="K161">
        <v>1</v>
      </c>
      <c r="L161">
        <v>2</v>
      </c>
      <c r="N161">
        <v>90</v>
      </c>
      <c r="O161">
        <v>10</v>
      </c>
      <c r="P161">
        <v>5</v>
      </c>
      <c r="Q161" t="s">
        <v>21</v>
      </c>
      <c r="R161" t="s">
        <v>38</v>
      </c>
      <c r="S161" t="s">
        <v>20</v>
      </c>
      <c r="T161">
        <v>10</v>
      </c>
      <c r="U161">
        <v>10</v>
      </c>
      <c r="V161" t="s">
        <v>39</v>
      </c>
    </row>
    <row r="162" spans="1:22">
      <c r="A162" t="s">
        <v>368</v>
      </c>
      <c r="B162" t="s">
        <v>369</v>
      </c>
      <c r="C162">
        <v>26</v>
      </c>
      <c r="D162" t="s">
        <v>16</v>
      </c>
      <c r="E162" t="s">
        <v>47</v>
      </c>
      <c r="F162" t="s">
        <v>31</v>
      </c>
      <c r="G162" t="s">
        <v>1045</v>
      </c>
      <c r="H162" t="s">
        <v>1060</v>
      </c>
      <c r="I162">
        <v>74000</v>
      </c>
      <c r="J162">
        <v>12</v>
      </c>
      <c r="K162">
        <v>5</v>
      </c>
      <c r="L162">
        <v>2</v>
      </c>
      <c r="N162">
        <v>87</v>
      </c>
      <c r="O162">
        <v>23</v>
      </c>
      <c r="P162">
        <v>3</v>
      </c>
      <c r="Q162" t="s">
        <v>37</v>
      </c>
      <c r="R162" t="s">
        <v>38</v>
      </c>
      <c r="S162" t="s">
        <v>20</v>
      </c>
      <c r="T162">
        <v>10</v>
      </c>
      <c r="U162">
        <v>10</v>
      </c>
      <c r="V162" t="s">
        <v>39</v>
      </c>
    </row>
    <row r="163" spans="1:22">
      <c r="A163" t="s">
        <v>370</v>
      </c>
      <c r="B163" t="s">
        <v>371</v>
      </c>
      <c r="C163">
        <v>20</v>
      </c>
      <c r="D163" t="s">
        <v>34</v>
      </c>
      <c r="E163" t="s">
        <v>35</v>
      </c>
      <c r="F163" t="s">
        <v>27</v>
      </c>
      <c r="G163" t="s">
        <v>1047</v>
      </c>
      <c r="H163" t="s">
        <v>1060</v>
      </c>
      <c r="I163">
        <v>9000</v>
      </c>
      <c r="J163">
        <v>12</v>
      </c>
      <c r="K163">
        <v>0</v>
      </c>
      <c r="L163">
        <v>2</v>
      </c>
      <c r="N163">
        <v>80</v>
      </c>
      <c r="O163">
        <v>5</v>
      </c>
      <c r="P163">
        <v>7</v>
      </c>
      <c r="Q163" t="s">
        <v>21</v>
      </c>
      <c r="R163" t="s">
        <v>19</v>
      </c>
      <c r="S163" t="s">
        <v>20</v>
      </c>
      <c r="T163">
        <v>5</v>
      </c>
      <c r="U163">
        <v>30</v>
      </c>
      <c r="V163" t="s">
        <v>39</v>
      </c>
    </row>
    <row r="164" spans="1:22">
      <c r="A164" t="s">
        <v>372</v>
      </c>
      <c r="B164" t="s">
        <v>373</v>
      </c>
      <c r="C164">
        <v>19</v>
      </c>
      <c r="D164" t="s">
        <v>34</v>
      </c>
      <c r="E164" t="s">
        <v>35</v>
      </c>
      <c r="F164" t="s">
        <v>42</v>
      </c>
      <c r="G164" t="s">
        <v>1047</v>
      </c>
      <c r="H164" t="s">
        <v>1060</v>
      </c>
      <c r="I164">
        <v>9000</v>
      </c>
      <c r="J164">
        <v>12</v>
      </c>
      <c r="K164">
        <v>1</v>
      </c>
      <c r="L164">
        <v>4</v>
      </c>
      <c r="M164">
        <v>4000</v>
      </c>
      <c r="N164">
        <v>90</v>
      </c>
      <c r="O164">
        <v>23</v>
      </c>
      <c r="P164">
        <v>3</v>
      </c>
      <c r="Q164" t="s">
        <v>21</v>
      </c>
      <c r="R164" t="s">
        <v>19</v>
      </c>
      <c r="S164" t="s">
        <v>20</v>
      </c>
      <c r="T164">
        <v>25</v>
      </c>
      <c r="U164">
        <v>10</v>
      </c>
      <c r="V164" t="s">
        <v>22</v>
      </c>
    </row>
    <row r="165" spans="1:22">
      <c r="A165" t="s">
        <v>374</v>
      </c>
      <c r="B165" t="s">
        <v>375</v>
      </c>
      <c r="C165">
        <v>21</v>
      </c>
      <c r="D165" t="s">
        <v>34</v>
      </c>
      <c r="E165" t="s">
        <v>50</v>
      </c>
      <c r="F165" t="s">
        <v>66</v>
      </c>
      <c r="G165" t="s">
        <v>1047</v>
      </c>
      <c r="H165" t="s">
        <v>1060</v>
      </c>
      <c r="I165">
        <v>9000</v>
      </c>
      <c r="J165">
        <v>12</v>
      </c>
      <c r="K165">
        <v>0</v>
      </c>
      <c r="L165">
        <v>3</v>
      </c>
      <c r="M165">
        <v>3000</v>
      </c>
      <c r="N165">
        <v>87</v>
      </c>
      <c r="O165">
        <v>10</v>
      </c>
      <c r="P165">
        <v>5</v>
      </c>
      <c r="Q165" t="s">
        <v>21</v>
      </c>
      <c r="R165" t="s">
        <v>19</v>
      </c>
      <c r="S165" t="s">
        <v>20</v>
      </c>
      <c r="U165">
        <v>30</v>
      </c>
      <c r="V165" t="s">
        <v>22</v>
      </c>
    </row>
    <row r="166" spans="1:22">
      <c r="A166" t="s">
        <v>376</v>
      </c>
      <c r="B166" t="s">
        <v>377</v>
      </c>
      <c r="C166">
        <v>21</v>
      </c>
      <c r="D166" t="s">
        <v>46</v>
      </c>
      <c r="E166" t="s">
        <v>57</v>
      </c>
      <c r="F166" t="s">
        <v>42</v>
      </c>
      <c r="G166" t="s">
        <v>1046</v>
      </c>
      <c r="H166" t="s">
        <v>1060</v>
      </c>
      <c r="I166">
        <v>20000</v>
      </c>
      <c r="J166">
        <v>12</v>
      </c>
      <c r="K166">
        <v>0</v>
      </c>
      <c r="L166">
        <v>2</v>
      </c>
      <c r="N166">
        <v>80</v>
      </c>
      <c r="O166">
        <v>12</v>
      </c>
      <c r="P166">
        <v>2</v>
      </c>
      <c r="Q166" t="s">
        <v>37</v>
      </c>
      <c r="R166" t="s">
        <v>38</v>
      </c>
      <c r="S166" t="s">
        <v>20</v>
      </c>
      <c r="T166">
        <v>10</v>
      </c>
      <c r="U166">
        <v>20</v>
      </c>
      <c r="V166" t="s">
        <v>39</v>
      </c>
    </row>
    <row r="167" spans="1:22">
      <c r="A167" t="s">
        <v>378</v>
      </c>
      <c r="B167" t="s">
        <v>379</v>
      </c>
      <c r="C167">
        <v>23</v>
      </c>
      <c r="D167" t="s">
        <v>16</v>
      </c>
      <c r="E167" t="s">
        <v>61</v>
      </c>
      <c r="F167" t="s">
        <v>27</v>
      </c>
      <c r="G167" t="s">
        <v>1046</v>
      </c>
      <c r="H167" t="s">
        <v>1060</v>
      </c>
      <c r="I167">
        <v>29000</v>
      </c>
      <c r="J167">
        <v>12</v>
      </c>
      <c r="K167">
        <v>0</v>
      </c>
      <c r="L167">
        <v>4</v>
      </c>
      <c r="M167">
        <v>7000</v>
      </c>
      <c r="N167">
        <v>90</v>
      </c>
      <c r="O167">
        <v>12</v>
      </c>
      <c r="P167">
        <v>5</v>
      </c>
      <c r="Q167" t="s">
        <v>21</v>
      </c>
      <c r="R167" t="s">
        <v>38</v>
      </c>
      <c r="S167" t="s">
        <v>20</v>
      </c>
      <c r="T167">
        <v>5</v>
      </c>
      <c r="U167">
        <v>20</v>
      </c>
      <c r="V167" t="s">
        <v>22</v>
      </c>
    </row>
    <row r="168" spans="1:22">
      <c r="A168" t="s">
        <v>380</v>
      </c>
      <c r="B168" t="s">
        <v>381</v>
      </c>
      <c r="C168">
        <v>20</v>
      </c>
      <c r="D168" t="s">
        <v>34</v>
      </c>
      <c r="E168" t="s">
        <v>65</v>
      </c>
      <c r="F168" t="s">
        <v>36</v>
      </c>
      <c r="G168" t="s">
        <v>1047</v>
      </c>
      <c r="H168" t="s">
        <v>1059</v>
      </c>
      <c r="I168">
        <v>9000</v>
      </c>
      <c r="J168">
        <v>12</v>
      </c>
      <c r="K168">
        <v>0</v>
      </c>
      <c r="L168">
        <v>1</v>
      </c>
      <c r="N168">
        <v>95</v>
      </c>
      <c r="O168">
        <v>12</v>
      </c>
      <c r="P168">
        <v>3</v>
      </c>
      <c r="Q168" t="s">
        <v>21</v>
      </c>
      <c r="R168" t="s">
        <v>28</v>
      </c>
      <c r="S168" t="s">
        <v>20</v>
      </c>
      <c r="U168">
        <v>10</v>
      </c>
      <c r="V168" t="s">
        <v>39</v>
      </c>
    </row>
    <row r="169" spans="1:22">
      <c r="A169" t="s">
        <v>382</v>
      </c>
      <c r="B169" t="s">
        <v>383</v>
      </c>
      <c r="C169">
        <v>21</v>
      </c>
      <c r="D169" t="s">
        <v>25</v>
      </c>
      <c r="E169" t="s">
        <v>47</v>
      </c>
      <c r="F169" t="s">
        <v>42</v>
      </c>
      <c r="G169" t="s">
        <v>1046</v>
      </c>
      <c r="H169" t="s">
        <v>1060</v>
      </c>
      <c r="I169">
        <v>24000</v>
      </c>
      <c r="J169">
        <v>12</v>
      </c>
      <c r="K169">
        <v>2</v>
      </c>
      <c r="L169">
        <v>5</v>
      </c>
      <c r="M169">
        <v>9000</v>
      </c>
      <c r="N169">
        <v>80</v>
      </c>
      <c r="O169">
        <v>5</v>
      </c>
      <c r="P169">
        <v>1</v>
      </c>
      <c r="R169" t="s">
        <v>38</v>
      </c>
      <c r="S169" t="s">
        <v>20</v>
      </c>
      <c r="U169">
        <v>20</v>
      </c>
      <c r="V169" t="s">
        <v>58</v>
      </c>
    </row>
    <row r="170" spans="1:22">
      <c r="A170" t="s">
        <v>384</v>
      </c>
      <c r="B170" t="s">
        <v>385</v>
      </c>
      <c r="C170">
        <v>20</v>
      </c>
      <c r="D170" t="s">
        <v>25</v>
      </c>
      <c r="E170" t="s">
        <v>61</v>
      </c>
      <c r="F170" t="s">
        <v>36</v>
      </c>
      <c r="G170" t="s">
        <v>1047</v>
      </c>
      <c r="H170" t="s">
        <v>1060</v>
      </c>
      <c r="I170">
        <v>9000</v>
      </c>
      <c r="J170">
        <v>12</v>
      </c>
      <c r="K170">
        <v>1</v>
      </c>
      <c r="L170">
        <v>1</v>
      </c>
      <c r="N170">
        <v>85</v>
      </c>
      <c r="O170">
        <v>15</v>
      </c>
      <c r="P170">
        <v>3</v>
      </c>
      <c r="Q170" t="s">
        <v>21</v>
      </c>
      <c r="R170" t="s">
        <v>38</v>
      </c>
      <c r="S170" t="s">
        <v>20</v>
      </c>
      <c r="T170">
        <v>10</v>
      </c>
      <c r="V170" t="s">
        <v>39</v>
      </c>
    </row>
    <row r="171" spans="1:22">
      <c r="A171" t="s">
        <v>386</v>
      </c>
      <c r="B171" t="s">
        <v>387</v>
      </c>
      <c r="C171">
        <v>24</v>
      </c>
      <c r="D171" t="s">
        <v>46</v>
      </c>
      <c r="E171" t="s">
        <v>26</v>
      </c>
      <c r="F171" t="s">
        <v>42</v>
      </c>
      <c r="G171" t="s">
        <v>1048</v>
      </c>
      <c r="H171" t="s">
        <v>1060</v>
      </c>
      <c r="I171">
        <v>65600</v>
      </c>
      <c r="J171">
        <v>12</v>
      </c>
      <c r="K171">
        <v>5</v>
      </c>
      <c r="L171">
        <v>3</v>
      </c>
      <c r="M171">
        <v>19000</v>
      </c>
      <c r="N171">
        <v>80</v>
      </c>
      <c r="O171">
        <v>5</v>
      </c>
      <c r="P171">
        <v>5</v>
      </c>
      <c r="Q171" t="s">
        <v>37</v>
      </c>
      <c r="R171" t="s">
        <v>38</v>
      </c>
      <c r="S171" t="s">
        <v>20</v>
      </c>
      <c r="T171">
        <v>10</v>
      </c>
      <c r="U171">
        <v>30</v>
      </c>
      <c r="V171" t="s">
        <v>22</v>
      </c>
    </row>
    <row r="172" spans="1:22">
      <c r="A172" t="s">
        <v>388</v>
      </c>
      <c r="B172" t="s">
        <v>389</v>
      </c>
      <c r="C172">
        <v>25</v>
      </c>
      <c r="D172" t="s">
        <v>34</v>
      </c>
      <c r="E172" t="s">
        <v>65</v>
      </c>
      <c r="F172" t="s">
        <v>18</v>
      </c>
      <c r="G172" t="s">
        <v>43</v>
      </c>
      <c r="H172" t="s">
        <v>1059</v>
      </c>
      <c r="I172">
        <v>24000</v>
      </c>
      <c r="J172">
        <v>12</v>
      </c>
      <c r="K172">
        <v>1</v>
      </c>
      <c r="L172">
        <v>1</v>
      </c>
      <c r="N172">
        <v>95</v>
      </c>
      <c r="O172">
        <v>15</v>
      </c>
      <c r="P172">
        <v>3</v>
      </c>
      <c r="Q172" t="s">
        <v>37</v>
      </c>
      <c r="R172" t="s">
        <v>28</v>
      </c>
      <c r="S172" t="s">
        <v>20</v>
      </c>
      <c r="U172">
        <v>30</v>
      </c>
      <c r="V172" t="s">
        <v>39</v>
      </c>
    </row>
    <row r="173" spans="1:22">
      <c r="A173" t="s">
        <v>390</v>
      </c>
      <c r="B173" t="s">
        <v>391</v>
      </c>
      <c r="C173">
        <v>33</v>
      </c>
      <c r="D173" t="s">
        <v>34</v>
      </c>
      <c r="E173" t="s">
        <v>26</v>
      </c>
      <c r="F173" t="s">
        <v>31</v>
      </c>
      <c r="G173" t="s">
        <v>82</v>
      </c>
      <c r="H173" t="s">
        <v>1060</v>
      </c>
      <c r="I173">
        <v>88000</v>
      </c>
      <c r="J173">
        <v>12</v>
      </c>
      <c r="K173">
        <v>7</v>
      </c>
      <c r="L173">
        <v>3</v>
      </c>
      <c r="M173">
        <v>26000</v>
      </c>
      <c r="N173">
        <v>95</v>
      </c>
      <c r="O173">
        <v>12</v>
      </c>
      <c r="P173">
        <v>12</v>
      </c>
      <c r="Q173" t="s">
        <v>21</v>
      </c>
      <c r="R173" t="s">
        <v>38</v>
      </c>
      <c r="S173" t="s">
        <v>20</v>
      </c>
      <c r="T173">
        <v>10</v>
      </c>
      <c r="U173">
        <v>20</v>
      </c>
      <c r="V173" t="s">
        <v>22</v>
      </c>
    </row>
    <row r="174" spans="1:22">
      <c r="A174" t="s">
        <v>392</v>
      </c>
      <c r="B174" t="s">
        <v>393</v>
      </c>
      <c r="C174">
        <v>49</v>
      </c>
      <c r="D174" t="s">
        <v>34</v>
      </c>
      <c r="E174" t="s">
        <v>26</v>
      </c>
      <c r="F174" t="s">
        <v>66</v>
      </c>
      <c r="G174" t="s">
        <v>1050</v>
      </c>
      <c r="H174" t="s">
        <v>1060</v>
      </c>
      <c r="I174">
        <v>140000</v>
      </c>
      <c r="J174">
        <v>12</v>
      </c>
      <c r="K174">
        <v>17</v>
      </c>
      <c r="L174">
        <v>2</v>
      </c>
      <c r="N174">
        <v>80</v>
      </c>
      <c r="O174">
        <v>15</v>
      </c>
      <c r="P174">
        <v>1</v>
      </c>
      <c r="Q174" t="s">
        <v>37</v>
      </c>
      <c r="R174" t="s">
        <v>38</v>
      </c>
      <c r="S174" t="s">
        <v>20</v>
      </c>
      <c r="U174">
        <v>10</v>
      </c>
      <c r="V174" t="s">
        <v>39</v>
      </c>
    </row>
    <row r="175" spans="1:22">
      <c r="A175" t="s">
        <v>394</v>
      </c>
      <c r="B175" t="s">
        <v>395</v>
      </c>
      <c r="C175">
        <v>20</v>
      </c>
      <c r="D175" t="s">
        <v>34</v>
      </c>
      <c r="E175" t="s">
        <v>17</v>
      </c>
      <c r="F175" t="s">
        <v>36</v>
      </c>
      <c r="G175" t="s">
        <v>1046</v>
      </c>
      <c r="H175" t="s">
        <v>1060</v>
      </c>
      <c r="I175">
        <v>20000</v>
      </c>
      <c r="J175">
        <v>12</v>
      </c>
      <c r="K175">
        <v>1</v>
      </c>
      <c r="L175">
        <v>4</v>
      </c>
      <c r="M175">
        <v>7000</v>
      </c>
      <c r="N175">
        <v>80</v>
      </c>
      <c r="O175">
        <v>5</v>
      </c>
      <c r="P175">
        <v>1</v>
      </c>
      <c r="Q175" t="s">
        <v>37</v>
      </c>
      <c r="R175" t="s">
        <v>19</v>
      </c>
      <c r="S175" t="s">
        <v>20</v>
      </c>
      <c r="T175">
        <v>20</v>
      </c>
      <c r="U175">
        <v>20</v>
      </c>
      <c r="V175" t="s">
        <v>22</v>
      </c>
    </row>
    <row r="176" spans="1:22">
      <c r="A176" t="s">
        <v>396</v>
      </c>
      <c r="B176" t="s">
        <v>397</v>
      </c>
      <c r="C176">
        <v>35</v>
      </c>
      <c r="D176" t="s">
        <v>34</v>
      </c>
      <c r="E176" t="s">
        <v>64</v>
      </c>
      <c r="F176" t="s">
        <v>66</v>
      </c>
      <c r="G176" t="s">
        <v>82</v>
      </c>
      <c r="H176" t="s">
        <v>1060</v>
      </c>
      <c r="I176">
        <v>87000</v>
      </c>
      <c r="J176">
        <v>12</v>
      </c>
      <c r="K176">
        <v>9</v>
      </c>
      <c r="L176">
        <v>1</v>
      </c>
      <c r="N176">
        <v>85</v>
      </c>
      <c r="O176">
        <v>15</v>
      </c>
      <c r="P176">
        <v>1</v>
      </c>
      <c r="Q176" t="s">
        <v>21</v>
      </c>
      <c r="R176" t="s">
        <v>38</v>
      </c>
      <c r="S176" t="s">
        <v>20</v>
      </c>
      <c r="T176">
        <v>5</v>
      </c>
      <c r="V176" t="s">
        <v>39</v>
      </c>
    </row>
    <row r="177" spans="1:22">
      <c r="A177" t="s">
        <v>398</v>
      </c>
      <c r="B177" t="s">
        <v>399</v>
      </c>
      <c r="C177">
        <v>40</v>
      </c>
      <c r="E177" t="s">
        <v>17</v>
      </c>
      <c r="F177" t="s">
        <v>36</v>
      </c>
      <c r="G177" t="s">
        <v>1050</v>
      </c>
      <c r="H177" t="s">
        <v>1060</v>
      </c>
      <c r="I177">
        <v>145000</v>
      </c>
      <c r="J177">
        <v>12</v>
      </c>
      <c r="K177">
        <v>20</v>
      </c>
      <c r="L177">
        <v>4</v>
      </c>
      <c r="M177">
        <v>60000</v>
      </c>
      <c r="N177">
        <v>95</v>
      </c>
      <c r="O177">
        <v>12</v>
      </c>
      <c r="P177">
        <v>5</v>
      </c>
      <c r="Q177" t="s">
        <v>37</v>
      </c>
      <c r="R177" t="s">
        <v>19</v>
      </c>
      <c r="S177" t="s">
        <v>20</v>
      </c>
      <c r="V177" t="s">
        <v>22</v>
      </c>
    </row>
    <row r="178" spans="1:22">
      <c r="A178" t="s">
        <v>400</v>
      </c>
      <c r="B178" t="s">
        <v>401</v>
      </c>
      <c r="C178">
        <v>23</v>
      </c>
      <c r="D178" t="s">
        <v>25</v>
      </c>
      <c r="E178" t="s">
        <v>73</v>
      </c>
      <c r="F178" t="s">
        <v>42</v>
      </c>
      <c r="G178" t="s">
        <v>43</v>
      </c>
      <c r="H178" t="s">
        <v>1060</v>
      </c>
      <c r="I178">
        <v>28000</v>
      </c>
      <c r="J178">
        <v>12</v>
      </c>
      <c r="K178">
        <v>2</v>
      </c>
      <c r="L178">
        <v>4</v>
      </c>
      <c r="M178">
        <v>16000</v>
      </c>
      <c r="N178">
        <v>95</v>
      </c>
      <c r="O178">
        <v>5</v>
      </c>
      <c r="P178">
        <v>2</v>
      </c>
      <c r="Q178" t="s">
        <v>21</v>
      </c>
      <c r="R178" t="s">
        <v>38</v>
      </c>
      <c r="S178" t="s">
        <v>20</v>
      </c>
      <c r="U178">
        <v>10</v>
      </c>
      <c r="V178" t="s">
        <v>22</v>
      </c>
    </row>
    <row r="179" spans="1:22">
      <c r="A179" t="s">
        <v>402</v>
      </c>
      <c r="B179" t="s">
        <v>403</v>
      </c>
      <c r="C179">
        <v>31</v>
      </c>
      <c r="E179" t="s">
        <v>57</v>
      </c>
      <c r="F179" t="s">
        <v>66</v>
      </c>
      <c r="G179" t="s">
        <v>82</v>
      </c>
      <c r="H179" t="s">
        <v>1060</v>
      </c>
      <c r="I179">
        <v>87000</v>
      </c>
      <c r="J179">
        <v>12</v>
      </c>
      <c r="K179">
        <v>7</v>
      </c>
      <c r="L179">
        <v>4</v>
      </c>
      <c r="M179">
        <v>23316</v>
      </c>
      <c r="N179">
        <v>80</v>
      </c>
      <c r="O179">
        <v>15</v>
      </c>
      <c r="P179">
        <v>2</v>
      </c>
      <c r="Q179" t="s">
        <v>21</v>
      </c>
      <c r="R179" t="s">
        <v>38</v>
      </c>
      <c r="S179" t="s">
        <v>20</v>
      </c>
      <c r="T179">
        <v>20</v>
      </c>
      <c r="U179">
        <v>10</v>
      </c>
      <c r="V179" t="s">
        <v>22</v>
      </c>
    </row>
    <row r="180" spans="1:22">
      <c r="A180" t="s">
        <v>404</v>
      </c>
      <c r="B180" t="s">
        <v>405</v>
      </c>
      <c r="C180">
        <v>25</v>
      </c>
      <c r="D180" t="s">
        <v>25</v>
      </c>
      <c r="E180" t="s">
        <v>73</v>
      </c>
      <c r="F180" t="s">
        <v>42</v>
      </c>
      <c r="G180" t="s">
        <v>43</v>
      </c>
      <c r="H180" t="s">
        <v>1060</v>
      </c>
      <c r="I180">
        <v>28000</v>
      </c>
      <c r="J180">
        <v>12</v>
      </c>
      <c r="K180">
        <v>2</v>
      </c>
      <c r="L180">
        <v>1</v>
      </c>
      <c r="N180">
        <v>80</v>
      </c>
      <c r="O180">
        <v>12</v>
      </c>
      <c r="P180">
        <v>7</v>
      </c>
      <c r="R180" t="s">
        <v>38</v>
      </c>
      <c r="S180" t="s">
        <v>20</v>
      </c>
      <c r="T180">
        <v>10</v>
      </c>
      <c r="U180">
        <v>20</v>
      </c>
      <c r="V180" t="s">
        <v>39</v>
      </c>
    </row>
    <row r="181" spans="1:22">
      <c r="A181" t="s">
        <v>406</v>
      </c>
      <c r="B181" t="s">
        <v>407</v>
      </c>
      <c r="C181">
        <v>21</v>
      </c>
      <c r="D181" t="s">
        <v>16</v>
      </c>
      <c r="E181" t="s">
        <v>64</v>
      </c>
      <c r="F181" t="s">
        <v>18</v>
      </c>
      <c r="G181" t="s">
        <v>1046</v>
      </c>
      <c r="H181" t="s">
        <v>1060</v>
      </c>
      <c r="I181">
        <v>29000</v>
      </c>
      <c r="J181">
        <v>12</v>
      </c>
      <c r="K181">
        <v>1</v>
      </c>
      <c r="L181">
        <v>3</v>
      </c>
      <c r="M181">
        <v>5000</v>
      </c>
      <c r="N181">
        <v>95</v>
      </c>
      <c r="O181">
        <v>5</v>
      </c>
      <c r="P181">
        <v>2</v>
      </c>
      <c r="Q181" t="s">
        <v>37</v>
      </c>
      <c r="R181" t="s">
        <v>19</v>
      </c>
      <c r="S181" t="s">
        <v>20</v>
      </c>
      <c r="T181">
        <v>10</v>
      </c>
      <c r="U181">
        <v>10</v>
      </c>
      <c r="V181" t="s">
        <v>22</v>
      </c>
    </row>
    <row r="182" spans="1:22">
      <c r="A182" t="s">
        <v>408</v>
      </c>
      <c r="B182" t="s">
        <v>409</v>
      </c>
      <c r="C182">
        <v>23</v>
      </c>
      <c r="D182" t="s">
        <v>34</v>
      </c>
      <c r="E182" t="s">
        <v>57</v>
      </c>
      <c r="F182" t="s">
        <v>66</v>
      </c>
      <c r="G182" t="s">
        <v>43</v>
      </c>
      <c r="H182" t="s">
        <v>1060</v>
      </c>
      <c r="I182">
        <v>24000</v>
      </c>
      <c r="J182">
        <v>12</v>
      </c>
      <c r="K182">
        <v>1</v>
      </c>
      <c r="L182">
        <v>3</v>
      </c>
      <c r="M182">
        <v>13400</v>
      </c>
      <c r="N182">
        <v>87</v>
      </c>
      <c r="O182">
        <v>10</v>
      </c>
      <c r="P182">
        <v>3</v>
      </c>
      <c r="Q182" t="s">
        <v>21</v>
      </c>
      <c r="R182" t="s">
        <v>38</v>
      </c>
      <c r="S182" t="s">
        <v>20</v>
      </c>
      <c r="T182">
        <v>5</v>
      </c>
      <c r="U182">
        <v>30</v>
      </c>
      <c r="V182" t="s">
        <v>22</v>
      </c>
    </row>
    <row r="183" spans="1:22">
      <c r="A183" t="s">
        <v>410</v>
      </c>
      <c r="B183" t="s">
        <v>411</v>
      </c>
      <c r="C183">
        <v>22</v>
      </c>
      <c r="E183" t="s">
        <v>57</v>
      </c>
      <c r="F183" t="s">
        <v>36</v>
      </c>
      <c r="G183" t="s">
        <v>1046</v>
      </c>
      <c r="H183" t="s">
        <v>1060</v>
      </c>
      <c r="I183">
        <v>20000</v>
      </c>
      <c r="J183">
        <v>12</v>
      </c>
      <c r="K183">
        <v>2</v>
      </c>
      <c r="L183">
        <v>4</v>
      </c>
      <c r="M183">
        <v>7000</v>
      </c>
      <c r="N183">
        <v>80</v>
      </c>
      <c r="O183">
        <v>5</v>
      </c>
      <c r="P183">
        <v>1</v>
      </c>
      <c r="Q183" t="s">
        <v>37</v>
      </c>
      <c r="R183" t="s">
        <v>19</v>
      </c>
      <c r="S183" t="s">
        <v>20</v>
      </c>
      <c r="T183">
        <v>20</v>
      </c>
      <c r="U183">
        <v>20</v>
      </c>
      <c r="V183" t="s">
        <v>58</v>
      </c>
    </row>
    <row r="184" spans="1:22">
      <c r="A184" t="s">
        <v>412</v>
      </c>
      <c r="B184" t="s">
        <v>413</v>
      </c>
      <c r="C184">
        <v>22</v>
      </c>
      <c r="D184" t="s">
        <v>25</v>
      </c>
      <c r="E184" t="s">
        <v>17</v>
      </c>
      <c r="F184" t="s">
        <v>66</v>
      </c>
      <c r="G184" t="s">
        <v>1046</v>
      </c>
      <c r="H184" t="s">
        <v>1060</v>
      </c>
      <c r="I184">
        <v>20000</v>
      </c>
      <c r="J184">
        <v>12</v>
      </c>
      <c r="K184">
        <v>2</v>
      </c>
      <c r="L184">
        <v>2</v>
      </c>
      <c r="N184">
        <v>80</v>
      </c>
      <c r="O184">
        <v>12</v>
      </c>
      <c r="P184">
        <v>2</v>
      </c>
      <c r="Q184" t="s">
        <v>21</v>
      </c>
      <c r="R184" t="s">
        <v>38</v>
      </c>
      <c r="S184" t="s">
        <v>33</v>
      </c>
      <c r="T184">
        <v>20</v>
      </c>
      <c r="U184">
        <v>10</v>
      </c>
      <c r="V184" t="s">
        <v>39</v>
      </c>
    </row>
    <row r="185" spans="1:22">
      <c r="A185" t="s">
        <v>414</v>
      </c>
      <c r="B185" t="s">
        <v>415</v>
      </c>
      <c r="C185">
        <v>20</v>
      </c>
      <c r="D185" t="s">
        <v>25</v>
      </c>
      <c r="E185" t="s">
        <v>17</v>
      </c>
      <c r="F185" t="s">
        <v>18</v>
      </c>
      <c r="G185" t="s">
        <v>1046</v>
      </c>
      <c r="H185" t="s">
        <v>1060</v>
      </c>
      <c r="I185">
        <v>29000</v>
      </c>
      <c r="J185">
        <v>12</v>
      </c>
      <c r="K185">
        <v>1</v>
      </c>
      <c r="L185">
        <v>5</v>
      </c>
      <c r="M185">
        <v>9000</v>
      </c>
      <c r="N185">
        <v>90</v>
      </c>
      <c r="O185">
        <v>12</v>
      </c>
      <c r="P185">
        <v>10</v>
      </c>
      <c r="R185" t="s">
        <v>19</v>
      </c>
      <c r="S185" t="s">
        <v>20</v>
      </c>
      <c r="T185">
        <v>10</v>
      </c>
      <c r="V185" t="s">
        <v>58</v>
      </c>
    </row>
    <row r="186" spans="1:22">
      <c r="A186" t="s">
        <v>416</v>
      </c>
      <c r="B186" t="s">
        <v>417</v>
      </c>
      <c r="C186">
        <v>23</v>
      </c>
      <c r="E186" t="s">
        <v>35</v>
      </c>
      <c r="F186" t="s">
        <v>27</v>
      </c>
      <c r="G186" t="s">
        <v>1046</v>
      </c>
      <c r="H186" t="s">
        <v>1060</v>
      </c>
      <c r="I186">
        <v>20000</v>
      </c>
      <c r="J186">
        <v>12</v>
      </c>
      <c r="K186">
        <v>1</v>
      </c>
      <c r="L186">
        <v>1</v>
      </c>
      <c r="N186">
        <v>95</v>
      </c>
      <c r="O186">
        <v>12</v>
      </c>
      <c r="P186">
        <v>5</v>
      </c>
      <c r="Q186" t="s">
        <v>21</v>
      </c>
      <c r="R186" t="s">
        <v>38</v>
      </c>
      <c r="S186" t="s">
        <v>33</v>
      </c>
      <c r="U186">
        <v>30</v>
      </c>
      <c r="V186" t="s">
        <v>39</v>
      </c>
    </row>
    <row r="187" spans="1:22">
      <c r="A187" t="s">
        <v>418</v>
      </c>
      <c r="B187" t="s">
        <v>419</v>
      </c>
      <c r="C187">
        <v>22</v>
      </c>
      <c r="D187" t="s">
        <v>16</v>
      </c>
      <c r="E187" t="s">
        <v>35</v>
      </c>
      <c r="F187" t="s">
        <v>36</v>
      </c>
      <c r="G187" t="s">
        <v>1046</v>
      </c>
      <c r="H187" t="s">
        <v>1060</v>
      </c>
      <c r="I187">
        <v>29000</v>
      </c>
      <c r="J187">
        <v>12</v>
      </c>
      <c r="K187">
        <v>0</v>
      </c>
      <c r="L187">
        <v>4</v>
      </c>
      <c r="M187">
        <v>7000</v>
      </c>
      <c r="N187">
        <v>80</v>
      </c>
      <c r="O187">
        <v>15</v>
      </c>
      <c r="P187">
        <v>5</v>
      </c>
      <c r="R187" t="s">
        <v>38</v>
      </c>
      <c r="S187" t="s">
        <v>20</v>
      </c>
      <c r="T187">
        <v>5</v>
      </c>
      <c r="V187" t="s">
        <v>22</v>
      </c>
    </row>
    <row r="188" spans="1:22">
      <c r="A188" t="s">
        <v>420</v>
      </c>
      <c r="B188" t="s">
        <v>421</v>
      </c>
      <c r="C188">
        <v>28</v>
      </c>
      <c r="D188" t="s">
        <v>16</v>
      </c>
      <c r="E188" t="s">
        <v>50</v>
      </c>
      <c r="F188" t="s">
        <v>18</v>
      </c>
      <c r="G188" t="s">
        <v>1048</v>
      </c>
      <c r="H188" t="s">
        <v>1060</v>
      </c>
      <c r="I188">
        <v>55000</v>
      </c>
      <c r="J188">
        <v>12</v>
      </c>
      <c r="K188">
        <v>3</v>
      </c>
      <c r="L188">
        <v>4</v>
      </c>
      <c r="M188">
        <v>24000</v>
      </c>
      <c r="N188">
        <v>80</v>
      </c>
      <c r="O188">
        <v>10</v>
      </c>
      <c r="P188">
        <v>2</v>
      </c>
      <c r="Q188" t="s">
        <v>21</v>
      </c>
      <c r="R188" t="s">
        <v>38</v>
      </c>
      <c r="S188" t="s">
        <v>20</v>
      </c>
      <c r="T188">
        <v>5</v>
      </c>
      <c r="V188" t="s">
        <v>22</v>
      </c>
    </row>
    <row r="189" spans="1:22">
      <c r="A189" t="s">
        <v>422</v>
      </c>
      <c r="B189" t="s">
        <v>423</v>
      </c>
      <c r="C189">
        <v>24</v>
      </c>
      <c r="D189" t="s">
        <v>34</v>
      </c>
      <c r="E189" t="s">
        <v>17</v>
      </c>
      <c r="F189" t="s">
        <v>18</v>
      </c>
      <c r="G189" t="s">
        <v>1046</v>
      </c>
      <c r="H189" t="s">
        <v>1060</v>
      </c>
      <c r="I189">
        <v>29000</v>
      </c>
      <c r="J189">
        <v>12</v>
      </c>
      <c r="K189">
        <v>0</v>
      </c>
      <c r="L189">
        <v>2</v>
      </c>
      <c r="N189">
        <v>95</v>
      </c>
      <c r="O189">
        <v>12</v>
      </c>
      <c r="P189">
        <v>11</v>
      </c>
      <c r="R189" t="s">
        <v>38</v>
      </c>
      <c r="S189" t="s">
        <v>20</v>
      </c>
      <c r="T189">
        <v>10</v>
      </c>
      <c r="U189">
        <v>10</v>
      </c>
      <c r="V189" t="s">
        <v>39</v>
      </c>
    </row>
    <row r="190" spans="1:22">
      <c r="A190" t="s">
        <v>424</v>
      </c>
      <c r="B190" t="s">
        <v>425</v>
      </c>
      <c r="C190">
        <v>40</v>
      </c>
      <c r="D190" t="s">
        <v>34</v>
      </c>
      <c r="E190" t="s">
        <v>26</v>
      </c>
      <c r="F190" t="s">
        <v>36</v>
      </c>
      <c r="G190" t="s">
        <v>32</v>
      </c>
      <c r="H190" t="s">
        <v>1060</v>
      </c>
      <c r="I190">
        <v>90000</v>
      </c>
      <c r="J190">
        <v>12</v>
      </c>
      <c r="K190">
        <v>12</v>
      </c>
      <c r="L190">
        <v>5</v>
      </c>
      <c r="M190">
        <v>27820</v>
      </c>
      <c r="N190">
        <v>87</v>
      </c>
      <c r="O190">
        <v>12</v>
      </c>
      <c r="P190">
        <v>3</v>
      </c>
      <c r="R190" t="s">
        <v>19</v>
      </c>
      <c r="S190" t="s">
        <v>33</v>
      </c>
      <c r="T190">
        <v>5</v>
      </c>
      <c r="U190">
        <v>10</v>
      </c>
      <c r="V190" t="s">
        <v>58</v>
      </c>
    </row>
    <row r="191" spans="1:22">
      <c r="A191" t="s">
        <v>426</v>
      </c>
      <c r="B191" t="s">
        <v>427</v>
      </c>
      <c r="C191">
        <v>23</v>
      </c>
      <c r="D191" t="s">
        <v>25</v>
      </c>
      <c r="E191" t="s">
        <v>26</v>
      </c>
      <c r="F191" t="s">
        <v>31</v>
      </c>
      <c r="G191" t="s">
        <v>1046</v>
      </c>
      <c r="H191" t="s">
        <v>1060</v>
      </c>
      <c r="I191">
        <v>29000</v>
      </c>
      <c r="J191">
        <v>12</v>
      </c>
      <c r="K191">
        <v>0</v>
      </c>
      <c r="L191">
        <v>5</v>
      </c>
      <c r="M191">
        <v>9000</v>
      </c>
      <c r="N191">
        <v>85</v>
      </c>
      <c r="O191">
        <v>10</v>
      </c>
      <c r="P191">
        <v>3</v>
      </c>
      <c r="R191" t="s">
        <v>19</v>
      </c>
      <c r="S191" t="s">
        <v>20</v>
      </c>
      <c r="T191">
        <v>20</v>
      </c>
      <c r="V191" t="s">
        <v>58</v>
      </c>
    </row>
    <row r="192" spans="1:22">
      <c r="A192" t="s">
        <v>428</v>
      </c>
      <c r="B192" t="s">
        <v>429</v>
      </c>
      <c r="C192">
        <v>23</v>
      </c>
      <c r="D192" t="s">
        <v>16</v>
      </c>
      <c r="E192" t="s">
        <v>64</v>
      </c>
      <c r="F192" t="s">
        <v>36</v>
      </c>
      <c r="G192" t="s">
        <v>1046</v>
      </c>
      <c r="H192" t="s">
        <v>1060</v>
      </c>
      <c r="I192">
        <v>29000</v>
      </c>
      <c r="J192">
        <v>12</v>
      </c>
      <c r="K192">
        <v>2</v>
      </c>
      <c r="L192">
        <v>2</v>
      </c>
      <c r="N192">
        <v>85</v>
      </c>
      <c r="O192">
        <v>12</v>
      </c>
      <c r="P192">
        <v>3</v>
      </c>
      <c r="Q192" t="s">
        <v>21</v>
      </c>
      <c r="R192" t="s">
        <v>19</v>
      </c>
      <c r="S192" t="s">
        <v>20</v>
      </c>
      <c r="T192">
        <v>20</v>
      </c>
      <c r="U192">
        <v>10</v>
      </c>
      <c r="V192" t="s">
        <v>39</v>
      </c>
    </row>
    <row r="193" spans="1:22">
      <c r="A193" t="s">
        <v>430</v>
      </c>
      <c r="B193" t="s">
        <v>431</v>
      </c>
      <c r="C193">
        <v>20</v>
      </c>
      <c r="E193" t="s">
        <v>65</v>
      </c>
      <c r="F193" t="s">
        <v>31</v>
      </c>
      <c r="G193" t="s">
        <v>1046</v>
      </c>
      <c r="H193" t="s">
        <v>1060</v>
      </c>
      <c r="I193">
        <v>29000</v>
      </c>
      <c r="J193">
        <v>12</v>
      </c>
      <c r="K193">
        <v>1</v>
      </c>
      <c r="L193">
        <v>4</v>
      </c>
      <c r="M193">
        <v>7000</v>
      </c>
      <c r="N193">
        <v>95</v>
      </c>
      <c r="O193">
        <v>12</v>
      </c>
      <c r="P193">
        <v>5</v>
      </c>
      <c r="Q193" t="s">
        <v>21</v>
      </c>
      <c r="R193" t="s">
        <v>38</v>
      </c>
      <c r="S193" t="s">
        <v>33</v>
      </c>
      <c r="V193" t="s">
        <v>22</v>
      </c>
    </row>
    <row r="194" spans="1:22">
      <c r="A194" t="s">
        <v>432</v>
      </c>
      <c r="B194" t="s">
        <v>433</v>
      </c>
      <c r="C194">
        <v>22</v>
      </c>
      <c r="E194" t="s">
        <v>50</v>
      </c>
      <c r="F194" t="s">
        <v>42</v>
      </c>
      <c r="G194" t="s">
        <v>1046</v>
      </c>
      <c r="H194" t="s">
        <v>1060</v>
      </c>
      <c r="I194">
        <v>29000</v>
      </c>
      <c r="J194">
        <v>12</v>
      </c>
      <c r="K194">
        <v>0</v>
      </c>
      <c r="L194">
        <v>3</v>
      </c>
      <c r="M194">
        <v>7000</v>
      </c>
      <c r="N194">
        <v>90</v>
      </c>
      <c r="O194">
        <v>5</v>
      </c>
      <c r="P194">
        <v>5</v>
      </c>
      <c r="Q194" t="s">
        <v>37</v>
      </c>
      <c r="R194" t="s">
        <v>38</v>
      </c>
      <c r="S194" t="s">
        <v>33</v>
      </c>
      <c r="V194" t="s">
        <v>22</v>
      </c>
    </row>
    <row r="195" spans="1:22">
      <c r="A195" t="s">
        <v>434</v>
      </c>
      <c r="B195" t="s">
        <v>435</v>
      </c>
      <c r="C195">
        <v>20</v>
      </c>
      <c r="D195" t="s">
        <v>16</v>
      </c>
      <c r="E195" t="s">
        <v>47</v>
      </c>
      <c r="F195" t="s">
        <v>36</v>
      </c>
      <c r="G195" t="s">
        <v>1046</v>
      </c>
      <c r="H195" t="s">
        <v>1060</v>
      </c>
      <c r="I195">
        <v>29000</v>
      </c>
      <c r="J195">
        <v>12</v>
      </c>
      <c r="K195">
        <v>0</v>
      </c>
      <c r="L195">
        <v>3</v>
      </c>
      <c r="M195">
        <v>5000</v>
      </c>
      <c r="N195">
        <v>85</v>
      </c>
      <c r="O195">
        <v>15</v>
      </c>
      <c r="P195">
        <v>1</v>
      </c>
      <c r="Q195" t="s">
        <v>37</v>
      </c>
      <c r="R195" t="s">
        <v>19</v>
      </c>
      <c r="S195" t="s">
        <v>33</v>
      </c>
      <c r="T195">
        <v>10</v>
      </c>
      <c r="V195" t="s">
        <v>22</v>
      </c>
    </row>
    <row r="196" spans="1:22">
      <c r="A196" t="s">
        <v>436</v>
      </c>
      <c r="B196" t="s">
        <v>437</v>
      </c>
      <c r="C196">
        <v>22</v>
      </c>
      <c r="D196" t="s">
        <v>25</v>
      </c>
      <c r="E196" t="s">
        <v>26</v>
      </c>
      <c r="F196" t="s">
        <v>18</v>
      </c>
      <c r="G196" t="s">
        <v>1046</v>
      </c>
      <c r="H196" t="s">
        <v>1059</v>
      </c>
      <c r="I196">
        <v>29000</v>
      </c>
      <c r="J196">
        <v>12</v>
      </c>
      <c r="K196">
        <v>1</v>
      </c>
      <c r="L196">
        <v>5</v>
      </c>
      <c r="M196">
        <v>9000</v>
      </c>
      <c r="N196">
        <v>85</v>
      </c>
      <c r="O196">
        <v>12</v>
      </c>
      <c r="P196">
        <v>12</v>
      </c>
      <c r="Q196" t="s">
        <v>21</v>
      </c>
      <c r="R196" t="s">
        <v>28</v>
      </c>
      <c r="S196" t="s">
        <v>20</v>
      </c>
      <c r="V196" t="s">
        <v>58</v>
      </c>
    </row>
    <row r="197" spans="1:22">
      <c r="A197" t="s">
        <v>438</v>
      </c>
      <c r="B197" t="s">
        <v>439</v>
      </c>
      <c r="C197">
        <v>23</v>
      </c>
      <c r="D197" t="s">
        <v>34</v>
      </c>
      <c r="E197" t="s">
        <v>73</v>
      </c>
      <c r="F197" t="s">
        <v>42</v>
      </c>
      <c r="G197" t="s">
        <v>1046</v>
      </c>
      <c r="H197" t="s">
        <v>1060</v>
      </c>
      <c r="I197">
        <v>29000</v>
      </c>
      <c r="J197">
        <v>12</v>
      </c>
      <c r="K197">
        <v>2</v>
      </c>
      <c r="L197">
        <v>3</v>
      </c>
      <c r="M197">
        <v>6000</v>
      </c>
      <c r="N197">
        <v>95</v>
      </c>
      <c r="O197">
        <v>5</v>
      </c>
      <c r="P197">
        <v>3</v>
      </c>
      <c r="Q197" t="s">
        <v>37</v>
      </c>
      <c r="R197" t="s">
        <v>19</v>
      </c>
      <c r="S197" t="s">
        <v>20</v>
      </c>
      <c r="T197">
        <v>20</v>
      </c>
      <c r="U197">
        <v>30</v>
      </c>
      <c r="V197" t="s">
        <v>22</v>
      </c>
    </row>
    <row r="198" spans="1:22">
      <c r="A198" t="s">
        <v>440</v>
      </c>
      <c r="B198" t="s">
        <v>441</v>
      </c>
      <c r="C198">
        <v>22</v>
      </c>
      <c r="D198" t="s">
        <v>46</v>
      </c>
      <c r="E198" t="s">
        <v>47</v>
      </c>
      <c r="F198" t="s">
        <v>36</v>
      </c>
      <c r="G198" t="s">
        <v>1046</v>
      </c>
      <c r="H198" t="s">
        <v>1060</v>
      </c>
      <c r="I198">
        <v>29000</v>
      </c>
      <c r="J198">
        <v>12</v>
      </c>
      <c r="K198">
        <v>0</v>
      </c>
      <c r="L198">
        <v>4</v>
      </c>
      <c r="M198">
        <v>7000</v>
      </c>
      <c r="N198">
        <v>87</v>
      </c>
      <c r="O198">
        <v>10</v>
      </c>
      <c r="P198">
        <v>8</v>
      </c>
      <c r="Q198" t="s">
        <v>37</v>
      </c>
      <c r="R198" t="s">
        <v>38</v>
      </c>
      <c r="S198" t="s">
        <v>20</v>
      </c>
      <c r="T198">
        <v>20</v>
      </c>
      <c r="U198">
        <v>30</v>
      </c>
      <c r="V198" t="s">
        <v>22</v>
      </c>
    </row>
    <row r="199" spans="1:22">
      <c r="A199" t="s">
        <v>442</v>
      </c>
      <c r="B199" t="s">
        <v>443</v>
      </c>
      <c r="C199">
        <v>23</v>
      </c>
      <c r="D199" t="s">
        <v>25</v>
      </c>
      <c r="E199" t="s">
        <v>65</v>
      </c>
      <c r="F199" t="s">
        <v>18</v>
      </c>
      <c r="G199" t="s">
        <v>43</v>
      </c>
      <c r="H199" t="s">
        <v>1060</v>
      </c>
      <c r="I199">
        <v>24000</v>
      </c>
      <c r="J199">
        <v>12</v>
      </c>
      <c r="K199">
        <v>1</v>
      </c>
      <c r="L199">
        <v>4</v>
      </c>
      <c r="M199">
        <v>16000</v>
      </c>
      <c r="N199">
        <v>85</v>
      </c>
      <c r="O199">
        <v>15</v>
      </c>
      <c r="P199">
        <v>2</v>
      </c>
      <c r="Q199" t="s">
        <v>21</v>
      </c>
      <c r="R199" t="s">
        <v>38</v>
      </c>
      <c r="S199" t="s">
        <v>20</v>
      </c>
      <c r="T199">
        <v>10</v>
      </c>
      <c r="U199">
        <v>10</v>
      </c>
      <c r="V199" t="s">
        <v>22</v>
      </c>
    </row>
    <row r="200" spans="1:22">
      <c r="A200" t="s">
        <v>444</v>
      </c>
      <c r="B200" t="s">
        <v>445</v>
      </c>
      <c r="C200">
        <v>23</v>
      </c>
      <c r="D200" t="s">
        <v>34</v>
      </c>
      <c r="E200" t="s">
        <v>57</v>
      </c>
      <c r="F200" t="s">
        <v>18</v>
      </c>
      <c r="G200" t="s">
        <v>43</v>
      </c>
      <c r="H200" t="s">
        <v>1060</v>
      </c>
      <c r="I200">
        <v>24000</v>
      </c>
      <c r="J200">
        <v>12</v>
      </c>
      <c r="K200">
        <v>1</v>
      </c>
      <c r="L200">
        <v>4</v>
      </c>
      <c r="M200">
        <v>16000</v>
      </c>
      <c r="N200">
        <v>80</v>
      </c>
      <c r="O200">
        <v>10</v>
      </c>
      <c r="P200">
        <v>2</v>
      </c>
      <c r="R200" t="s">
        <v>38</v>
      </c>
      <c r="S200" t="s">
        <v>20</v>
      </c>
      <c r="T200">
        <v>5</v>
      </c>
      <c r="U200">
        <v>20</v>
      </c>
      <c r="V200" t="s">
        <v>58</v>
      </c>
    </row>
    <row r="201" spans="1:22">
      <c r="A201" t="s">
        <v>446</v>
      </c>
      <c r="B201" t="s">
        <v>447</v>
      </c>
      <c r="C201">
        <v>23</v>
      </c>
      <c r="D201" t="s">
        <v>16</v>
      </c>
      <c r="E201" t="s">
        <v>26</v>
      </c>
      <c r="F201" t="s">
        <v>31</v>
      </c>
      <c r="G201" t="s">
        <v>43</v>
      </c>
      <c r="H201" t="s">
        <v>1060</v>
      </c>
      <c r="I201">
        <v>28000</v>
      </c>
      <c r="J201">
        <v>12</v>
      </c>
      <c r="K201">
        <v>2</v>
      </c>
      <c r="L201">
        <v>4</v>
      </c>
      <c r="M201">
        <v>16000</v>
      </c>
      <c r="N201">
        <v>85</v>
      </c>
      <c r="O201">
        <v>15</v>
      </c>
      <c r="P201">
        <v>3</v>
      </c>
      <c r="Q201" t="s">
        <v>37</v>
      </c>
      <c r="R201" t="s">
        <v>38</v>
      </c>
      <c r="S201" t="s">
        <v>20</v>
      </c>
      <c r="T201">
        <v>5</v>
      </c>
      <c r="U201">
        <v>30</v>
      </c>
      <c r="V201" t="s">
        <v>58</v>
      </c>
    </row>
    <row r="202" spans="1:22">
      <c r="A202" t="s">
        <v>448</v>
      </c>
      <c r="B202" t="s">
        <v>449</v>
      </c>
      <c r="C202">
        <v>24</v>
      </c>
      <c r="D202" t="s">
        <v>46</v>
      </c>
      <c r="E202" t="s">
        <v>35</v>
      </c>
      <c r="F202" t="s">
        <v>31</v>
      </c>
      <c r="G202" t="s">
        <v>43</v>
      </c>
      <c r="H202" t="s">
        <v>1060</v>
      </c>
      <c r="I202">
        <v>31500</v>
      </c>
      <c r="J202">
        <v>12</v>
      </c>
      <c r="K202">
        <v>2</v>
      </c>
      <c r="L202">
        <v>4</v>
      </c>
      <c r="M202">
        <v>16000</v>
      </c>
      <c r="N202">
        <v>85</v>
      </c>
      <c r="O202">
        <v>10</v>
      </c>
      <c r="P202">
        <v>2</v>
      </c>
      <c r="R202" t="s">
        <v>38</v>
      </c>
      <c r="S202" t="s">
        <v>20</v>
      </c>
      <c r="T202">
        <v>20</v>
      </c>
      <c r="U202">
        <v>30</v>
      </c>
      <c r="V202" t="s">
        <v>58</v>
      </c>
    </row>
    <row r="203" spans="1:22">
      <c r="A203" t="s">
        <v>450</v>
      </c>
      <c r="B203" t="s">
        <v>451</v>
      </c>
      <c r="C203">
        <v>23</v>
      </c>
      <c r="D203" t="s">
        <v>46</v>
      </c>
      <c r="E203" t="s">
        <v>17</v>
      </c>
      <c r="F203" t="s">
        <v>66</v>
      </c>
      <c r="G203" t="s">
        <v>43</v>
      </c>
      <c r="H203" t="s">
        <v>1060</v>
      </c>
      <c r="I203">
        <v>24000</v>
      </c>
      <c r="J203">
        <v>12</v>
      </c>
      <c r="K203">
        <v>1</v>
      </c>
      <c r="L203">
        <v>4</v>
      </c>
      <c r="M203">
        <v>16000</v>
      </c>
      <c r="N203">
        <v>80</v>
      </c>
      <c r="O203">
        <v>15</v>
      </c>
      <c r="P203">
        <v>5</v>
      </c>
      <c r="Q203" t="s">
        <v>21</v>
      </c>
      <c r="R203" t="s">
        <v>38</v>
      </c>
      <c r="S203" t="s">
        <v>33</v>
      </c>
      <c r="T203">
        <v>5</v>
      </c>
      <c r="V203" t="s">
        <v>22</v>
      </c>
    </row>
    <row r="204" spans="1:22">
      <c r="A204" t="s">
        <v>452</v>
      </c>
      <c r="B204" t="s">
        <v>453</v>
      </c>
      <c r="C204">
        <v>23</v>
      </c>
      <c r="D204" t="s">
        <v>46</v>
      </c>
      <c r="E204" t="s">
        <v>73</v>
      </c>
      <c r="F204" t="s">
        <v>31</v>
      </c>
      <c r="G204" t="s">
        <v>43</v>
      </c>
      <c r="H204" t="s">
        <v>1060</v>
      </c>
      <c r="I204">
        <v>22000</v>
      </c>
      <c r="J204">
        <v>12</v>
      </c>
      <c r="K204">
        <v>2</v>
      </c>
      <c r="L204">
        <v>4</v>
      </c>
      <c r="M204">
        <v>16000</v>
      </c>
      <c r="N204">
        <v>85</v>
      </c>
      <c r="O204">
        <v>5</v>
      </c>
      <c r="P204">
        <v>3</v>
      </c>
      <c r="Q204" t="s">
        <v>21</v>
      </c>
      <c r="R204" t="s">
        <v>38</v>
      </c>
      <c r="S204" t="s">
        <v>33</v>
      </c>
      <c r="U204">
        <v>30</v>
      </c>
      <c r="V204" t="s">
        <v>58</v>
      </c>
    </row>
    <row r="205" spans="1:22">
      <c r="A205" t="s">
        <v>454</v>
      </c>
      <c r="B205" t="s">
        <v>455</v>
      </c>
      <c r="C205">
        <v>36</v>
      </c>
      <c r="D205" t="s">
        <v>46</v>
      </c>
      <c r="E205" t="s">
        <v>73</v>
      </c>
      <c r="F205" t="s">
        <v>18</v>
      </c>
      <c r="G205" t="s">
        <v>32</v>
      </c>
      <c r="H205" t="s">
        <v>1059</v>
      </c>
      <c r="I205">
        <v>99000</v>
      </c>
      <c r="J205">
        <v>12</v>
      </c>
      <c r="K205">
        <v>12</v>
      </c>
      <c r="L205">
        <v>3</v>
      </c>
      <c r="M205">
        <v>34000</v>
      </c>
      <c r="N205">
        <v>95</v>
      </c>
      <c r="O205">
        <v>12</v>
      </c>
      <c r="P205">
        <v>2</v>
      </c>
      <c r="Q205" t="s">
        <v>21</v>
      </c>
      <c r="R205" t="s">
        <v>28</v>
      </c>
      <c r="S205" t="s">
        <v>33</v>
      </c>
      <c r="T205">
        <v>10</v>
      </c>
      <c r="U205">
        <v>10</v>
      </c>
      <c r="V205" t="s">
        <v>22</v>
      </c>
    </row>
    <row r="206" spans="1:22">
      <c r="A206" t="s">
        <v>456</v>
      </c>
      <c r="B206" t="s">
        <v>457</v>
      </c>
      <c r="C206">
        <v>28</v>
      </c>
      <c r="D206" t="s">
        <v>46</v>
      </c>
      <c r="E206" t="s">
        <v>61</v>
      </c>
      <c r="F206" t="s">
        <v>42</v>
      </c>
      <c r="G206" t="s">
        <v>1048</v>
      </c>
      <c r="H206" t="s">
        <v>1060</v>
      </c>
      <c r="I206">
        <v>53000</v>
      </c>
      <c r="J206">
        <v>12</v>
      </c>
      <c r="K206">
        <v>3</v>
      </c>
      <c r="L206">
        <v>3</v>
      </c>
      <c r="M206">
        <v>19000</v>
      </c>
      <c r="N206">
        <v>80</v>
      </c>
      <c r="O206">
        <v>10</v>
      </c>
      <c r="P206">
        <v>1</v>
      </c>
      <c r="Q206" t="s">
        <v>37</v>
      </c>
      <c r="R206" t="s">
        <v>19</v>
      </c>
      <c r="S206" t="s">
        <v>20</v>
      </c>
      <c r="T206">
        <v>20</v>
      </c>
      <c r="U206">
        <v>10</v>
      </c>
      <c r="V206" t="s">
        <v>22</v>
      </c>
    </row>
    <row r="207" spans="1:22">
      <c r="A207" t="s">
        <v>458</v>
      </c>
      <c r="B207" t="s">
        <v>459</v>
      </c>
      <c r="C207">
        <v>51</v>
      </c>
      <c r="E207" t="s">
        <v>57</v>
      </c>
      <c r="F207" t="s">
        <v>31</v>
      </c>
      <c r="G207" t="s">
        <v>1051</v>
      </c>
      <c r="H207" t="s">
        <v>1060</v>
      </c>
      <c r="I207">
        <v>150000</v>
      </c>
      <c r="J207">
        <v>12</v>
      </c>
      <c r="K207">
        <v>21</v>
      </c>
      <c r="L207">
        <v>4</v>
      </c>
      <c r="M207">
        <v>82000</v>
      </c>
      <c r="N207">
        <v>87</v>
      </c>
      <c r="O207">
        <v>5</v>
      </c>
      <c r="P207">
        <v>3</v>
      </c>
      <c r="R207" t="s">
        <v>38</v>
      </c>
      <c r="S207" t="s">
        <v>33</v>
      </c>
      <c r="U207">
        <v>10</v>
      </c>
      <c r="V207" t="s">
        <v>22</v>
      </c>
    </row>
    <row r="208" spans="1:22">
      <c r="A208" t="s">
        <v>460</v>
      </c>
      <c r="B208" t="s">
        <v>461</v>
      </c>
      <c r="C208">
        <v>24</v>
      </c>
      <c r="D208" t="s">
        <v>34</v>
      </c>
      <c r="E208" t="s">
        <v>65</v>
      </c>
      <c r="F208" t="s">
        <v>27</v>
      </c>
      <c r="G208" t="s">
        <v>43</v>
      </c>
      <c r="H208" t="s">
        <v>1059</v>
      </c>
      <c r="I208">
        <v>24000</v>
      </c>
      <c r="J208">
        <v>12</v>
      </c>
      <c r="K208">
        <v>1</v>
      </c>
      <c r="L208">
        <v>4</v>
      </c>
      <c r="M208">
        <v>16000</v>
      </c>
      <c r="N208">
        <v>88</v>
      </c>
      <c r="O208">
        <v>5</v>
      </c>
      <c r="P208">
        <v>2</v>
      </c>
      <c r="Q208" t="s">
        <v>37</v>
      </c>
      <c r="R208" t="s">
        <v>28</v>
      </c>
      <c r="S208" t="s">
        <v>20</v>
      </c>
      <c r="T208">
        <v>20</v>
      </c>
      <c r="U208">
        <v>30</v>
      </c>
      <c r="V208" t="s">
        <v>22</v>
      </c>
    </row>
    <row r="209" spans="1:22">
      <c r="A209" t="s">
        <v>462</v>
      </c>
      <c r="B209" t="s">
        <v>463</v>
      </c>
      <c r="C209">
        <v>23</v>
      </c>
      <c r="D209" t="s">
        <v>46</v>
      </c>
      <c r="E209" t="s">
        <v>47</v>
      </c>
      <c r="F209" t="s">
        <v>31</v>
      </c>
      <c r="G209" t="s">
        <v>43</v>
      </c>
      <c r="H209" t="s">
        <v>1060</v>
      </c>
      <c r="I209">
        <v>24000</v>
      </c>
      <c r="J209">
        <v>12</v>
      </c>
      <c r="K209">
        <v>1</v>
      </c>
      <c r="L209">
        <v>5</v>
      </c>
      <c r="M209">
        <v>20000</v>
      </c>
      <c r="N209">
        <v>95</v>
      </c>
      <c r="O209">
        <v>10</v>
      </c>
      <c r="P209">
        <v>3</v>
      </c>
      <c r="Q209" t="s">
        <v>21</v>
      </c>
      <c r="R209" t="s">
        <v>38</v>
      </c>
      <c r="S209" t="s">
        <v>33</v>
      </c>
      <c r="T209">
        <v>5</v>
      </c>
      <c r="U209">
        <v>10</v>
      </c>
      <c r="V209" t="s">
        <v>58</v>
      </c>
    </row>
    <row r="210" spans="1:22">
      <c r="A210" t="s">
        <v>464</v>
      </c>
      <c r="B210" t="s">
        <v>465</v>
      </c>
      <c r="C210">
        <v>31</v>
      </c>
      <c r="E210" t="s">
        <v>26</v>
      </c>
      <c r="F210" t="s">
        <v>42</v>
      </c>
      <c r="G210" t="s">
        <v>82</v>
      </c>
      <c r="H210" t="s">
        <v>1059</v>
      </c>
      <c r="I210">
        <v>89000</v>
      </c>
      <c r="J210">
        <v>12</v>
      </c>
      <c r="K210">
        <v>9</v>
      </c>
      <c r="L210">
        <v>4</v>
      </c>
      <c r="M210">
        <v>23824</v>
      </c>
      <c r="N210">
        <v>80</v>
      </c>
      <c r="O210">
        <v>5</v>
      </c>
      <c r="P210">
        <v>2</v>
      </c>
      <c r="Q210" t="s">
        <v>37</v>
      </c>
      <c r="R210" t="s">
        <v>28</v>
      </c>
      <c r="S210" t="s">
        <v>20</v>
      </c>
      <c r="T210">
        <v>20</v>
      </c>
      <c r="U210">
        <v>20</v>
      </c>
      <c r="V210" t="s">
        <v>22</v>
      </c>
    </row>
    <row r="211" spans="1:22">
      <c r="A211" t="s">
        <v>466</v>
      </c>
      <c r="B211" t="s">
        <v>467</v>
      </c>
      <c r="C211">
        <v>25</v>
      </c>
      <c r="D211" t="s">
        <v>34</v>
      </c>
      <c r="E211" t="s">
        <v>47</v>
      </c>
      <c r="F211" t="s">
        <v>18</v>
      </c>
      <c r="G211" t="s">
        <v>43</v>
      </c>
      <c r="H211" t="s">
        <v>1060</v>
      </c>
      <c r="I211">
        <v>24000</v>
      </c>
      <c r="J211">
        <v>12</v>
      </c>
      <c r="K211">
        <v>1</v>
      </c>
      <c r="L211">
        <v>4</v>
      </c>
      <c r="M211">
        <v>17000</v>
      </c>
      <c r="N211">
        <v>80</v>
      </c>
      <c r="O211">
        <v>12</v>
      </c>
      <c r="P211">
        <v>3</v>
      </c>
      <c r="R211" t="s">
        <v>38</v>
      </c>
      <c r="S211" t="s">
        <v>20</v>
      </c>
      <c r="T211">
        <v>20</v>
      </c>
      <c r="U211">
        <v>30</v>
      </c>
      <c r="V211" t="s">
        <v>58</v>
      </c>
    </row>
    <row r="212" spans="1:22">
      <c r="A212" t="s">
        <v>468</v>
      </c>
      <c r="B212" t="s">
        <v>469</v>
      </c>
      <c r="C212">
        <v>25</v>
      </c>
      <c r="D212" t="s">
        <v>16</v>
      </c>
      <c r="E212" t="s">
        <v>26</v>
      </c>
      <c r="F212" t="s">
        <v>66</v>
      </c>
      <c r="G212" t="s">
        <v>43</v>
      </c>
      <c r="H212" t="s">
        <v>1060</v>
      </c>
      <c r="I212">
        <v>31500</v>
      </c>
      <c r="J212">
        <v>12</v>
      </c>
      <c r="K212">
        <v>2</v>
      </c>
      <c r="L212">
        <v>2</v>
      </c>
      <c r="N212">
        <v>90</v>
      </c>
      <c r="O212">
        <v>5</v>
      </c>
      <c r="P212">
        <v>3</v>
      </c>
      <c r="R212" t="s">
        <v>38</v>
      </c>
      <c r="S212" t="s">
        <v>33</v>
      </c>
      <c r="T212">
        <v>20</v>
      </c>
      <c r="V212" t="s">
        <v>39</v>
      </c>
    </row>
    <row r="213" spans="1:22">
      <c r="A213" t="s">
        <v>470</v>
      </c>
      <c r="B213" t="s">
        <v>471</v>
      </c>
      <c r="C213">
        <v>48</v>
      </c>
      <c r="D213" t="s">
        <v>34</v>
      </c>
      <c r="E213" t="s">
        <v>35</v>
      </c>
      <c r="F213" t="s">
        <v>36</v>
      </c>
      <c r="G213" t="s">
        <v>1051</v>
      </c>
      <c r="H213" t="s">
        <v>1060</v>
      </c>
      <c r="I213">
        <v>154000</v>
      </c>
      <c r="J213">
        <v>12</v>
      </c>
      <c r="K213">
        <v>22</v>
      </c>
      <c r="L213">
        <v>5</v>
      </c>
      <c r="M213">
        <v>66753</v>
      </c>
      <c r="N213">
        <v>80</v>
      </c>
      <c r="O213">
        <v>15</v>
      </c>
      <c r="P213">
        <v>5</v>
      </c>
      <c r="R213" t="s">
        <v>38</v>
      </c>
      <c r="S213" t="s">
        <v>33</v>
      </c>
      <c r="U213">
        <v>30</v>
      </c>
      <c r="V213" t="s">
        <v>58</v>
      </c>
    </row>
    <row r="214" spans="1:22">
      <c r="A214" t="s">
        <v>472</v>
      </c>
      <c r="B214" t="s">
        <v>473</v>
      </c>
      <c r="C214">
        <v>25</v>
      </c>
      <c r="D214" t="s">
        <v>16</v>
      </c>
      <c r="E214" t="s">
        <v>64</v>
      </c>
      <c r="F214" t="s">
        <v>31</v>
      </c>
      <c r="G214" t="s">
        <v>43</v>
      </c>
      <c r="H214" t="s">
        <v>1060</v>
      </c>
      <c r="I214">
        <v>23000</v>
      </c>
      <c r="J214">
        <v>12</v>
      </c>
      <c r="K214">
        <v>2</v>
      </c>
      <c r="L214">
        <v>5</v>
      </c>
      <c r="M214">
        <v>20000</v>
      </c>
      <c r="N214">
        <v>88</v>
      </c>
      <c r="O214">
        <v>15</v>
      </c>
      <c r="P214">
        <v>3</v>
      </c>
      <c r="Q214" t="s">
        <v>21</v>
      </c>
      <c r="R214" t="s">
        <v>38</v>
      </c>
      <c r="S214" t="s">
        <v>20</v>
      </c>
      <c r="T214">
        <v>20</v>
      </c>
      <c r="U214">
        <v>20</v>
      </c>
      <c r="V214" t="s">
        <v>58</v>
      </c>
    </row>
    <row r="215" spans="1:22">
      <c r="A215" t="s">
        <v>474</v>
      </c>
      <c r="B215" t="s">
        <v>475</v>
      </c>
      <c r="C215">
        <v>25</v>
      </c>
      <c r="D215" t="s">
        <v>16</v>
      </c>
      <c r="E215" t="s">
        <v>17</v>
      </c>
      <c r="F215" t="s">
        <v>36</v>
      </c>
      <c r="G215" t="s">
        <v>43</v>
      </c>
      <c r="H215" t="s">
        <v>1060</v>
      </c>
      <c r="I215">
        <v>24000</v>
      </c>
      <c r="J215">
        <v>12</v>
      </c>
      <c r="K215">
        <v>1</v>
      </c>
      <c r="L215">
        <v>3</v>
      </c>
      <c r="M215">
        <v>11400</v>
      </c>
      <c r="N215">
        <v>88</v>
      </c>
      <c r="O215">
        <v>10</v>
      </c>
      <c r="P215">
        <v>2</v>
      </c>
      <c r="R215" t="s">
        <v>38</v>
      </c>
      <c r="S215" t="s">
        <v>20</v>
      </c>
      <c r="T215">
        <v>5</v>
      </c>
      <c r="U215">
        <v>10</v>
      </c>
      <c r="V215" t="s">
        <v>22</v>
      </c>
    </row>
    <row r="216" spans="1:22">
      <c r="A216" t="s">
        <v>476</v>
      </c>
      <c r="B216" t="s">
        <v>477</v>
      </c>
      <c r="C216">
        <v>51</v>
      </c>
      <c r="D216" t="s">
        <v>34</v>
      </c>
      <c r="E216" t="s">
        <v>57</v>
      </c>
      <c r="F216" t="s">
        <v>66</v>
      </c>
      <c r="G216" t="s">
        <v>1051</v>
      </c>
      <c r="H216" t="s">
        <v>1060</v>
      </c>
      <c r="I216">
        <v>158000</v>
      </c>
      <c r="J216">
        <v>12</v>
      </c>
      <c r="K216">
        <v>23</v>
      </c>
      <c r="L216">
        <v>3</v>
      </c>
      <c r="M216">
        <v>72167</v>
      </c>
      <c r="N216">
        <v>88</v>
      </c>
      <c r="O216">
        <v>15</v>
      </c>
      <c r="P216">
        <v>4</v>
      </c>
      <c r="Q216" t="s">
        <v>21</v>
      </c>
      <c r="R216" t="s">
        <v>19</v>
      </c>
      <c r="S216" t="s">
        <v>20</v>
      </c>
      <c r="V216" t="s">
        <v>22</v>
      </c>
    </row>
    <row r="217" spans="1:22">
      <c r="A217" t="s">
        <v>478</v>
      </c>
      <c r="B217" t="s">
        <v>479</v>
      </c>
      <c r="C217">
        <v>23</v>
      </c>
      <c r="E217" t="s">
        <v>65</v>
      </c>
      <c r="F217" t="s">
        <v>31</v>
      </c>
      <c r="G217" t="s">
        <v>43</v>
      </c>
      <c r="H217" t="s">
        <v>1060</v>
      </c>
      <c r="I217">
        <v>31500</v>
      </c>
      <c r="J217">
        <v>12</v>
      </c>
      <c r="K217">
        <v>2</v>
      </c>
      <c r="L217">
        <v>2</v>
      </c>
      <c r="N217">
        <v>85</v>
      </c>
      <c r="O217">
        <v>5</v>
      </c>
      <c r="P217">
        <v>5</v>
      </c>
      <c r="Q217" t="s">
        <v>37</v>
      </c>
      <c r="R217" t="s">
        <v>38</v>
      </c>
      <c r="S217" t="s">
        <v>33</v>
      </c>
      <c r="T217">
        <v>10</v>
      </c>
      <c r="U217">
        <v>30</v>
      </c>
      <c r="V217" t="s">
        <v>39</v>
      </c>
    </row>
    <row r="218" spans="1:22">
      <c r="A218" t="s">
        <v>480</v>
      </c>
      <c r="B218" t="s">
        <v>481</v>
      </c>
      <c r="C218">
        <v>29</v>
      </c>
      <c r="D218" t="s">
        <v>16</v>
      </c>
      <c r="E218" t="s">
        <v>65</v>
      </c>
      <c r="F218" t="s">
        <v>31</v>
      </c>
      <c r="G218" t="s">
        <v>1045</v>
      </c>
      <c r="H218" t="s">
        <v>1060</v>
      </c>
      <c r="I218">
        <v>81000</v>
      </c>
      <c r="J218">
        <v>12</v>
      </c>
      <c r="K218">
        <v>6</v>
      </c>
      <c r="L218">
        <v>1</v>
      </c>
      <c r="N218">
        <v>80</v>
      </c>
      <c r="O218">
        <v>15</v>
      </c>
      <c r="P218">
        <v>3</v>
      </c>
      <c r="Q218" t="s">
        <v>21</v>
      </c>
      <c r="R218" t="s">
        <v>19</v>
      </c>
      <c r="S218" t="s">
        <v>20</v>
      </c>
      <c r="V218" t="s">
        <v>39</v>
      </c>
    </row>
    <row r="219" spans="1:22">
      <c r="A219" t="s">
        <v>482</v>
      </c>
      <c r="B219" t="s">
        <v>483</v>
      </c>
      <c r="C219">
        <v>53</v>
      </c>
      <c r="D219" t="s">
        <v>34</v>
      </c>
      <c r="E219" t="s">
        <v>65</v>
      </c>
      <c r="F219" t="s">
        <v>31</v>
      </c>
      <c r="G219" t="s">
        <v>1051</v>
      </c>
      <c r="H219" t="s">
        <v>1059</v>
      </c>
      <c r="I219">
        <v>152000</v>
      </c>
      <c r="J219">
        <v>12</v>
      </c>
      <c r="K219">
        <v>21</v>
      </c>
      <c r="L219">
        <v>4</v>
      </c>
      <c r="M219">
        <v>82000</v>
      </c>
      <c r="N219">
        <v>80</v>
      </c>
      <c r="O219">
        <v>15</v>
      </c>
      <c r="P219">
        <v>3</v>
      </c>
      <c r="R219" t="s">
        <v>28</v>
      </c>
      <c r="S219" t="s">
        <v>20</v>
      </c>
      <c r="U219">
        <v>20</v>
      </c>
      <c r="V219" t="s">
        <v>22</v>
      </c>
    </row>
    <row r="220" spans="1:22">
      <c r="A220" t="s">
        <v>484</v>
      </c>
      <c r="B220" t="s">
        <v>485</v>
      </c>
      <c r="C220">
        <v>51</v>
      </c>
      <c r="D220" t="s">
        <v>34</v>
      </c>
      <c r="E220" t="s">
        <v>73</v>
      </c>
      <c r="F220" t="s">
        <v>27</v>
      </c>
      <c r="G220" t="s">
        <v>1050</v>
      </c>
      <c r="H220" t="s">
        <v>1060</v>
      </c>
      <c r="I220">
        <v>143000</v>
      </c>
      <c r="J220">
        <v>12</v>
      </c>
      <c r="K220">
        <v>18</v>
      </c>
      <c r="L220">
        <v>4</v>
      </c>
      <c r="M220">
        <v>56217</v>
      </c>
      <c r="N220">
        <v>95</v>
      </c>
      <c r="O220">
        <v>5</v>
      </c>
      <c r="P220">
        <v>2</v>
      </c>
      <c r="Q220" t="s">
        <v>37</v>
      </c>
      <c r="R220" t="s">
        <v>38</v>
      </c>
      <c r="S220" t="s">
        <v>33</v>
      </c>
      <c r="V220" t="s">
        <v>22</v>
      </c>
    </row>
    <row r="221" spans="1:22">
      <c r="A221" t="s">
        <v>486</v>
      </c>
      <c r="B221" t="s">
        <v>487</v>
      </c>
      <c r="C221">
        <v>30</v>
      </c>
      <c r="D221" t="s">
        <v>46</v>
      </c>
      <c r="E221" t="s">
        <v>50</v>
      </c>
      <c r="F221" t="s">
        <v>31</v>
      </c>
      <c r="G221" t="s">
        <v>1045</v>
      </c>
      <c r="H221" t="s">
        <v>1060</v>
      </c>
      <c r="I221">
        <v>78000</v>
      </c>
      <c r="J221">
        <v>12</v>
      </c>
      <c r="K221">
        <v>7</v>
      </c>
      <c r="L221">
        <v>4</v>
      </c>
      <c r="M221">
        <v>10871</v>
      </c>
      <c r="N221">
        <v>80</v>
      </c>
      <c r="O221">
        <v>15</v>
      </c>
      <c r="P221">
        <v>3</v>
      </c>
      <c r="Q221" t="s">
        <v>21</v>
      </c>
      <c r="R221" t="s">
        <v>38</v>
      </c>
      <c r="S221" t="s">
        <v>20</v>
      </c>
      <c r="U221">
        <v>30</v>
      </c>
      <c r="V221" t="s">
        <v>22</v>
      </c>
    </row>
    <row r="222" spans="1:22">
      <c r="A222" t="s">
        <v>488</v>
      </c>
      <c r="B222" t="s">
        <v>489</v>
      </c>
      <c r="C222">
        <v>33</v>
      </c>
      <c r="D222" t="s">
        <v>46</v>
      </c>
      <c r="E222" t="s">
        <v>26</v>
      </c>
      <c r="F222" t="s">
        <v>66</v>
      </c>
      <c r="G222" t="s">
        <v>32</v>
      </c>
      <c r="H222" t="s">
        <v>1060</v>
      </c>
      <c r="I222">
        <v>92600</v>
      </c>
      <c r="J222">
        <v>12</v>
      </c>
      <c r="K222">
        <v>11</v>
      </c>
      <c r="L222">
        <v>5</v>
      </c>
      <c r="M222">
        <v>27017</v>
      </c>
      <c r="N222">
        <v>80</v>
      </c>
      <c r="O222">
        <v>5</v>
      </c>
      <c r="P222">
        <v>5</v>
      </c>
      <c r="Q222" t="s">
        <v>37</v>
      </c>
      <c r="R222" t="s">
        <v>38</v>
      </c>
      <c r="S222" t="s">
        <v>33</v>
      </c>
      <c r="T222">
        <v>5</v>
      </c>
      <c r="U222">
        <v>20</v>
      </c>
      <c r="V222" t="s">
        <v>58</v>
      </c>
    </row>
    <row r="223" spans="1:22">
      <c r="A223" t="s">
        <v>490</v>
      </c>
      <c r="B223" t="s">
        <v>491</v>
      </c>
      <c r="C223">
        <v>25</v>
      </c>
      <c r="D223" t="s">
        <v>16</v>
      </c>
      <c r="E223" t="s">
        <v>50</v>
      </c>
      <c r="F223" t="s">
        <v>36</v>
      </c>
      <c r="G223" t="s">
        <v>43</v>
      </c>
      <c r="H223" t="s">
        <v>1060</v>
      </c>
      <c r="I223">
        <v>24000</v>
      </c>
      <c r="J223">
        <v>12</v>
      </c>
      <c r="K223">
        <v>1</v>
      </c>
      <c r="L223">
        <v>2</v>
      </c>
      <c r="N223">
        <v>95</v>
      </c>
      <c r="O223">
        <v>15</v>
      </c>
      <c r="P223">
        <v>5</v>
      </c>
      <c r="R223" t="s">
        <v>38</v>
      </c>
      <c r="S223" t="s">
        <v>20</v>
      </c>
      <c r="U223">
        <v>20</v>
      </c>
      <c r="V223" t="s">
        <v>39</v>
      </c>
    </row>
    <row r="224" spans="1:22">
      <c r="A224" t="s">
        <v>492</v>
      </c>
      <c r="B224" t="s">
        <v>493</v>
      </c>
      <c r="C224">
        <v>23</v>
      </c>
      <c r="D224" t="s">
        <v>34</v>
      </c>
      <c r="E224" t="s">
        <v>35</v>
      </c>
      <c r="F224" t="s">
        <v>27</v>
      </c>
      <c r="G224" t="s">
        <v>43</v>
      </c>
      <c r="H224" t="s">
        <v>1060</v>
      </c>
      <c r="I224">
        <v>24000</v>
      </c>
      <c r="J224">
        <v>12</v>
      </c>
      <c r="K224">
        <v>1</v>
      </c>
      <c r="L224">
        <v>5</v>
      </c>
      <c r="M224">
        <v>20000</v>
      </c>
      <c r="N224">
        <v>90</v>
      </c>
      <c r="O224">
        <v>5</v>
      </c>
      <c r="P224">
        <v>1</v>
      </c>
      <c r="Q224" t="s">
        <v>37</v>
      </c>
      <c r="R224" t="s">
        <v>38</v>
      </c>
      <c r="S224" t="s">
        <v>20</v>
      </c>
      <c r="U224">
        <v>30</v>
      </c>
      <c r="V224" t="s">
        <v>58</v>
      </c>
    </row>
    <row r="225" spans="1:22">
      <c r="A225" t="s">
        <v>494</v>
      </c>
      <c r="B225" t="s">
        <v>495</v>
      </c>
      <c r="C225">
        <v>23</v>
      </c>
      <c r="D225" t="s">
        <v>25</v>
      </c>
      <c r="E225" t="s">
        <v>65</v>
      </c>
      <c r="F225" t="s">
        <v>27</v>
      </c>
      <c r="G225" t="s">
        <v>43</v>
      </c>
      <c r="H225" t="s">
        <v>1060</v>
      </c>
      <c r="I225">
        <v>24000</v>
      </c>
      <c r="J225">
        <v>12</v>
      </c>
      <c r="K225">
        <v>1</v>
      </c>
      <c r="L225">
        <v>1</v>
      </c>
      <c r="N225">
        <v>85</v>
      </c>
      <c r="O225">
        <v>10</v>
      </c>
      <c r="P225">
        <v>3</v>
      </c>
      <c r="Q225" t="s">
        <v>37</v>
      </c>
      <c r="R225" t="s">
        <v>38</v>
      </c>
      <c r="S225" t="s">
        <v>20</v>
      </c>
      <c r="U225">
        <v>20</v>
      </c>
      <c r="V225" t="s">
        <v>39</v>
      </c>
    </row>
    <row r="226" spans="1:22">
      <c r="A226" t="s">
        <v>496</v>
      </c>
      <c r="B226" t="s">
        <v>497</v>
      </c>
      <c r="C226">
        <v>23</v>
      </c>
      <c r="D226" t="s">
        <v>34</v>
      </c>
      <c r="E226" t="s">
        <v>64</v>
      </c>
      <c r="F226" t="s">
        <v>36</v>
      </c>
      <c r="G226" t="s">
        <v>43</v>
      </c>
      <c r="H226" t="s">
        <v>1060</v>
      </c>
      <c r="I226">
        <v>31500</v>
      </c>
      <c r="J226">
        <v>12</v>
      </c>
      <c r="K226">
        <v>2</v>
      </c>
      <c r="L226">
        <v>1</v>
      </c>
      <c r="N226">
        <v>90</v>
      </c>
      <c r="O226">
        <v>12</v>
      </c>
      <c r="P226">
        <v>3</v>
      </c>
      <c r="R226" t="s">
        <v>38</v>
      </c>
      <c r="S226" t="s">
        <v>20</v>
      </c>
      <c r="T226">
        <v>10</v>
      </c>
      <c r="U226">
        <v>30</v>
      </c>
      <c r="V226" t="s">
        <v>39</v>
      </c>
    </row>
    <row r="227" spans="1:22">
      <c r="A227" t="s">
        <v>498</v>
      </c>
      <c r="B227" t="s">
        <v>499</v>
      </c>
      <c r="C227">
        <v>23</v>
      </c>
      <c r="E227" t="s">
        <v>61</v>
      </c>
      <c r="F227" t="s">
        <v>66</v>
      </c>
      <c r="G227" t="s">
        <v>43</v>
      </c>
      <c r="H227" t="s">
        <v>1060</v>
      </c>
      <c r="I227">
        <v>24000</v>
      </c>
      <c r="J227">
        <v>12</v>
      </c>
      <c r="K227">
        <v>1</v>
      </c>
      <c r="L227">
        <v>1</v>
      </c>
      <c r="N227">
        <v>88</v>
      </c>
      <c r="O227">
        <v>12</v>
      </c>
      <c r="P227">
        <v>3</v>
      </c>
      <c r="Q227" t="s">
        <v>37</v>
      </c>
      <c r="R227" t="s">
        <v>38</v>
      </c>
      <c r="S227" t="s">
        <v>33</v>
      </c>
      <c r="T227">
        <v>5</v>
      </c>
      <c r="U227">
        <v>30</v>
      </c>
      <c r="V227" t="s">
        <v>39</v>
      </c>
    </row>
    <row r="228" spans="1:22">
      <c r="A228" t="s">
        <v>500</v>
      </c>
      <c r="B228" t="s">
        <v>501</v>
      </c>
      <c r="C228">
        <v>25</v>
      </c>
      <c r="D228" t="s">
        <v>16</v>
      </c>
      <c r="E228" t="s">
        <v>47</v>
      </c>
      <c r="F228" t="s">
        <v>66</v>
      </c>
      <c r="G228" t="s">
        <v>43</v>
      </c>
      <c r="H228" t="s">
        <v>1060</v>
      </c>
      <c r="I228">
        <v>31000</v>
      </c>
      <c r="J228">
        <v>12</v>
      </c>
      <c r="K228">
        <v>2</v>
      </c>
      <c r="L228">
        <v>1</v>
      </c>
      <c r="N228">
        <v>80</v>
      </c>
      <c r="O228">
        <v>15</v>
      </c>
      <c r="P228">
        <v>5</v>
      </c>
      <c r="Q228" t="s">
        <v>21</v>
      </c>
      <c r="R228" t="s">
        <v>38</v>
      </c>
      <c r="S228" t="s">
        <v>33</v>
      </c>
      <c r="T228">
        <v>10</v>
      </c>
      <c r="U228">
        <v>20</v>
      </c>
      <c r="V228" t="s">
        <v>39</v>
      </c>
    </row>
    <row r="229" spans="1:22">
      <c r="A229" t="s">
        <v>502</v>
      </c>
      <c r="B229" t="s">
        <v>503</v>
      </c>
      <c r="C229">
        <v>24</v>
      </c>
      <c r="D229" t="s">
        <v>46</v>
      </c>
      <c r="E229" t="s">
        <v>61</v>
      </c>
      <c r="F229" t="s">
        <v>18</v>
      </c>
      <c r="G229" t="s">
        <v>43</v>
      </c>
      <c r="H229" t="s">
        <v>1060</v>
      </c>
      <c r="I229">
        <v>24000</v>
      </c>
      <c r="J229">
        <v>12</v>
      </c>
      <c r="K229">
        <v>1</v>
      </c>
      <c r="L229">
        <v>1</v>
      </c>
      <c r="N229">
        <v>90</v>
      </c>
      <c r="O229">
        <v>12</v>
      </c>
      <c r="P229">
        <v>5</v>
      </c>
      <c r="Q229" t="s">
        <v>37</v>
      </c>
      <c r="R229" t="s">
        <v>38</v>
      </c>
      <c r="S229" t="s">
        <v>33</v>
      </c>
      <c r="T229">
        <v>10</v>
      </c>
      <c r="U229">
        <v>20</v>
      </c>
      <c r="V229" t="s">
        <v>39</v>
      </c>
    </row>
    <row r="230" spans="1:22">
      <c r="A230" t="s">
        <v>504</v>
      </c>
      <c r="B230" t="s">
        <v>505</v>
      </c>
      <c r="C230">
        <v>24</v>
      </c>
      <c r="D230" t="s">
        <v>34</v>
      </c>
      <c r="E230" t="s">
        <v>73</v>
      </c>
      <c r="F230" t="s">
        <v>66</v>
      </c>
      <c r="G230" t="s">
        <v>43</v>
      </c>
      <c r="H230" t="s">
        <v>1060</v>
      </c>
      <c r="I230">
        <v>31000</v>
      </c>
      <c r="J230">
        <v>12</v>
      </c>
      <c r="K230">
        <v>2</v>
      </c>
      <c r="L230">
        <v>1</v>
      </c>
      <c r="N230">
        <v>90</v>
      </c>
      <c r="O230">
        <v>12</v>
      </c>
      <c r="P230">
        <v>3</v>
      </c>
      <c r="Q230" t="s">
        <v>21</v>
      </c>
      <c r="R230" t="s">
        <v>38</v>
      </c>
      <c r="S230" t="s">
        <v>33</v>
      </c>
      <c r="T230">
        <v>10</v>
      </c>
      <c r="U230">
        <v>20</v>
      </c>
      <c r="V230" t="s">
        <v>39</v>
      </c>
    </row>
    <row r="231" spans="1:22">
      <c r="A231" t="s">
        <v>506</v>
      </c>
      <c r="B231" t="s">
        <v>507</v>
      </c>
      <c r="C231">
        <v>23</v>
      </c>
      <c r="E231" t="s">
        <v>61</v>
      </c>
      <c r="F231" t="s">
        <v>18</v>
      </c>
      <c r="G231" t="s">
        <v>43</v>
      </c>
      <c r="H231" t="s">
        <v>1060</v>
      </c>
      <c r="I231">
        <v>24000</v>
      </c>
      <c r="J231">
        <v>12</v>
      </c>
      <c r="K231">
        <v>1</v>
      </c>
      <c r="L231">
        <v>4</v>
      </c>
      <c r="M231">
        <v>16000</v>
      </c>
      <c r="N231">
        <v>85</v>
      </c>
      <c r="O231">
        <v>12</v>
      </c>
      <c r="P231">
        <v>2</v>
      </c>
      <c r="Q231" t="s">
        <v>21</v>
      </c>
      <c r="R231" t="s">
        <v>38</v>
      </c>
      <c r="S231" t="s">
        <v>20</v>
      </c>
      <c r="T231">
        <v>5</v>
      </c>
      <c r="U231">
        <v>10</v>
      </c>
      <c r="V231" t="s">
        <v>22</v>
      </c>
    </row>
    <row r="232" spans="1:22">
      <c r="A232" t="s">
        <v>508</v>
      </c>
      <c r="B232" t="s">
        <v>509</v>
      </c>
      <c r="C232">
        <v>23</v>
      </c>
      <c r="D232" t="s">
        <v>16</v>
      </c>
      <c r="E232" t="s">
        <v>64</v>
      </c>
      <c r="F232" t="s">
        <v>66</v>
      </c>
      <c r="G232" t="s">
        <v>43</v>
      </c>
      <c r="H232" t="s">
        <v>1060</v>
      </c>
      <c r="I232">
        <v>31000</v>
      </c>
      <c r="J232">
        <v>12</v>
      </c>
      <c r="K232">
        <v>2</v>
      </c>
      <c r="L232">
        <v>3</v>
      </c>
      <c r="M232">
        <v>11400</v>
      </c>
      <c r="N232">
        <v>95</v>
      </c>
      <c r="O232">
        <v>12</v>
      </c>
      <c r="P232">
        <v>5</v>
      </c>
      <c r="R232" t="s">
        <v>38</v>
      </c>
      <c r="S232" t="s">
        <v>20</v>
      </c>
      <c r="T232">
        <v>20</v>
      </c>
      <c r="U232">
        <v>30</v>
      </c>
      <c r="V232" t="s">
        <v>22</v>
      </c>
    </row>
    <row r="233" spans="1:22">
      <c r="A233" t="s">
        <v>510</v>
      </c>
      <c r="B233" t="s">
        <v>511</v>
      </c>
      <c r="C233">
        <v>25</v>
      </c>
      <c r="E233" t="s">
        <v>65</v>
      </c>
      <c r="F233" t="s">
        <v>66</v>
      </c>
      <c r="G233" t="s">
        <v>43</v>
      </c>
      <c r="H233" t="s">
        <v>1060</v>
      </c>
      <c r="I233">
        <v>24000</v>
      </c>
      <c r="J233">
        <v>12</v>
      </c>
      <c r="K233">
        <v>1</v>
      </c>
      <c r="L233">
        <v>1</v>
      </c>
      <c r="N233">
        <v>85</v>
      </c>
      <c r="O233">
        <v>12</v>
      </c>
      <c r="P233">
        <v>1</v>
      </c>
      <c r="R233" t="s">
        <v>38</v>
      </c>
      <c r="S233" t="s">
        <v>33</v>
      </c>
      <c r="T233">
        <v>10</v>
      </c>
      <c r="U233">
        <v>30</v>
      </c>
      <c r="V233" t="s">
        <v>39</v>
      </c>
    </row>
    <row r="234" spans="1:22">
      <c r="A234" t="s">
        <v>512</v>
      </c>
      <c r="B234" t="s">
        <v>513</v>
      </c>
      <c r="C234">
        <v>24</v>
      </c>
      <c r="E234" t="s">
        <v>50</v>
      </c>
      <c r="F234" t="s">
        <v>31</v>
      </c>
      <c r="G234" t="s">
        <v>43</v>
      </c>
      <c r="H234" t="s">
        <v>1060</v>
      </c>
      <c r="I234">
        <v>24000</v>
      </c>
      <c r="J234">
        <v>12</v>
      </c>
      <c r="K234">
        <v>1</v>
      </c>
      <c r="L234">
        <v>2</v>
      </c>
      <c r="N234">
        <v>95</v>
      </c>
      <c r="O234">
        <v>12</v>
      </c>
      <c r="P234">
        <v>5</v>
      </c>
      <c r="R234" t="s">
        <v>38</v>
      </c>
      <c r="S234" t="s">
        <v>20</v>
      </c>
      <c r="T234">
        <v>5</v>
      </c>
      <c r="U234">
        <v>20</v>
      </c>
      <c r="V234" t="s">
        <v>39</v>
      </c>
    </row>
    <row r="235" spans="1:22">
      <c r="A235" t="s">
        <v>514</v>
      </c>
      <c r="B235" t="s">
        <v>515</v>
      </c>
      <c r="C235">
        <v>23</v>
      </c>
      <c r="D235" t="s">
        <v>34</v>
      </c>
      <c r="E235" t="s">
        <v>57</v>
      </c>
      <c r="F235" t="s">
        <v>31</v>
      </c>
      <c r="G235" t="s">
        <v>43</v>
      </c>
      <c r="H235" t="s">
        <v>1060</v>
      </c>
      <c r="I235">
        <v>31000</v>
      </c>
      <c r="J235">
        <v>12</v>
      </c>
      <c r="K235">
        <v>2</v>
      </c>
      <c r="L235">
        <v>1</v>
      </c>
      <c r="N235">
        <v>90</v>
      </c>
      <c r="O235">
        <v>5</v>
      </c>
      <c r="P235">
        <v>1</v>
      </c>
      <c r="Q235" t="s">
        <v>37</v>
      </c>
      <c r="R235" t="s">
        <v>38</v>
      </c>
      <c r="S235" t="s">
        <v>20</v>
      </c>
      <c r="T235">
        <v>5</v>
      </c>
      <c r="U235">
        <v>10</v>
      </c>
      <c r="V235" t="s">
        <v>39</v>
      </c>
    </row>
    <row r="236" spans="1:22">
      <c r="A236" t="s">
        <v>516</v>
      </c>
      <c r="B236" t="s">
        <v>517</v>
      </c>
      <c r="C236">
        <v>34</v>
      </c>
      <c r="D236" t="s">
        <v>25</v>
      </c>
      <c r="E236" t="s">
        <v>26</v>
      </c>
      <c r="F236" t="s">
        <v>18</v>
      </c>
      <c r="G236" t="s">
        <v>32</v>
      </c>
      <c r="H236" t="s">
        <v>1060</v>
      </c>
      <c r="I236">
        <v>91000</v>
      </c>
      <c r="J236">
        <v>12</v>
      </c>
      <c r="K236">
        <v>12</v>
      </c>
      <c r="L236">
        <v>3</v>
      </c>
      <c r="M236">
        <v>40000</v>
      </c>
      <c r="N236">
        <v>88</v>
      </c>
      <c r="O236">
        <v>5</v>
      </c>
      <c r="P236">
        <v>3</v>
      </c>
      <c r="Q236" t="s">
        <v>21</v>
      </c>
      <c r="R236" t="s">
        <v>19</v>
      </c>
      <c r="S236" t="s">
        <v>33</v>
      </c>
      <c r="T236">
        <v>20</v>
      </c>
      <c r="U236">
        <v>20</v>
      </c>
      <c r="V236" t="s">
        <v>22</v>
      </c>
    </row>
    <row r="237" spans="1:22">
      <c r="A237" t="s">
        <v>518</v>
      </c>
      <c r="B237" t="s">
        <v>519</v>
      </c>
      <c r="C237">
        <v>25</v>
      </c>
      <c r="D237" t="s">
        <v>25</v>
      </c>
      <c r="E237" t="s">
        <v>26</v>
      </c>
      <c r="F237" t="s">
        <v>27</v>
      </c>
      <c r="G237" t="s">
        <v>43</v>
      </c>
      <c r="H237" t="s">
        <v>1060</v>
      </c>
      <c r="I237">
        <v>31000</v>
      </c>
      <c r="J237">
        <v>12</v>
      </c>
      <c r="K237">
        <v>2</v>
      </c>
      <c r="L237">
        <v>2</v>
      </c>
      <c r="N237">
        <v>95</v>
      </c>
      <c r="O237">
        <v>10</v>
      </c>
      <c r="P237">
        <v>1</v>
      </c>
      <c r="R237" t="s">
        <v>38</v>
      </c>
      <c r="S237" t="s">
        <v>33</v>
      </c>
      <c r="T237">
        <v>10</v>
      </c>
      <c r="V237" t="s">
        <v>39</v>
      </c>
    </row>
    <row r="238" spans="1:22">
      <c r="A238" t="s">
        <v>520</v>
      </c>
      <c r="B238" t="s">
        <v>521</v>
      </c>
      <c r="C238">
        <v>25</v>
      </c>
      <c r="D238" t="s">
        <v>46</v>
      </c>
      <c r="E238" t="s">
        <v>35</v>
      </c>
      <c r="F238" t="s">
        <v>42</v>
      </c>
      <c r="G238" t="s">
        <v>43</v>
      </c>
      <c r="H238" t="s">
        <v>1060</v>
      </c>
      <c r="I238">
        <v>31000</v>
      </c>
      <c r="J238">
        <v>12</v>
      </c>
      <c r="K238">
        <v>2</v>
      </c>
      <c r="L238">
        <v>4</v>
      </c>
      <c r="M238">
        <v>16000</v>
      </c>
      <c r="N238">
        <v>80</v>
      </c>
      <c r="O238">
        <v>15</v>
      </c>
      <c r="P238">
        <v>6</v>
      </c>
      <c r="Q238" t="s">
        <v>21</v>
      </c>
      <c r="R238" t="s">
        <v>38</v>
      </c>
      <c r="S238" t="s">
        <v>20</v>
      </c>
      <c r="T238">
        <v>20</v>
      </c>
      <c r="U238">
        <v>20</v>
      </c>
      <c r="V238" t="s">
        <v>22</v>
      </c>
    </row>
    <row r="239" spans="1:22">
      <c r="A239" t="s">
        <v>522</v>
      </c>
      <c r="B239" t="s">
        <v>523</v>
      </c>
      <c r="C239">
        <v>24</v>
      </c>
      <c r="D239" t="s">
        <v>46</v>
      </c>
      <c r="E239" t="s">
        <v>57</v>
      </c>
      <c r="F239" t="s">
        <v>31</v>
      </c>
      <c r="G239" t="s">
        <v>43</v>
      </c>
      <c r="H239" t="s">
        <v>1060</v>
      </c>
      <c r="I239">
        <v>24000</v>
      </c>
      <c r="J239">
        <v>12</v>
      </c>
      <c r="K239">
        <v>1</v>
      </c>
      <c r="L239">
        <v>4</v>
      </c>
      <c r="M239">
        <v>16000</v>
      </c>
      <c r="N239">
        <v>88</v>
      </c>
      <c r="O239">
        <v>10</v>
      </c>
      <c r="P239">
        <v>7</v>
      </c>
      <c r="Q239" t="s">
        <v>37</v>
      </c>
      <c r="R239" t="s">
        <v>38</v>
      </c>
      <c r="S239" t="s">
        <v>33</v>
      </c>
      <c r="T239">
        <v>20</v>
      </c>
      <c r="V239" t="s">
        <v>58</v>
      </c>
    </row>
    <row r="240" spans="1:22">
      <c r="A240" t="s">
        <v>524</v>
      </c>
      <c r="B240" t="s">
        <v>525</v>
      </c>
      <c r="C240">
        <v>24</v>
      </c>
      <c r="D240" t="s">
        <v>25</v>
      </c>
      <c r="E240" t="s">
        <v>35</v>
      </c>
      <c r="F240" t="s">
        <v>66</v>
      </c>
      <c r="G240" t="s">
        <v>43</v>
      </c>
      <c r="H240" t="s">
        <v>1060</v>
      </c>
      <c r="I240">
        <v>24000</v>
      </c>
      <c r="J240">
        <v>12</v>
      </c>
      <c r="K240">
        <v>1</v>
      </c>
      <c r="L240">
        <v>1</v>
      </c>
      <c r="N240">
        <v>85</v>
      </c>
      <c r="O240">
        <v>10</v>
      </c>
      <c r="P240">
        <v>10</v>
      </c>
      <c r="Q240" t="s">
        <v>37</v>
      </c>
      <c r="R240" t="s">
        <v>38</v>
      </c>
      <c r="S240" t="s">
        <v>20</v>
      </c>
      <c r="T240">
        <v>10</v>
      </c>
      <c r="U240">
        <v>10</v>
      </c>
      <c r="V240" t="s">
        <v>39</v>
      </c>
    </row>
    <row r="241" spans="1:22">
      <c r="A241" t="s">
        <v>526</v>
      </c>
      <c r="B241" t="s">
        <v>527</v>
      </c>
      <c r="C241">
        <v>23</v>
      </c>
      <c r="D241" t="s">
        <v>34</v>
      </c>
      <c r="E241" t="s">
        <v>17</v>
      </c>
      <c r="F241" t="s">
        <v>66</v>
      </c>
      <c r="G241" t="s">
        <v>43</v>
      </c>
      <c r="H241" t="s">
        <v>1060</v>
      </c>
      <c r="I241">
        <v>24000</v>
      </c>
      <c r="J241">
        <v>12</v>
      </c>
      <c r="K241">
        <v>1</v>
      </c>
      <c r="L241">
        <v>3</v>
      </c>
      <c r="M241">
        <v>13400</v>
      </c>
      <c r="N241">
        <v>95</v>
      </c>
      <c r="O241">
        <v>15</v>
      </c>
      <c r="P241">
        <v>2</v>
      </c>
      <c r="Q241" t="s">
        <v>21</v>
      </c>
      <c r="R241" t="s">
        <v>38</v>
      </c>
      <c r="S241" t="s">
        <v>20</v>
      </c>
      <c r="T241">
        <v>5</v>
      </c>
      <c r="U241">
        <v>20</v>
      </c>
      <c r="V241" t="s">
        <v>22</v>
      </c>
    </row>
    <row r="242" spans="1:22">
      <c r="A242" t="s">
        <v>528</v>
      </c>
      <c r="B242" t="s">
        <v>529</v>
      </c>
      <c r="C242">
        <v>23</v>
      </c>
      <c r="E242" t="s">
        <v>73</v>
      </c>
      <c r="F242" t="s">
        <v>18</v>
      </c>
      <c r="G242" t="s">
        <v>43</v>
      </c>
      <c r="H242" t="s">
        <v>1060</v>
      </c>
      <c r="I242">
        <v>31000</v>
      </c>
      <c r="J242">
        <v>12</v>
      </c>
      <c r="K242">
        <v>2</v>
      </c>
      <c r="L242">
        <v>1</v>
      </c>
      <c r="N242">
        <v>85</v>
      </c>
      <c r="O242">
        <v>12</v>
      </c>
      <c r="P242">
        <v>10</v>
      </c>
      <c r="Q242" t="s">
        <v>37</v>
      </c>
      <c r="R242" t="s">
        <v>38</v>
      </c>
      <c r="S242" t="s">
        <v>33</v>
      </c>
      <c r="T242">
        <v>20</v>
      </c>
      <c r="U242">
        <v>10</v>
      </c>
      <c r="V242" t="s">
        <v>39</v>
      </c>
    </row>
    <row r="243" spans="1:22">
      <c r="A243" t="s">
        <v>530</v>
      </c>
      <c r="B243" t="s">
        <v>531</v>
      </c>
      <c r="C243">
        <v>25</v>
      </c>
      <c r="E243" t="s">
        <v>73</v>
      </c>
      <c r="F243" t="s">
        <v>42</v>
      </c>
      <c r="G243" t="s">
        <v>43</v>
      </c>
      <c r="H243" t="s">
        <v>1060</v>
      </c>
      <c r="I243">
        <v>31000</v>
      </c>
      <c r="J243">
        <v>12</v>
      </c>
      <c r="K243">
        <v>2</v>
      </c>
      <c r="L243">
        <v>1</v>
      </c>
      <c r="N243">
        <v>95</v>
      </c>
      <c r="O243">
        <v>15</v>
      </c>
      <c r="P243">
        <v>5</v>
      </c>
      <c r="R243" t="s">
        <v>38</v>
      </c>
      <c r="S243" t="s">
        <v>20</v>
      </c>
      <c r="T243">
        <v>10</v>
      </c>
      <c r="U243">
        <v>20</v>
      </c>
      <c r="V243" t="s">
        <v>39</v>
      </c>
    </row>
    <row r="244" spans="1:22">
      <c r="A244" t="s">
        <v>532</v>
      </c>
      <c r="B244" t="s">
        <v>533</v>
      </c>
      <c r="C244">
        <v>47</v>
      </c>
      <c r="D244" t="s">
        <v>46</v>
      </c>
      <c r="E244" t="s">
        <v>26</v>
      </c>
      <c r="F244" t="s">
        <v>27</v>
      </c>
      <c r="G244" t="s">
        <v>1050</v>
      </c>
      <c r="H244" t="s">
        <v>1060</v>
      </c>
      <c r="I244">
        <v>148000</v>
      </c>
      <c r="J244">
        <v>12</v>
      </c>
      <c r="K244">
        <v>16</v>
      </c>
      <c r="L244">
        <v>4</v>
      </c>
      <c r="M244">
        <v>59415</v>
      </c>
      <c r="N244">
        <v>80</v>
      </c>
      <c r="O244">
        <v>5</v>
      </c>
      <c r="P244">
        <v>2</v>
      </c>
      <c r="R244" t="s">
        <v>38</v>
      </c>
      <c r="S244" t="s">
        <v>33</v>
      </c>
      <c r="U244">
        <v>30</v>
      </c>
      <c r="V244" t="s">
        <v>22</v>
      </c>
    </row>
    <row r="245" spans="1:22">
      <c r="A245" t="s">
        <v>534</v>
      </c>
      <c r="B245" t="s">
        <v>535</v>
      </c>
      <c r="C245">
        <v>27</v>
      </c>
      <c r="D245" t="s">
        <v>34</v>
      </c>
      <c r="E245" t="s">
        <v>57</v>
      </c>
      <c r="F245" t="s">
        <v>36</v>
      </c>
      <c r="G245" t="s">
        <v>1048</v>
      </c>
      <c r="H245" t="s">
        <v>1060</v>
      </c>
      <c r="I245">
        <v>68000</v>
      </c>
      <c r="J245">
        <v>12</v>
      </c>
      <c r="K245">
        <v>5</v>
      </c>
      <c r="L245">
        <v>4</v>
      </c>
      <c r="M245">
        <v>24000</v>
      </c>
      <c r="N245">
        <v>88</v>
      </c>
      <c r="O245">
        <v>10</v>
      </c>
      <c r="P245">
        <v>5</v>
      </c>
      <c r="R245" t="s">
        <v>19</v>
      </c>
      <c r="S245" t="s">
        <v>20</v>
      </c>
      <c r="T245">
        <v>20</v>
      </c>
      <c r="V245" t="s">
        <v>22</v>
      </c>
    </row>
    <row r="246" spans="1:22">
      <c r="A246" t="s">
        <v>536</v>
      </c>
      <c r="B246" t="s">
        <v>537</v>
      </c>
      <c r="C246">
        <v>40</v>
      </c>
      <c r="D246" t="s">
        <v>46</v>
      </c>
      <c r="E246" t="s">
        <v>35</v>
      </c>
      <c r="F246" t="s">
        <v>42</v>
      </c>
      <c r="G246" t="s">
        <v>1045</v>
      </c>
      <c r="H246" t="s">
        <v>1060</v>
      </c>
      <c r="I246">
        <v>78000</v>
      </c>
      <c r="J246">
        <v>12</v>
      </c>
      <c r="K246">
        <v>7</v>
      </c>
      <c r="L246">
        <v>4</v>
      </c>
      <c r="M246">
        <v>10871</v>
      </c>
      <c r="N246">
        <v>85</v>
      </c>
      <c r="O246">
        <v>12</v>
      </c>
      <c r="P246">
        <v>1</v>
      </c>
      <c r="R246" t="s">
        <v>38</v>
      </c>
      <c r="S246" t="s">
        <v>33</v>
      </c>
      <c r="T246">
        <v>5</v>
      </c>
      <c r="V246" t="s">
        <v>22</v>
      </c>
    </row>
    <row r="247" spans="1:22">
      <c r="A247" t="s">
        <v>538</v>
      </c>
      <c r="B247" t="s">
        <v>539</v>
      </c>
      <c r="C247">
        <v>25</v>
      </c>
      <c r="E247" t="s">
        <v>73</v>
      </c>
      <c r="F247" t="s">
        <v>27</v>
      </c>
      <c r="G247" t="s">
        <v>43</v>
      </c>
      <c r="H247" t="s">
        <v>1060</v>
      </c>
      <c r="I247">
        <v>31000</v>
      </c>
      <c r="J247">
        <v>12</v>
      </c>
      <c r="K247">
        <v>2</v>
      </c>
      <c r="L247">
        <v>1</v>
      </c>
      <c r="N247">
        <v>85</v>
      </c>
      <c r="O247">
        <v>12</v>
      </c>
      <c r="P247">
        <v>3</v>
      </c>
      <c r="R247" t="s">
        <v>38</v>
      </c>
      <c r="S247" t="s">
        <v>33</v>
      </c>
      <c r="T247">
        <v>10</v>
      </c>
      <c r="U247">
        <v>10</v>
      </c>
      <c r="V247" t="s">
        <v>39</v>
      </c>
    </row>
    <row r="248" spans="1:22">
      <c r="A248" t="s">
        <v>540</v>
      </c>
      <c r="B248" t="s">
        <v>541</v>
      </c>
      <c r="C248">
        <v>33</v>
      </c>
      <c r="D248" t="s">
        <v>25</v>
      </c>
      <c r="E248" t="s">
        <v>57</v>
      </c>
      <c r="F248" t="s">
        <v>31</v>
      </c>
      <c r="G248" t="s">
        <v>82</v>
      </c>
      <c r="H248" t="s">
        <v>1060</v>
      </c>
      <c r="I248">
        <v>89000</v>
      </c>
      <c r="J248">
        <v>12</v>
      </c>
      <c r="K248">
        <v>6</v>
      </c>
      <c r="L248">
        <v>3</v>
      </c>
      <c r="M248">
        <v>27000</v>
      </c>
      <c r="N248">
        <v>90</v>
      </c>
      <c r="O248">
        <v>15</v>
      </c>
      <c r="P248">
        <v>1</v>
      </c>
      <c r="Q248" t="s">
        <v>37</v>
      </c>
      <c r="R248" t="s">
        <v>38</v>
      </c>
      <c r="S248" t="s">
        <v>33</v>
      </c>
      <c r="T248">
        <v>10</v>
      </c>
      <c r="V248" t="s">
        <v>22</v>
      </c>
    </row>
    <row r="249" spans="1:22">
      <c r="A249" t="s">
        <v>542</v>
      </c>
      <c r="B249" t="s">
        <v>359</v>
      </c>
      <c r="C249">
        <v>25</v>
      </c>
      <c r="D249" t="s">
        <v>46</v>
      </c>
      <c r="E249" t="s">
        <v>47</v>
      </c>
      <c r="F249" t="s">
        <v>42</v>
      </c>
      <c r="G249" t="s">
        <v>43</v>
      </c>
      <c r="H249" t="s">
        <v>1060</v>
      </c>
      <c r="I249">
        <v>24000</v>
      </c>
      <c r="J249">
        <v>12</v>
      </c>
      <c r="K249">
        <v>1</v>
      </c>
      <c r="L249">
        <v>1</v>
      </c>
      <c r="N249">
        <v>95</v>
      </c>
      <c r="O249">
        <v>12</v>
      </c>
      <c r="P249">
        <v>4</v>
      </c>
      <c r="Q249" t="s">
        <v>37</v>
      </c>
      <c r="R249" t="s">
        <v>38</v>
      </c>
      <c r="S249" t="s">
        <v>33</v>
      </c>
      <c r="T249">
        <v>10</v>
      </c>
      <c r="V249" t="s">
        <v>39</v>
      </c>
    </row>
    <row r="250" spans="1:22">
      <c r="A250" t="s">
        <v>543</v>
      </c>
      <c r="B250" t="s">
        <v>544</v>
      </c>
      <c r="C250">
        <v>19</v>
      </c>
      <c r="D250" t="s">
        <v>16</v>
      </c>
      <c r="E250" t="s">
        <v>50</v>
      </c>
      <c r="F250" t="s">
        <v>31</v>
      </c>
      <c r="G250" t="s">
        <v>1047</v>
      </c>
      <c r="H250" t="s">
        <v>1060</v>
      </c>
      <c r="I250">
        <v>9000</v>
      </c>
      <c r="J250">
        <v>12</v>
      </c>
      <c r="K250">
        <v>1</v>
      </c>
      <c r="L250">
        <v>1</v>
      </c>
      <c r="N250">
        <v>90</v>
      </c>
      <c r="O250">
        <v>10</v>
      </c>
      <c r="P250">
        <v>2</v>
      </c>
      <c r="Q250" t="s">
        <v>21</v>
      </c>
      <c r="R250" t="s">
        <v>19</v>
      </c>
      <c r="S250" t="s">
        <v>20</v>
      </c>
      <c r="U250">
        <v>20</v>
      </c>
      <c r="V250" t="s">
        <v>39</v>
      </c>
    </row>
    <row r="251" spans="1:22">
      <c r="A251" t="s">
        <v>545</v>
      </c>
      <c r="B251" t="s">
        <v>546</v>
      </c>
      <c r="C251">
        <v>24</v>
      </c>
      <c r="D251" t="s">
        <v>46</v>
      </c>
      <c r="E251" t="s">
        <v>17</v>
      </c>
      <c r="F251" t="s">
        <v>27</v>
      </c>
      <c r="G251" t="s">
        <v>43</v>
      </c>
      <c r="H251" t="s">
        <v>1060</v>
      </c>
      <c r="I251">
        <v>24000</v>
      </c>
      <c r="J251">
        <v>12</v>
      </c>
      <c r="K251">
        <v>1</v>
      </c>
      <c r="L251">
        <v>4</v>
      </c>
      <c r="M251">
        <v>16000</v>
      </c>
      <c r="N251">
        <v>80</v>
      </c>
      <c r="O251">
        <v>15</v>
      </c>
      <c r="P251">
        <v>5</v>
      </c>
      <c r="Q251" t="s">
        <v>37</v>
      </c>
      <c r="R251" t="s">
        <v>19</v>
      </c>
      <c r="S251" t="s">
        <v>20</v>
      </c>
      <c r="V251" t="s">
        <v>22</v>
      </c>
    </row>
    <row r="252" spans="1:22">
      <c r="A252" t="s">
        <v>547</v>
      </c>
      <c r="B252" t="s">
        <v>548</v>
      </c>
      <c r="C252">
        <v>25</v>
      </c>
      <c r="E252" t="s">
        <v>61</v>
      </c>
      <c r="F252" t="s">
        <v>36</v>
      </c>
      <c r="G252" t="s">
        <v>43</v>
      </c>
      <c r="H252" t="s">
        <v>1060</v>
      </c>
      <c r="I252">
        <v>31000</v>
      </c>
      <c r="J252">
        <v>12</v>
      </c>
      <c r="K252">
        <v>2</v>
      </c>
      <c r="L252">
        <v>3</v>
      </c>
      <c r="M252">
        <v>13400</v>
      </c>
      <c r="N252">
        <v>95</v>
      </c>
      <c r="O252">
        <v>15</v>
      </c>
      <c r="P252">
        <v>11</v>
      </c>
      <c r="Q252" t="s">
        <v>37</v>
      </c>
      <c r="R252" t="s">
        <v>38</v>
      </c>
      <c r="S252" t="s">
        <v>20</v>
      </c>
      <c r="V252" t="s">
        <v>22</v>
      </c>
    </row>
    <row r="253" spans="1:22">
      <c r="A253" t="s">
        <v>549</v>
      </c>
      <c r="B253" t="s">
        <v>550</v>
      </c>
      <c r="C253">
        <v>23</v>
      </c>
      <c r="D253" t="s">
        <v>34</v>
      </c>
      <c r="E253" t="s">
        <v>57</v>
      </c>
      <c r="F253" t="s">
        <v>18</v>
      </c>
      <c r="G253" t="s">
        <v>43</v>
      </c>
      <c r="H253" t="s">
        <v>1060</v>
      </c>
      <c r="I253">
        <v>28000</v>
      </c>
      <c r="J253">
        <v>12</v>
      </c>
      <c r="K253">
        <v>2</v>
      </c>
      <c r="L253">
        <v>1</v>
      </c>
      <c r="N253">
        <v>90</v>
      </c>
      <c r="O253">
        <v>12</v>
      </c>
      <c r="P253">
        <v>3</v>
      </c>
      <c r="Q253" t="s">
        <v>21</v>
      </c>
      <c r="R253" t="s">
        <v>38</v>
      </c>
      <c r="S253" t="s">
        <v>33</v>
      </c>
      <c r="T253">
        <v>10</v>
      </c>
      <c r="V253" t="s">
        <v>39</v>
      </c>
    </row>
    <row r="254" spans="1:22">
      <c r="A254" t="s">
        <v>551</v>
      </c>
      <c r="B254" t="s">
        <v>552</v>
      </c>
      <c r="C254">
        <v>29</v>
      </c>
      <c r="D254" t="s">
        <v>34</v>
      </c>
      <c r="E254" t="s">
        <v>65</v>
      </c>
      <c r="F254" t="s">
        <v>31</v>
      </c>
      <c r="G254" t="s">
        <v>1045</v>
      </c>
      <c r="H254" t="s">
        <v>1060</v>
      </c>
      <c r="I254">
        <v>78000</v>
      </c>
      <c r="J254">
        <v>12</v>
      </c>
      <c r="K254">
        <v>5</v>
      </c>
      <c r="L254">
        <v>2</v>
      </c>
      <c r="N254">
        <v>88</v>
      </c>
      <c r="O254">
        <v>15</v>
      </c>
      <c r="P254">
        <v>1</v>
      </c>
      <c r="Q254" t="s">
        <v>37</v>
      </c>
      <c r="R254" t="s">
        <v>19</v>
      </c>
      <c r="S254" t="s">
        <v>20</v>
      </c>
      <c r="T254">
        <v>10</v>
      </c>
      <c r="U254">
        <v>20</v>
      </c>
      <c r="V254" t="s">
        <v>39</v>
      </c>
    </row>
    <row r="255" spans="1:22">
      <c r="A255" t="s">
        <v>553</v>
      </c>
      <c r="B255" t="s">
        <v>554</v>
      </c>
      <c r="C255">
        <v>24</v>
      </c>
      <c r="D255" t="s">
        <v>16</v>
      </c>
      <c r="E255" t="s">
        <v>50</v>
      </c>
      <c r="F255" t="s">
        <v>31</v>
      </c>
      <c r="G255" t="s">
        <v>43</v>
      </c>
      <c r="H255" t="s">
        <v>1060</v>
      </c>
      <c r="I255">
        <v>24000</v>
      </c>
      <c r="J255">
        <v>12</v>
      </c>
      <c r="K255">
        <v>1</v>
      </c>
      <c r="L255">
        <v>4</v>
      </c>
      <c r="M255">
        <v>16000</v>
      </c>
      <c r="N255">
        <v>90</v>
      </c>
      <c r="O255">
        <v>5</v>
      </c>
      <c r="P255">
        <v>1</v>
      </c>
      <c r="R255" t="s">
        <v>38</v>
      </c>
      <c r="S255" t="s">
        <v>33</v>
      </c>
      <c r="T255">
        <v>10</v>
      </c>
      <c r="V255" t="s">
        <v>22</v>
      </c>
    </row>
    <row r="256" spans="1:22">
      <c r="A256" t="s">
        <v>555</v>
      </c>
      <c r="B256" t="s">
        <v>556</v>
      </c>
      <c r="C256">
        <v>23</v>
      </c>
      <c r="D256" t="s">
        <v>16</v>
      </c>
      <c r="E256" t="s">
        <v>35</v>
      </c>
      <c r="F256" t="s">
        <v>31</v>
      </c>
      <c r="G256" t="s">
        <v>43</v>
      </c>
      <c r="H256" t="s">
        <v>1060</v>
      </c>
      <c r="I256">
        <v>24000</v>
      </c>
      <c r="J256">
        <v>12</v>
      </c>
      <c r="K256">
        <v>1</v>
      </c>
      <c r="L256">
        <v>1</v>
      </c>
      <c r="N256">
        <v>88</v>
      </c>
      <c r="O256">
        <v>12</v>
      </c>
      <c r="P256">
        <v>6</v>
      </c>
      <c r="R256" t="s">
        <v>38</v>
      </c>
      <c r="S256" t="s">
        <v>20</v>
      </c>
      <c r="T256">
        <v>10</v>
      </c>
      <c r="U256">
        <v>20</v>
      </c>
      <c r="V256" t="s">
        <v>39</v>
      </c>
    </row>
    <row r="257" spans="1:22">
      <c r="A257" t="s">
        <v>557</v>
      </c>
      <c r="B257" t="s">
        <v>558</v>
      </c>
      <c r="C257">
        <v>25</v>
      </c>
      <c r="D257" t="s">
        <v>16</v>
      </c>
      <c r="E257" t="s">
        <v>64</v>
      </c>
      <c r="F257" t="s">
        <v>42</v>
      </c>
      <c r="G257" t="s">
        <v>43</v>
      </c>
      <c r="H257" t="s">
        <v>1060</v>
      </c>
      <c r="I257">
        <v>24000</v>
      </c>
      <c r="J257">
        <v>12</v>
      </c>
      <c r="K257">
        <v>1</v>
      </c>
      <c r="L257">
        <v>2</v>
      </c>
      <c r="N257">
        <v>88</v>
      </c>
      <c r="O257">
        <v>12</v>
      </c>
      <c r="P257">
        <v>1</v>
      </c>
      <c r="Q257" t="s">
        <v>21</v>
      </c>
      <c r="R257" t="s">
        <v>38</v>
      </c>
      <c r="S257" t="s">
        <v>20</v>
      </c>
      <c r="U257">
        <v>20</v>
      </c>
      <c r="V257" t="s">
        <v>39</v>
      </c>
    </row>
    <row r="258" spans="1:22">
      <c r="A258" t="s">
        <v>559</v>
      </c>
      <c r="B258" t="s">
        <v>560</v>
      </c>
      <c r="C258">
        <v>19</v>
      </c>
      <c r="E258" t="s">
        <v>65</v>
      </c>
      <c r="F258" t="s">
        <v>42</v>
      </c>
      <c r="G258" t="s">
        <v>1047</v>
      </c>
      <c r="H258" t="s">
        <v>1060</v>
      </c>
      <c r="I258">
        <v>9000</v>
      </c>
      <c r="J258">
        <v>12</v>
      </c>
      <c r="K258">
        <v>1</v>
      </c>
      <c r="L258">
        <v>3</v>
      </c>
      <c r="M258">
        <v>3000</v>
      </c>
      <c r="N258">
        <v>90</v>
      </c>
      <c r="O258">
        <v>10</v>
      </c>
      <c r="P258">
        <v>2</v>
      </c>
      <c r="Q258" t="s">
        <v>21</v>
      </c>
      <c r="R258" t="s">
        <v>38</v>
      </c>
      <c r="S258" t="s">
        <v>20</v>
      </c>
      <c r="T258">
        <v>5</v>
      </c>
      <c r="U258">
        <v>20</v>
      </c>
      <c r="V258" t="s">
        <v>22</v>
      </c>
    </row>
    <row r="259" spans="1:22">
      <c r="A259" t="s">
        <v>561</v>
      </c>
      <c r="B259" t="s">
        <v>562</v>
      </c>
      <c r="C259">
        <v>24</v>
      </c>
      <c r="D259" t="s">
        <v>25</v>
      </c>
      <c r="E259" t="s">
        <v>35</v>
      </c>
      <c r="F259" t="s">
        <v>18</v>
      </c>
      <c r="G259" t="s">
        <v>43</v>
      </c>
      <c r="H259" t="s">
        <v>1060</v>
      </c>
      <c r="I259">
        <v>28000</v>
      </c>
      <c r="J259">
        <v>12</v>
      </c>
      <c r="K259">
        <v>2</v>
      </c>
      <c r="L259">
        <v>3</v>
      </c>
      <c r="M259">
        <v>11400</v>
      </c>
      <c r="N259">
        <v>95</v>
      </c>
      <c r="O259">
        <v>5</v>
      </c>
      <c r="P259">
        <v>2</v>
      </c>
      <c r="Q259" t="s">
        <v>37</v>
      </c>
      <c r="R259" t="s">
        <v>38</v>
      </c>
      <c r="S259" t="s">
        <v>20</v>
      </c>
      <c r="U259">
        <v>20</v>
      </c>
      <c r="V259" t="s">
        <v>22</v>
      </c>
    </row>
    <row r="260" spans="1:22">
      <c r="A260" t="s">
        <v>563</v>
      </c>
      <c r="B260" t="s">
        <v>564</v>
      </c>
      <c r="C260">
        <v>53</v>
      </c>
      <c r="D260" t="s">
        <v>16</v>
      </c>
      <c r="E260" t="s">
        <v>50</v>
      </c>
      <c r="F260" t="s">
        <v>36</v>
      </c>
      <c r="G260" t="s">
        <v>1051</v>
      </c>
      <c r="H260" t="s">
        <v>1060</v>
      </c>
      <c r="I260">
        <v>160000</v>
      </c>
      <c r="J260">
        <v>12</v>
      </c>
      <c r="K260">
        <v>24</v>
      </c>
      <c r="L260">
        <v>3</v>
      </c>
      <c r="M260">
        <v>74819</v>
      </c>
      <c r="N260">
        <v>88</v>
      </c>
      <c r="O260">
        <v>12</v>
      </c>
      <c r="P260">
        <v>3</v>
      </c>
      <c r="R260" t="s">
        <v>38</v>
      </c>
      <c r="S260" t="s">
        <v>20</v>
      </c>
      <c r="U260">
        <v>10</v>
      </c>
      <c r="V260" t="s">
        <v>22</v>
      </c>
    </row>
    <row r="261" spans="1:22">
      <c r="A261" t="s">
        <v>565</v>
      </c>
      <c r="B261" t="s">
        <v>566</v>
      </c>
      <c r="C261">
        <v>25</v>
      </c>
      <c r="D261" t="s">
        <v>46</v>
      </c>
      <c r="E261" t="s">
        <v>64</v>
      </c>
      <c r="F261" t="s">
        <v>36</v>
      </c>
      <c r="G261" t="s">
        <v>43</v>
      </c>
      <c r="H261" t="s">
        <v>1060</v>
      </c>
      <c r="I261">
        <v>28000</v>
      </c>
      <c r="J261">
        <v>12</v>
      </c>
      <c r="K261">
        <v>2</v>
      </c>
      <c r="L261">
        <v>2</v>
      </c>
      <c r="N261">
        <v>88</v>
      </c>
      <c r="O261">
        <v>5</v>
      </c>
      <c r="P261">
        <v>5</v>
      </c>
      <c r="Q261" t="s">
        <v>21</v>
      </c>
      <c r="R261" t="s">
        <v>38</v>
      </c>
      <c r="S261" t="s">
        <v>20</v>
      </c>
      <c r="T261">
        <v>20</v>
      </c>
      <c r="U261">
        <v>20</v>
      </c>
      <c r="V261" t="s">
        <v>39</v>
      </c>
    </row>
    <row r="262" spans="1:22">
      <c r="A262" t="s">
        <v>542</v>
      </c>
      <c r="B262" t="s">
        <v>359</v>
      </c>
      <c r="C262">
        <v>23</v>
      </c>
      <c r="D262" t="s">
        <v>25</v>
      </c>
      <c r="E262" t="s">
        <v>73</v>
      </c>
      <c r="F262" t="s">
        <v>36</v>
      </c>
      <c r="G262" t="s">
        <v>43</v>
      </c>
      <c r="H262" t="s">
        <v>1060</v>
      </c>
      <c r="I262">
        <v>24000</v>
      </c>
      <c r="J262">
        <v>12</v>
      </c>
      <c r="K262">
        <v>1</v>
      </c>
      <c r="L262">
        <v>4</v>
      </c>
      <c r="M262">
        <v>16000</v>
      </c>
      <c r="N262">
        <v>85</v>
      </c>
      <c r="O262">
        <v>10</v>
      </c>
      <c r="P262">
        <v>6</v>
      </c>
      <c r="Q262" t="s">
        <v>37</v>
      </c>
      <c r="R262" t="s">
        <v>38</v>
      </c>
      <c r="S262" t="s">
        <v>33</v>
      </c>
      <c r="T262">
        <v>20</v>
      </c>
      <c r="U262">
        <v>10</v>
      </c>
      <c r="V262" t="s">
        <v>22</v>
      </c>
    </row>
    <row r="263" spans="1:22">
      <c r="A263" t="s">
        <v>567</v>
      </c>
      <c r="B263" t="s">
        <v>568</v>
      </c>
      <c r="C263">
        <v>25</v>
      </c>
      <c r="D263" t="s">
        <v>46</v>
      </c>
      <c r="E263" t="s">
        <v>35</v>
      </c>
      <c r="F263" t="s">
        <v>18</v>
      </c>
      <c r="G263" t="s">
        <v>43</v>
      </c>
      <c r="H263" t="s">
        <v>1060</v>
      </c>
      <c r="I263">
        <v>28000</v>
      </c>
      <c r="J263">
        <v>12</v>
      </c>
      <c r="K263">
        <v>2</v>
      </c>
      <c r="L263">
        <v>5</v>
      </c>
      <c r="M263">
        <v>20000</v>
      </c>
      <c r="N263">
        <v>80</v>
      </c>
      <c r="O263">
        <v>12</v>
      </c>
      <c r="P263">
        <v>1</v>
      </c>
      <c r="Q263" t="s">
        <v>37</v>
      </c>
      <c r="R263" t="s">
        <v>38</v>
      </c>
      <c r="S263" t="s">
        <v>33</v>
      </c>
      <c r="U263">
        <v>30</v>
      </c>
      <c r="V263" t="s">
        <v>58</v>
      </c>
    </row>
    <row r="264" spans="1:22">
      <c r="A264" t="s">
        <v>569</v>
      </c>
      <c r="B264" t="s">
        <v>570</v>
      </c>
      <c r="C264">
        <v>24</v>
      </c>
      <c r="D264" t="s">
        <v>34</v>
      </c>
      <c r="E264" t="s">
        <v>50</v>
      </c>
      <c r="F264" t="s">
        <v>31</v>
      </c>
      <c r="G264" t="s">
        <v>43</v>
      </c>
      <c r="H264" t="s">
        <v>1060</v>
      </c>
      <c r="I264">
        <v>28000</v>
      </c>
      <c r="J264">
        <v>12</v>
      </c>
      <c r="K264">
        <v>2</v>
      </c>
      <c r="L264">
        <v>1</v>
      </c>
      <c r="N264">
        <v>80</v>
      </c>
      <c r="O264">
        <v>15</v>
      </c>
      <c r="P264">
        <v>3</v>
      </c>
      <c r="Q264" t="s">
        <v>37</v>
      </c>
      <c r="R264" t="s">
        <v>38</v>
      </c>
      <c r="S264" t="s">
        <v>20</v>
      </c>
      <c r="T264">
        <v>10</v>
      </c>
      <c r="U264">
        <v>20</v>
      </c>
      <c r="V264" t="s">
        <v>39</v>
      </c>
    </row>
    <row r="265" spans="1:22">
      <c r="A265" t="s">
        <v>571</v>
      </c>
      <c r="B265" t="s">
        <v>572</v>
      </c>
      <c r="C265">
        <v>25</v>
      </c>
      <c r="E265" t="s">
        <v>61</v>
      </c>
      <c r="F265" t="s">
        <v>66</v>
      </c>
      <c r="G265" t="s">
        <v>43</v>
      </c>
      <c r="H265" t="s">
        <v>1059</v>
      </c>
      <c r="I265">
        <v>28000</v>
      </c>
      <c r="J265">
        <v>12</v>
      </c>
      <c r="K265">
        <v>2</v>
      </c>
      <c r="L265">
        <v>2</v>
      </c>
      <c r="N265">
        <v>80</v>
      </c>
      <c r="O265">
        <v>5</v>
      </c>
      <c r="P265">
        <v>2</v>
      </c>
      <c r="Q265" t="s">
        <v>21</v>
      </c>
      <c r="R265" t="s">
        <v>28</v>
      </c>
      <c r="S265" t="s">
        <v>20</v>
      </c>
      <c r="U265">
        <v>20</v>
      </c>
      <c r="V265" t="s">
        <v>39</v>
      </c>
    </row>
    <row r="266" spans="1:22">
      <c r="A266" t="s">
        <v>573</v>
      </c>
      <c r="B266" t="s">
        <v>574</v>
      </c>
      <c r="C266">
        <v>24</v>
      </c>
      <c r="D266" t="s">
        <v>16</v>
      </c>
      <c r="E266" t="s">
        <v>57</v>
      </c>
      <c r="F266" t="s">
        <v>42</v>
      </c>
      <c r="G266" t="s">
        <v>43</v>
      </c>
      <c r="H266" t="s">
        <v>1060</v>
      </c>
      <c r="I266">
        <v>28000</v>
      </c>
      <c r="J266">
        <v>12</v>
      </c>
      <c r="K266">
        <v>2</v>
      </c>
      <c r="L266">
        <v>4</v>
      </c>
      <c r="N266">
        <v>85</v>
      </c>
      <c r="O266">
        <v>12</v>
      </c>
      <c r="P266">
        <v>1</v>
      </c>
      <c r="Q266" t="s">
        <v>37</v>
      </c>
      <c r="R266" t="s">
        <v>38</v>
      </c>
      <c r="S266" t="s">
        <v>33</v>
      </c>
      <c r="T266">
        <v>5</v>
      </c>
      <c r="U266">
        <v>10</v>
      </c>
      <c r="V266" t="s">
        <v>58</v>
      </c>
    </row>
    <row r="267" spans="1:22">
      <c r="A267" t="s">
        <v>575</v>
      </c>
      <c r="B267" t="s">
        <v>576</v>
      </c>
      <c r="C267">
        <v>19</v>
      </c>
      <c r="D267" t="s">
        <v>34</v>
      </c>
      <c r="E267" t="s">
        <v>65</v>
      </c>
      <c r="F267" t="s">
        <v>66</v>
      </c>
      <c r="G267" t="s">
        <v>1047</v>
      </c>
      <c r="H267" t="s">
        <v>1060</v>
      </c>
      <c r="I267">
        <v>9000</v>
      </c>
      <c r="J267">
        <v>12</v>
      </c>
      <c r="K267">
        <v>0</v>
      </c>
      <c r="L267">
        <v>2</v>
      </c>
      <c r="N267">
        <v>90</v>
      </c>
      <c r="O267">
        <v>15</v>
      </c>
      <c r="P267">
        <v>2</v>
      </c>
      <c r="Q267" t="s">
        <v>21</v>
      </c>
      <c r="R267" t="s">
        <v>19</v>
      </c>
      <c r="S267" t="s">
        <v>20</v>
      </c>
      <c r="T267">
        <v>10</v>
      </c>
      <c r="U267">
        <v>30</v>
      </c>
      <c r="V267" t="s">
        <v>39</v>
      </c>
    </row>
    <row r="268" spans="1:22">
      <c r="A268" t="s">
        <v>577</v>
      </c>
      <c r="B268" t="s">
        <v>578</v>
      </c>
      <c r="C268">
        <v>31</v>
      </c>
      <c r="E268" t="s">
        <v>26</v>
      </c>
      <c r="F268" t="s">
        <v>18</v>
      </c>
      <c r="G268" t="s">
        <v>82</v>
      </c>
      <c r="H268" t="s">
        <v>1060</v>
      </c>
      <c r="I268">
        <v>89000</v>
      </c>
      <c r="J268">
        <v>12</v>
      </c>
      <c r="K268">
        <v>7</v>
      </c>
      <c r="L268">
        <v>4</v>
      </c>
      <c r="N268">
        <v>85</v>
      </c>
      <c r="O268">
        <v>15</v>
      </c>
      <c r="P268">
        <v>9</v>
      </c>
      <c r="Q268" t="s">
        <v>21</v>
      </c>
      <c r="R268" t="s">
        <v>38</v>
      </c>
      <c r="S268" t="s">
        <v>33</v>
      </c>
      <c r="T268">
        <v>5</v>
      </c>
      <c r="U268">
        <v>20</v>
      </c>
      <c r="V268" t="s">
        <v>22</v>
      </c>
    </row>
    <row r="269" spans="1:22">
      <c r="A269" t="s">
        <v>579</v>
      </c>
      <c r="B269" t="s">
        <v>580</v>
      </c>
      <c r="C269">
        <v>23</v>
      </c>
      <c r="D269" t="s">
        <v>25</v>
      </c>
      <c r="E269" t="s">
        <v>61</v>
      </c>
      <c r="F269" t="s">
        <v>27</v>
      </c>
      <c r="G269" t="s">
        <v>43</v>
      </c>
      <c r="H269" t="s">
        <v>1060</v>
      </c>
      <c r="I269">
        <v>28000</v>
      </c>
      <c r="J269">
        <v>12</v>
      </c>
      <c r="K269">
        <v>2</v>
      </c>
      <c r="L269">
        <v>3</v>
      </c>
      <c r="M269">
        <v>11400</v>
      </c>
      <c r="N269">
        <v>80</v>
      </c>
      <c r="O269">
        <v>12</v>
      </c>
      <c r="P269">
        <v>13</v>
      </c>
      <c r="Q269" t="s">
        <v>37</v>
      </c>
      <c r="R269" t="s">
        <v>19</v>
      </c>
      <c r="S269" t="s">
        <v>20</v>
      </c>
      <c r="V269" t="s">
        <v>22</v>
      </c>
    </row>
    <row r="270" spans="1:22">
      <c r="A270" t="s">
        <v>581</v>
      </c>
      <c r="B270" t="s">
        <v>582</v>
      </c>
      <c r="C270">
        <v>23</v>
      </c>
      <c r="D270" t="s">
        <v>25</v>
      </c>
      <c r="E270" t="s">
        <v>64</v>
      </c>
      <c r="F270" t="s">
        <v>27</v>
      </c>
      <c r="G270" t="s">
        <v>43</v>
      </c>
      <c r="H270" t="s">
        <v>1059</v>
      </c>
      <c r="I270">
        <v>28000</v>
      </c>
      <c r="J270">
        <v>12</v>
      </c>
      <c r="K270">
        <v>2</v>
      </c>
      <c r="L270">
        <v>3</v>
      </c>
      <c r="M270">
        <v>11400</v>
      </c>
      <c r="N270">
        <v>95</v>
      </c>
      <c r="O270">
        <v>15</v>
      </c>
      <c r="P270">
        <v>1</v>
      </c>
      <c r="R270" t="s">
        <v>28</v>
      </c>
      <c r="S270" t="s">
        <v>33</v>
      </c>
      <c r="T270">
        <v>10</v>
      </c>
      <c r="U270">
        <v>30</v>
      </c>
      <c r="V270" t="s">
        <v>22</v>
      </c>
    </row>
    <row r="271" spans="1:22">
      <c r="A271" t="s">
        <v>583</v>
      </c>
      <c r="B271" t="s">
        <v>584</v>
      </c>
      <c r="C271">
        <v>25</v>
      </c>
      <c r="D271" t="s">
        <v>25</v>
      </c>
      <c r="E271" t="s">
        <v>17</v>
      </c>
      <c r="F271" t="s">
        <v>18</v>
      </c>
      <c r="G271" t="s">
        <v>43</v>
      </c>
      <c r="H271" t="s">
        <v>1060</v>
      </c>
      <c r="I271">
        <v>24000</v>
      </c>
      <c r="J271">
        <v>12</v>
      </c>
      <c r="K271">
        <v>1</v>
      </c>
      <c r="L271">
        <v>2</v>
      </c>
      <c r="N271">
        <v>88</v>
      </c>
      <c r="O271">
        <v>15</v>
      </c>
      <c r="P271">
        <v>1</v>
      </c>
      <c r="R271" t="s">
        <v>38</v>
      </c>
      <c r="S271" t="s">
        <v>20</v>
      </c>
      <c r="T271">
        <v>10</v>
      </c>
      <c r="U271">
        <v>20</v>
      </c>
      <c r="V271" t="s">
        <v>39</v>
      </c>
    </row>
    <row r="272" spans="1:22">
      <c r="A272" t="s">
        <v>585</v>
      </c>
      <c r="B272" t="s">
        <v>586</v>
      </c>
      <c r="C272">
        <v>24</v>
      </c>
      <c r="D272" t="s">
        <v>46</v>
      </c>
      <c r="E272" t="s">
        <v>61</v>
      </c>
      <c r="F272" t="s">
        <v>31</v>
      </c>
      <c r="G272" t="s">
        <v>43</v>
      </c>
      <c r="H272" t="s">
        <v>1060</v>
      </c>
      <c r="I272">
        <v>24000</v>
      </c>
      <c r="J272">
        <v>12</v>
      </c>
      <c r="K272">
        <v>1</v>
      </c>
      <c r="L272">
        <v>4</v>
      </c>
      <c r="M272">
        <v>16000</v>
      </c>
      <c r="N272">
        <v>90</v>
      </c>
      <c r="O272">
        <v>5</v>
      </c>
      <c r="P272">
        <v>7</v>
      </c>
      <c r="Q272" t="s">
        <v>37</v>
      </c>
      <c r="R272" t="s">
        <v>38</v>
      </c>
      <c r="S272" t="s">
        <v>33</v>
      </c>
      <c r="U272">
        <v>30</v>
      </c>
      <c r="V272" t="s">
        <v>22</v>
      </c>
    </row>
    <row r="273" spans="1:22">
      <c r="A273" t="s">
        <v>587</v>
      </c>
      <c r="B273" t="s">
        <v>588</v>
      </c>
      <c r="C273">
        <v>27</v>
      </c>
      <c r="D273" t="s">
        <v>46</v>
      </c>
      <c r="E273" t="s">
        <v>35</v>
      </c>
      <c r="F273" t="s">
        <v>31</v>
      </c>
      <c r="G273" t="s">
        <v>1045</v>
      </c>
      <c r="H273" t="s">
        <v>1060</v>
      </c>
      <c r="I273">
        <v>81000</v>
      </c>
      <c r="J273">
        <v>12</v>
      </c>
      <c r="K273">
        <v>6</v>
      </c>
      <c r="L273">
        <v>5</v>
      </c>
      <c r="M273">
        <v>10212</v>
      </c>
      <c r="N273">
        <v>88</v>
      </c>
      <c r="O273">
        <v>12</v>
      </c>
      <c r="P273">
        <v>5</v>
      </c>
      <c r="Q273" t="s">
        <v>21</v>
      </c>
      <c r="R273" t="s">
        <v>38</v>
      </c>
      <c r="S273" t="s">
        <v>20</v>
      </c>
      <c r="T273">
        <v>20</v>
      </c>
      <c r="U273">
        <v>10</v>
      </c>
      <c r="V273" t="s">
        <v>58</v>
      </c>
    </row>
    <row r="274" spans="1:22">
      <c r="A274" t="s">
        <v>589</v>
      </c>
      <c r="B274" t="s">
        <v>590</v>
      </c>
      <c r="C274">
        <v>25</v>
      </c>
      <c r="D274" t="s">
        <v>46</v>
      </c>
      <c r="E274" t="s">
        <v>57</v>
      </c>
      <c r="F274" t="s">
        <v>27</v>
      </c>
      <c r="G274" t="s">
        <v>43</v>
      </c>
      <c r="H274" t="s">
        <v>1060</v>
      </c>
      <c r="I274">
        <v>28000</v>
      </c>
      <c r="J274">
        <v>12</v>
      </c>
      <c r="K274">
        <v>2</v>
      </c>
      <c r="L274">
        <v>2</v>
      </c>
      <c r="N274">
        <v>80</v>
      </c>
      <c r="O274">
        <v>10</v>
      </c>
      <c r="P274">
        <v>5</v>
      </c>
      <c r="Q274" t="s">
        <v>37</v>
      </c>
      <c r="R274" t="s">
        <v>38</v>
      </c>
      <c r="S274" t="s">
        <v>33</v>
      </c>
      <c r="T274">
        <v>20</v>
      </c>
      <c r="U274">
        <v>30</v>
      </c>
      <c r="V274" t="s">
        <v>39</v>
      </c>
    </row>
    <row r="275" spans="1:22">
      <c r="A275" t="s">
        <v>591</v>
      </c>
      <c r="B275" t="s">
        <v>592</v>
      </c>
      <c r="C275">
        <v>25</v>
      </c>
      <c r="D275" t="s">
        <v>25</v>
      </c>
      <c r="E275" t="s">
        <v>35</v>
      </c>
      <c r="F275" t="s">
        <v>18</v>
      </c>
      <c r="G275" t="s">
        <v>43</v>
      </c>
      <c r="H275" t="s">
        <v>1060</v>
      </c>
      <c r="I275">
        <v>28000</v>
      </c>
      <c r="J275">
        <v>12</v>
      </c>
      <c r="K275">
        <v>2</v>
      </c>
      <c r="L275">
        <v>4</v>
      </c>
      <c r="M275">
        <v>16000</v>
      </c>
      <c r="N275">
        <v>95</v>
      </c>
      <c r="O275">
        <v>15</v>
      </c>
      <c r="P275">
        <v>2</v>
      </c>
      <c r="Q275" t="s">
        <v>21</v>
      </c>
      <c r="R275" t="s">
        <v>19</v>
      </c>
      <c r="S275" t="s">
        <v>20</v>
      </c>
      <c r="U275">
        <v>30</v>
      </c>
      <c r="V275" t="s">
        <v>22</v>
      </c>
    </row>
    <row r="276" spans="1:22">
      <c r="A276" t="s">
        <v>593</v>
      </c>
      <c r="B276" t="s">
        <v>594</v>
      </c>
      <c r="C276">
        <v>25</v>
      </c>
      <c r="D276" t="s">
        <v>25</v>
      </c>
      <c r="E276" t="s">
        <v>26</v>
      </c>
      <c r="F276" t="s">
        <v>27</v>
      </c>
      <c r="G276" t="s">
        <v>43</v>
      </c>
      <c r="H276" t="s">
        <v>1060</v>
      </c>
      <c r="I276">
        <v>24000</v>
      </c>
      <c r="J276">
        <v>12</v>
      </c>
      <c r="K276">
        <v>1</v>
      </c>
      <c r="L276">
        <v>1</v>
      </c>
      <c r="N276">
        <v>88</v>
      </c>
      <c r="O276">
        <v>15</v>
      </c>
      <c r="P276">
        <v>2</v>
      </c>
      <c r="Q276" t="s">
        <v>21</v>
      </c>
      <c r="R276" t="s">
        <v>38</v>
      </c>
      <c r="S276" t="s">
        <v>33</v>
      </c>
      <c r="V276" t="s">
        <v>39</v>
      </c>
    </row>
    <row r="277" spans="1:22">
      <c r="A277" t="s">
        <v>595</v>
      </c>
      <c r="B277" t="s">
        <v>596</v>
      </c>
      <c r="C277">
        <v>25</v>
      </c>
      <c r="D277" t="s">
        <v>16</v>
      </c>
      <c r="E277" t="s">
        <v>61</v>
      </c>
      <c r="F277" t="s">
        <v>31</v>
      </c>
      <c r="G277" t="s">
        <v>43</v>
      </c>
      <c r="H277" t="s">
        <v>1060</v>
      </c>
      <c r="I277">
        <v>28000</v>
      </c>
      <c r="J277">
        <v>12</v>
      </c>
      <c r="K277">
        <v>2</v>
      </c>
      <c r="L277">
        <v>2</v>
      </c>
      <c r="N277">
        <v>88</v>
      </c>
      <c r="O277">
        <v>12</v>
      </c>
      <c r="P277">
        <v>2</v>
      </c>
      <c r="R277" t="s">
        <v>38</v>
      </c>
      <c r="S277" t="s">
        <v>33</v>
      </c>
      <c r="T277">
        <v>20</v>
      </c>
      <c r="U277">
        <v>30</v>
      </c>
      <c r="V277" t="s">
        <v>39</v>
      </c>
    </row>
    <row r="278" spans="1:22">
      <c r="A278" t="s">
        <v>597</v>
      </c>
      <c r="B278" t="s">
        <v>598</v>
      </c>
      <c r="C278">
        <v>24</v>
      </c>
      <c r="D278" t="s">
        <v>16</v>
      </c>
      <c r="E278" t="s">
        <v>64</v>
      </c>
      <c r="F278" t="s">
        <v>18</v>
      </c>
      <c r="G278" t="s">
        <v>43</v>
      </c>
      <c r="H278" t="s">
        <v>1060</v>
      </c>
      <c r="I278">
        <v>24000</v>
      </c>
      <c r="J278">
        <v>12</v>
      </c>
      <c r="K278">
        <v>1</v>
      </c>
      <c r="L278">
        <v>4</v>
      </c>
      <c r="M278">
        <v>16000</v>
      </c>
      <c r="N278">
        <v>95</v>
      </c>
      <c r="O278">
        <v>12</v>
      </c>
      <c r="P278">
        <v>2</v>
      </c>
      <c r="R278" t="s">
        <v>38</v>
      </c>
      <c r="S278" t="s">
        <v>33</v>
      </c>
      <c r="T278">
        <v>10</v>
      </c>
      <c r="U278">
        <v>10</v>
      </c>
      <c r="V278" t="s">
        <v>22</v>
      </c>
    </row>
    <row r="279" spans="1:22">
      <c r="A279" t="s">
        <v>599</v>
      </c>
      <c r="B279" t="s">
        <v>600</v>
      </c>
      <c r="C279">
        <v>23</v>
      </c>
      <c r="E279" t="s">
        <v>57</v>
      </c>
      <c r="F279" t="s">
        <v>66</v>
      </c>
      <c r="G279" t="s">
        <v>43</v>
      </c>
      <c r="H279" t="s">
        <v>1060</v>
      </c>
      <c r="I279">
        <v>24000</v>
      </c>
      <c r="J279">
        <v>12</v>
      </c>
      <c r="K279">
        <v>1</v>
      </c>
      <c r="L279">
        <v>2</v>
      </c>
      <c r="N279">
        <v>85</v>
      </c>
      <c r="O279">
        <v>5</v>
      </c>
      <c r="P279">
        <v>5</v>
      </c>
      <c r="Q279" t="s">
        <v>21</v>
      </c>
      <c r="R279" t="s">
        <v>38</v>
      </c>
      <c r="S279" t="s">
        <v>20</v>
      </c>
      <c r="U279">
        <v>20</v>
      </c>
      <c r="V279" t="s">
        <v>39</v>
      </c>
    </row>
    <row r="280" spans="1:22">
      <c r="A280" t="s">
        <v>601</v>
      </c>
      <c r="B280" t="s">
        <v>602</v>
      </c>
      <c r="C280">
        <v>23</v>
      </c>
      <c r="D280" t="s">
        <v>16</v>
      </c>
      <c r="E280" t="s">
        <v>61</v>
      </c>
      <c r="F280" t="s">
        <v>18</v>
      </c>
      <c r="G280" t="s">
        <v>43</v>
      </c>
      <c r="H280" t="s">
        <v>1059</v>
      </c>
      <c r="I280">
        <v>28000</v>
      </c>
      <c r="J280">
        <v>12</v>
      </c>
      <c r="K280">
        <v>2</v>
      </c>
      <c r="L280">
        <v>2</v>
      </c>
      <c r="N280">
        <v>95</v>
      </c>
      <c r="O280">
        <v>12</v>
      </c>
      <c r="P280">
        <v>1</v>
      </c>
      <c r="Q280" t="s">
        <v>37</v>
      </c>
      <c r="R280" t="s">
        <v>28</v>
      </c>
      <c r="S280" t="s">
        <v>20</v>
      </c>
      <c r="T280">
        <v>5</v>
      </c>
      <c r="U280">
        <v>10</v>
      </c>
      <c r="V280" t="s">
        <v>39</v>
      </c>
    </row>
    <row r="281" spans="1:22">
      <c r="A281" t="s">
        <v>603</v>
      </c>
      <c r="B281" t="s">
        <v>604</v>
      </c>
      <c r="C281">
        <v>23</v>
      </c>
      <c r="D281" t="s">
        <v>34</v>
      </c>
      <c r="E281" t="s">
        <v>17</v>
      </c>
      <c r="F281" t="s">
        <v>36</v>
      </c>
      <c r="G281" t="s">
        <v>43</v>
      </c>
      <c r="H281" t="s">
        <v>1059</v>
      </c>
      <c r="I281">
        <v>24000</v>
      </c>
      <c r="J281">
        <v>12</v>
      </c>
      <c r="K281">
        <v>1</v>
      </c>
      <c r="L281">
        <v>4</v>
      </c>
      <c r="M281">
        <v>16000</v>
      </c>
      <c r="N281">
        <v>80</v>
      </c>
      <c r="O281">
        <v>5</v>
      </c>
      <c r="P281">
        <v>1</v>
      </c>
      <c r="Q281" t="s">
        <v>37</v>
      </c>
      <c r="R281" t="s">
        <v>28</v>
      </c>
      <c r="S281" t="s">
        <v>20</v>
      </c>
      <c r="T281">
        <v>20</v>
      </c>
      <c r="V281" t="s">
        <v>22</v>
      </c>
    </row>
    <row r="282" spans="1:22">
      <c r="A282" t="s">
        <v>605</v>
      </c>
      <c r="B282" t="s">
        <v>606</v>
      </c>
      <c r="C282">
        <v>25</v>
      </c>
      <c r="D282" t="s">
        <v>34</v>
      </c>
      <c r="E282" t="s">
        <v>61</v>
      </c>
      <c r="F282" t="s">
        <v>18</v>
      </c>
      <c r="G282" t="s">
        <v>1048</v>
      </c>
      <c r="H282" t="s">
        <v>1060</v>
      </c>
      <c r="I282">
        <v>65000</v>
      </c>
      <c r="J282">
        <v>12</v>
      </c>
      <c r="K282">
        <v>5</v>
      </c>
      <c r="L282">
        <v>5</v>
      </c>
      <c r="M282">
        <v>70000</v>
      </c>
      <c r="N282">
        <v>88</v>
      </c>
      <c r="O282">
        <v>15</v>
      </c>
      <c r="P282">
        <v>4</v>
      </c>
      <c r="Q282" t="s">
        <v>21</v>
      </c>
      <c r="R282" t="s">
        <v>19</v>
      </c>
      <c r="S282" t="s">
        <v>20</v>
      </c>
      <c r="U282">
        <v>10</v>
      </c>
      <c r="V282" t="s">
        <v>58</v>
      </c>
    </row>
    <row r="283" spans="1:22">
      <c r="A283" t="s">
        <v>607</v>
      </c>
      <c r="B283" t="s">
        <v>608</v>
      </c>
      <c r="C283">
        <v>25</v>
      </c>
      <c r="E283" t="s">
        <v>17</v>
      </c>
      <c r="F283" t="s">
        <v>36</v>
      </c>
      <c r="G283" t="s">
        <v>43</v>
      </c>
      <c r="H283" t="s">
        <v>1059</v>
      </c>
      <c r="I283">
        <v>28000</v>
      </c>
      <c r="J283">
        <v>12</v>
      </c>
      <c r="K283">
        <v>2</v>
      </c>
      <c r="L283">
        <v>4</v>
      </c>
      <c r="M283">
        <v>16000</v>
      </c>
      <c r="N283">
        <v>90</v>
      </c>
      <c r="O283">
        <v>5</v>
      </c>
      <c r="P283">
        <v>3</v>
      </c>
      <c r="R283" t="s">
        <v>28</v>
      </c>
      <c r="S283" t="s">
        <v>33</v>
      </c>
      <c r="T283">
        <v>10</v>
      </c>
      <c r="U283">
        <v>20</v>
      </c>
      <c r="V283" t="s">
        <v>22</v>
      </c>
    </row>
    <row r="284" spans="1:22">
      <c r="A284" t="s">
        <v>609</v>
      </c>
      <c r="B284" t="s">
        <v>610</v>
      </c>
      <c r="C284">
        <v>23</v>
      </c>
      <c r="D284" t="s">
        <v>46</v>
      </c>
      <c r="E284" t="s">
        <v>64</v>
      </c>
      <c r="F284" t="s">
        <v>36</v>
      </c>
      <c r="G284" t="s">
        <v>43</v>
      </c>
      <c r="H284" t="s">
        <v>1060</v>
      </c>
      <c r="I284">
        <v>24000</v>
      </c>
      <c r="J284">
        <v>12</v>
      </c>
      <c r="K284">
        <v>1</v>
      </c>
      <c r="L284">
        <v>2</v>
      </c>
      <c r="N284">
        <v>88</v>
      </c>
      <c r="O284">
        <v>5</v>
      </c>
      <c r="P284">
        <v>5</v>
      </c>
      <c r="R284" t="s">
        <v>38</v>
      </c>
      <c r="S284" t="s">
        <v>33</v>
      </c>
      <c r="U284">
        <v>20</v>
      </c>
      <c r="V284" t="s">
        <v>39</v>
      </c>
    </row>
    <row r="285" spans="1:22">
      <c r="A285" t="s">
        <v>611</v>
      </c>
      <c r="B285" t="s">
        <v>612</v>
      </c>
      <c r="C285">
        <v>23</v>
      </c>
      <c r="D285" t="s">
        <v>16</v>
      </c>
      <c r="E285" t="s">
        <v>47</v>
      </c>
      <c r="F285" t="s">
        <v>27</v>
      </c>
      <c r="G285" t="s">
        <v>43</v>
      </c>
      <c r="H285" t="s">
        <v>1060</v>
      </c>
      <c r="I285">
        <v>24000</v>
      </c>
      <c r="J285">
        <v>12</v>
      </c>
      <c r="K285">
        <v>1</v>
      </c>
      <c r="L285">
        <v>5</v>
      </c>
      <c r="M285">
        <v>20000</v>
      </c>
      <c r="N285">
        <v>88</v>
      </c>
      <c r="O285">
        <v>5</v>
      </c>
      <c r="P285">
        <v>1</v>
      </c>
      <c r="Q285" t="s">
        <v>37</v>
      </c>
      <c r="R285" t="s">
        <v>38</v>
      </c>
      <c r="S285" t="s">
        <v>33</v>
      </c>
      <c r="T285">
        <v>20</v>
      </c>
      <c r="U285">
        <v>10</v>
      </c>
      <c r="V285" t="s">
        <v>58</v>
      </c>
    </row>
    <row r="286" spans="1:22">
      <c r="A286" t="s">
        <v>613</v>
      </c>
      <c r="B286" t="s">
        <v>614</v>
      </c>
      <c r="C286">
        <v>28</v>
      </c>
      <c r="D286" t="s">
        <v>16</v>
      </c>
      <c r="E286" t="s">
        <v>65</v>
      </c>
      <c r="F286" t="s">
        <v>66</v>
      </c>
      <c r="G286" t="s">
        <v>1048</v>
      </c>
      <c r="H286" t="s">
        <v>1060</v>
      </c>
      <c r="I286">
        <v>69500</v>
      </c>
      <c r="J286">
        <v>12</v>
      </c>
      <c r="K286">
        <v>5</v>
      </c>
      <c r="L286">
        <v>5</v>
      </c>
      <c r="N286">
        <v>88</v>
      </c>
      <c r="O286">
        <v>5</v>
      </c>
      <c r="P286">
        <v>3</v>
      </c>
      <c r="Q286" t="s">
        <v>21</v>
      </c>
      <c r="R286" t="s">
        <v>38</v>
      </c>
      <c r="S286" t="s">
        <v>33</v>
      </c>
      <c r="T286">
        <v>10</v>
      </c>
      <c r="V286" t="s">
        <v>58</v>
      </c>
    </row>
    <row r="287" spans="1:22">
      <c r="A287" t="s">
        <v>615</v>
      </c>
      <c r="B287" t="s">
        <v>616</v>
      </c>
      <c r="C287">
        <v>23</v>
      </c>
      <c r="E287" t="s">
        <v>50</v>
      </c>
      <c r="F287" t="s">
        <v>27</v>
      </c>
      <c r="G287" t="s">
        <v>43</v>
      </c>
      <c r="H287" t="s">
        <v>1060</v>
      </c>
      <c r="I287">
        <v>24000</v>
      </c>
      <c r="J287">
        <v>12</v>
      </c>
      <c r="K287">
        <v>1</v>
      </c>
      <c r="L287">
        <v>2</v>
      </c>
      <c r="N287">
        <v>90</v>
      </c>
      <c r="O287">
        <v>5</v>
      </c>
      <c r="P287">
        <v>1</v>
      </c>
      <c r="Q287" t="s">
        <v>37</v>
      </c>
      <c r="R287" t="s">
        <v>38</v>
      </c>
      <c r="S287" t="s">
        <v>33</v>
      </c>
      <c r="T287">
        <v>20</v>
      </c>
      <c r="V287" t="s">
        <v>39</v>
      </c>
    </row>
    <row r="288" spans="1:22">
      <c r="A288" t="s">
        <v>617</v>
      </c>
      <c r="B288" t="s">
        <v>618</v>
      </c>
      <c r="C288">
        <v>23</v>
      </c>
      <c r="D288" t="s">
        <v>46</v>
      </c>
      <c r="E288" t="s">
        <v>17</v>
      </c>
      <c r="F288" t="s">
        <v>18</v>
      </c>
      <c r="G288" t="s">
        <v>43</v>
      </c>
      <c r="H288" t="s">
        <v>1060</v>
      </c>
      <c r="I288">
        <v>24000</v>
      </c>
      <c r="J288">
        <v>12</v>
      </c>
      <c r="K288">
        <v>1</v>
      </c>
      <c r="L288">
        <v>5</v>
      </c>
      <c r="M288">
        <v>20000</v>
      </c>
      <c r="N288">
        <v>95</v>
      </c>
      <c r="O288">
        <v>12</v>
      </c>
      <c r="P288">
        <v>2</v>
      </c>
      <c r="Q288" t="s">
        <v>21</v>
      </c>
      <c r="R288" t="s">
        <v>38</v>
      </c>
      <c r="S288" t="s">
        <v>20</v>
      </c>
      <c r="T288">
        <v>10</v>
      </c>
      <c r="V288" t="s">
        <v>58</v>
      </c>
    </row>
    <row r="289" spans="1:22">
      <c r="A289" t="s">
        <v>619</v>
      </c>
      <c r="B289" t="s">
        <v>620</v>
      </c>
      <c r="C289">
        <v>25</v>
      </c>
      <c r="D289" t="s">
        <v>16</v>
      </c>
      <c r="E289" t="s">
        <v>57</v>
      </c>
      <c r="F289" t="s">
        <v>31</v>
      </c>
      <c r="G289" t="s">
        <v>43</v>
      </c>
      <c r="H289" t="s">
        <v>1060</v>
      </c>
      <c r="I289">
        <v>24000</v>
      </c>
      <c r="J289">
        <v>12</v>
      </c>
      <c r="K289">
        <v>1</v>
      </c>
      <c r="L289">
        <v>2</v>
      </c>
      <c r="N289">
        <v>95</v>
      </c>
      <c r="O289">
        <v>15</v>
      </c>
      <c r="P289">
        <v>10</v>
      </c>
      <c r="Q289" t="s">
        <v>37</v>
      </c>
      <c r="R289" t="s">
        <v>38</v>
      </c>
      <c r="S289" t="s">
        <v>20</v>
      </c>
      <c r="V289" t="s">
        <v>39</v>
      </c>
    </row>
    <row r="290" spans="1:22">
      <c r="A290" t="s">
        <v>621</v>
      </c>
      <c r="B290" t="s">
        <v>622</v>
      </c>
      <c r="C290">
        <v>23</v>
      </c>
      <c r="D290" t="s">
        <v>46</v>
      </c>
      <c r="E290" t="s">
        <v>61</v>
      </c>
      <c r="F290" t="s">
        <v>66</v>
      </c>
      <c r="G290" t="s">
        <v>43</v>
      </c>
      <c r="H290" t="s">
        <v>1060</v>
      </c>
      <c r="I290">
        <v>28000</v>
      </c>
      <c r="J290">
        <v>12</v>
      </c>
      <c r="K290">
        <v>2</v>
      </c>
      <c r="L290">
        <v>2</v>
      </c>
      <c r="N290">
        <v>80</v>
      </c>
      <c r="O290">
        <v>12</v>
      </c>
      <c r="P290">
        <v>5</v>
      </c>
      <c r="Q290" t="s">
        <v>21</v>
      </c>
      <c r="R290" t="s">
        <v>38</v>
      </c>
      <c r="S290" t="s">
        <v>33</v>
      </c>
      <c r="T290">
        <v>20</v>
      </c>
      <c r="U290">
        <v>30</v>
      </c>
      <c r="V290" t="s">
        <v>39</v>
      </c>
    </row>
    <row r="291" spans="1:22">
      <c r="A291" t="s">
        <v>623</v>
      </c>
      <c r="B291" t="s">
        <v>624</v>
      </c>
      <c r="C291">
        <v>23</v>
      </c>
      <c r="D291" t="s">
        <v>46</v>
      </c>
      <c r="E291" t="s">
        <v>61</v>
      </c>
      <c r="F291" t="s">
        <v>66</v>
      </c>
      <c r="G291" t="s">
        <v>43</v>
      </c>
      <c r="H291" t="s">
        <v>1060</v>
      </c>
      <c r="I291">
        <v>24000</v>
      </c>
      <c r="J291">
        <v>12</v>
      </c>
      <c r="K291">
        <v>1</v>
      </c>
      <c r="L291">
        <v>4</v>
      </c>
      <c r="M291">
        <v>16000</v>
      </c>
      <c r="N291">
        <v>95</v>
      </c>
      <c r="O291">
        <v>10</v>
      </c>
      <c r="P291">
        <v>5</v>
      </c>
      <c r="Q291" t="s">
        <v>37</v>
      </c>
      <c r="R291" t="s">
        <v>38</v>
      </c>
      <c r="S291" t="s">
        <v>33</v>
      </c>
      <c r="U291">
        <v>30</v>
      </c>
      <c r="V291" t="s">
        <v>22</v>
      </c>
    </row>
    <row r="292" spans="1:22">
      <c r="A292" t="s">
        <v>625</v>
      </c>
      <c r="B292" t="s">
        <v>626</v>
      </c>
      <c r="C292">
        <v>24</v>
      </c>
      <c r="D292" t="s">
        <v>34</v>
      </c>
      <c r="E292" t="s">
        <v>73</v>
      </c>
      <c r="F292" t="s">
        <v>66</v>
      </c>
      <c r="G292" t="s">
        <v>43</v>
      </c>
      <c r="H292" t="s">
        <v>1060</v>
      </c>
      <c r="I292">
        <v>24000</v>
      </c>
      <c r="J292">
        <v>12</v>
      </c>
      <c r="K292">
        <v>1</v>
      </c>
      <c r="L292">
        <v>3</v>
      </c>
      <c r="M292">
        <v>11400</v>
      </c>
      <c r="N292">
        <v>90</v>
      </c>
      <c r="O292">
        <v>5</v>
      </c>
      <c r="P292">
        <v>2</v>
      </c>
      <c r="Q292" t="s">
        <v>37</v>
      </c>
      <c r="R292" t="s">
        <v>19</v>
      </c>
      <c r="S292" t="s">
        <v>20</v>
      </c>
      <c r="T292">
        <v>20</v>
      </c>
      <c r="V292" t="s">
        <v>22</v>
      </c>
    </row>
    <row r="293" spans="1:22">
      <c r="A293" t="s">
        <v>627</v>
      </c>
      <c r="B293" t="s">
        <v>628</v>
      </c>
      <c r="C293">
        <v>23</v>
      </c>
      <c r="D293" t="s">
        <v>16</v>
      </c>
      <c r="E293" t="s">
        <v>65</v>
      </c>
      <c r="F293" t="s">
        <v>18</v>
      </c>
      <c r="G293" t="s">
        <v>43</v>
      </c>
      <c r="H293" t="s">
        <v>1060</v>
      </c>
      <c r="I293">
        <v>28000</v>
      </c>
      <c r="J293">
        <v>12</v>
      </c>
      <c r="K293">
        <v>2</v>
      </c>
      <c r="L293">
        <v>1</v>
      </c>
      <c r="N293">
        <v>85</v>
      </c>
      <c r="O293">
        <v>5</v>
      </c>
      <c r="P293">
        <v>13</v>
      </c>
      <c r="Q293" t="s">
        <v>21</v>
      </c>
      <c r="R293" t="s">
        <v>38</v>
      </c>
      <c r="S293" t="s">
        <v>20</v>
      </c>
      <c r="V293" t="s">
        <v>39</v>
      </c>
    </row>
    <row r="294" spans="1:22">
      <c r="A294" t="s">
        <v>629</v>
      </c>
      <c r="B294" t="s">
        <v>630</v>
      </c>
      <c r="C294">
        <v>24</v>
      </c>
      <c r="D294" t="s">
        <v>25</v>
      </c>
      <c r="E294" t="s">
        <v>65</v>
      </c>
      <c r="F294" t="s">
        <v>36</v>
      </c>
      <c r="G294" t="s">
        <v>43</v>
      </c>
      <c r="H294" t="s">
        <v>1060</v>
      </c>
      <c r="I294">
        <v>24000</v>
      </c>
      <c r="J294">
        <v>12</v>
      </c>
      <c r="K294">
        <v>1</v>
      </c>
      <c r="L294">
        <v>2</v>
      </c>
      <c r="N294">
        <v>88</v>
      </c>
      <c r="O294">
        <v>12</v>
      </c>
      <c r="P294">
        <v>1</v>
      </c>
      <c r="R294" t="s">
        <v>38</v>
      </c>
      <c r="S294" t="s">
        <v>20</v>
      </c>
      <c r="T294">
        <v>10</v>
      </c>
      <c r="U294">
        <v>10</v>
      </c>
      <c r="V294" t="s">
        <v>39</v>
      </c>
    </row>
    <row r="295" spans="1:22">
      <c r="A295" t="s">
        <v>631</v>
      </c>
      <c r="B295" t="s">
        <v>632</v>
      </c>
      <c r="C295">
        <v>23</v>
      </c>
      <c r="E295" t="s">
        <v>64</v>
      </c>
      <c r="F295" t="s">
        <v>31</v>
      </c>
      <c r="G295" t="s">
        <v>43</v>
      </c>
      <c r="H295" t="s">
        <v>1060</v>
      </c>
      <c r="I295">
        <v>24000</v>
      </c>
      <c r="J295">
        <v>12</v>
      </c>
      <c r="K295">
        <v>1</v>
      </c>
      <c r="L295">
        <v>1</v>
      </c>
      <c r="N295">
        <v>85</v>
      </c>
      <c r="O295">
        <v>10</v>
      </c>
      <c r="P295">
        <v>2</v>
      </c>
      <c r="R295" t="s">
        <v>19</v>
      </c>
      <c r="S295" t="s">
        <v>33</v>
      </c>
      <c r="T295">
        <v>20</v>
      </c>
      <c r="U295">
        <v>20</v>
      </c>
      <c r="V295" t="s">
        <v>39</v>
      </c>
    </row>
    <row r="296" spans="1:22">
      <c r="A296" t="s">
        <v>633</v>
      </c>
      <c r="B296" t="s">
        <v>634</v>
      </c>
      <c r="C296">
        <v>25</v>
      </c>
      <c r="E296" t="s">
        <v>73</v>
      </c>
      <c r="F296" t="s">
        <v>36</v>
      </c>
      <c r="G296" t="s">
        <v>43</v>
      </c>
      <c r="H296" t="s">
        <v>1059</v>
      </c>
      <c r="I296">
        <v>28000</v>
      </c>
      <c r="J296">
        <v>12</v>
      </c>
      <c r="K296">
        <v>2</v>
      </c>
      <c r="L296">
        <v>4</v>
      </c>
      <c r="M296">
        <v>16000</v>
      </c>
      <c r="N296">
        <v>90</v>
      </c>
      <c r="O296">
        <v>12</v>
      </c>
      <c r="P296">
        <v>5</v>
      </c>
      <c r="R296" t="s">
        <v>28</v>
      </c>
      <c r="S296" t="s">
        <v>33</v>
      </c>
      <c r="T296">
        <v>10</v>
      </c>
      <c r="U296">
        <v>30</v>
      </c>
      <c r="V296" t="s">
        <v>22</v>
      </c>
    </row>
    <row r="297" spans="1:22">
      <c r="A297" t="s">
        <v>635</v>
      </c>
      <c r="B297" t="s">
        <v>636</v>
      </c>
      <c r="C297">
        <v>24</v>
      </c>
      <c r="D297" t="s">
        <v>16</v>
      </c>
      <c r="E297" t="s">
        <v>73</v>
      </c>
      <c r="F297" t="s">
        <v>18</v>
      </c>
      <c r="G297" t="s">
        <v>43</v>
      </c>
      <c r="H297" t="s">
        <v>1060</v>
      </c>
      <c r="I297">
        <v>28000</v>
      </c>
      <c r="J297">
        <v>12</v>
      </c>
      <c r="K297">
        <v>2</v>
      </c>
      <c r="L297">
        <v>3</v>
      </c>
      <c r="M297">
        <v>13400</v>
      </c>
      <c r="N297">
        <v>80</v>
      </c>
      <c r="O297">
        <v>10</v>
      </c>
      <c r="P297">
        <v>2</v>
      </c>
      <c r="Q297" t="s">
        <v>37</v>
      </c>
      <c r="R297" t="s">
        <v>38</v>
      </c>
      <c r="S297" t="s">
        <v>20</v>
      </c>
      <c r="T297">
        <v>10</v>
      </c>
      <c r="U297">
        <v>30</v>
      </c>
      <c r="V297" t="s">
        <v>22</v>
      </c>
    </row>
    <row r="298" spans="1:22">
      <c r="A298" t="s">
        <v>637</v>
      </c>
      <c r="B298" t="s">
        <v>638</v>
      </c>
      <c r="C298">
        <v>24</v>
      </c>
      <c r="D298" t="s">
        <v>25</v>
      </c>
      <c r="E298" t="s">
        <v>57</v>
      </c>
      <c r="F298" t="s">
        <v>18</v>
      </c>
      <c r="G298" t="s">
        <v>43</v>
      </c>
      <c r="H298" t="s">
        <v>1060</v>
      </c>
      <c r="I298">
        <v>28000</v>
      </c>
      <c r="J298">
        <v>12</v>
      </c>
      <c r="K298">
        <v>2</v>
      </c>
      <c r="L298">
        <v>4</v>
      </c>
      <c r="M298">
        <v>16000</v>
      </c>
      <c r="N298">
        <v>88</v>
      </c>
      <c r="O298">
        <v>5</v>
      </c>
      <c r="P298">
        <v>12</v>
      </c>
      <c r="R298" t="s">
        <v>38</v>
      </c>
      <c r="S298" t="s">
        <v>20</v>
      </c>
      <c r="U298">
        <v>20</v>
      </c>
      <c r="V298" t="s">
        <v>22</v>
      </c>
    </row>
    <row r="299" spans="1:22">
      <c r="A299" t="s">
        <v>639</v>
      </c>
      <c r="B299" t="s">
        <v>640</v>
      </c>
      <c r="C299">
        <v>24</v>
      </c>
      <c r="E299" t="s">
        <v>26</v>
      </c>
      <c r="F299" t="s">
        <v>31</v>
      </c>
      <c r="G299" t="s">
        <v>43</v>
      </c>
      <c r="H299" t="s">
        <v>1060</v>
      </c>
      <c r="I299">
        <v>24000</v>
      </c>
      <c r="J299">
        <v>12</v>
      </c>
      <c r="K299">
        <v>1</v>
      </c>
      <c r="L299">
        <v>1</v>
      </c>
      <c r="N299">
        <v>88</v>
      </c>
      <c r="O299">
        <v>15</v>
      </c>
      <c r="P299">
        <v>2</v>
      </c>
      <c r="R299" t="s">
        <v>38</v>
      </c>
      <c r="S299" t="s">
        <v>20</v>
      </c>
      <c r="V299" t="s">
        <v>39</v>
      </c>
    </row>
    <row r="300" spans="1:22">
      <c r="A300" t="s">
        <v>641</v>
      </c>
      <c r="B300" t="s">
        <v>642</v>
      </c>
      <c r="C300">
        <v>25</v>
      </c>
      <c r="E300" t="s">
        <v>50</v>
      </c>
      <c r="F300" t="s">
        <v>36</v>
      </c>
      <c r="G300" t="s">
        <v>43</v>
      </c>
      <c r="H300" t="s">
        <v>1060</v>
      </c>
      <c r="I300">
        <v>28000</v>
      </c>
      <c r="J300">
        <v>12</v>
      </c>
      <c r="K300">
        <v>2</v>
      </c>
      <c r="L300">
        <v>1</v>
      </c>
      <c r="N300">
        <v>90</v>
      </c>
      <c r="O300">
        <v>10</v>
      </c>
      <c r="P300">
        <v>2</v>
      </c>
      <c r="Q300" t="s">
        <v>21</v>
      </c>
      <c r="R300" t="s">
        <v>38</v>
      </c>
      <c r="S300" t="s">
        <v>20</v>
      </c>
      <c r="T300">
        <v>5</v>
      </c>
      <c r="U300">
        <v>10</v>
      </c>
      <c r="V300" t="s">
        <v>39</v>
      </c>
    </row>
    <row r="301" spans="1:22">
      <c r="A301" t="s">
        <v>643</v>
      </c>
      <c r="B301" t="s">
        <v>644</v>
      </c>
      <c r="C301">
        <v>25</v>
      </c>
      <c r="D301" t="s">
        <v>25</v>
      </c>
      <c r="E301" t="s">
        <v>17</v>
      </c>
      <c r="F301" t="s">
        <v>31</v>
      </c>
      <c r="G301" t="s">
        <v>43</v>
      </c>
      <c r="H301" t="s">
        <v>1060</v>
      </c>
      <c r="I301">
        <v>24000</v>
      </c>
      <c r="J301">
        <v>12</v>
      </c>
      <c r="K301">
        <v>1</v>
      </c>
      <c r="L301">
        <v>3</v>
      </c>
      <c r="M301">
        <v>11481</v>
      </c>
      <c r="N301">
        <v>88</v>
      </c>
      <c r="O301">
        <v>5</v>
      </c>
      <c r="P301">
        <v>2</v>
      </c>
      <c r="R301" t="s">
        <v>38</v>
      </c>
      <c r="S301" t="s">
        <v>33</v>
      </c>
      <c r="U301">
        <v>20</v>
      </c>
      <c r="V301" t="s">
        <v>22</v>
      </c>
    </row>
    <row r="302" spans="1:22">
      <c r="A302" t="s">
        <v>645</v>
      </c>
      <c r="B302" t="s">
        <v>646</v>
      </c>
      <c r="C302">
        <v>28</v>
      </c>
      <c r="E302" t="s">
        <v>26</v>
      </c>
      <c r="F302" t="s">
        <v>42</v>
      </c>
      <c r="G302" t="s">
        <v>1045</v>
      </c>
      <c r="H302" t="s">
        <v>1060</v>
      </c>
      <c r="I302">
        <v>78000</v>
      </c>
      <c r="J302">
        <v>12</v>
      </c>
      <c r="K302">
        <v>7</v>
      </c>
      <c r="L302">
        <v>4</v>
      </c>
      <c r="M302">
        <v>10871</v>
      </c>
      <c r="N302">
        <v>95</v>
      </c>
      <c r="O302">
        <v>10</v>
      </c>
      <c r="P302">
        <v>9</v>
      </c>
      <c r="Q302" t="s">
        <v>37</v>
      </c>
      <c r="R302" t="s">
        <v>38</v>
      </c>
      <c r="S302" t="s">
        <v>20</v>
      </c>
      <c r="T302">
        <v>20</v>
      </c>
      <c r="U302">
        <v>10</v>
      </c>
      <c r="V302" t="s">
        <v>58</v>
      </c>
    </row>
    <row r="303" spans="1:22">
      <c r="A303" t="s">
        <v>647</v>
      </c>
      <c r="B303" t="s">
        <v>648</v>
      </c>
      <c r="C303">
        <v>29</v>
      </c>
      <c r="E303" t="s">
        <v>26</v>
      </c>
      <c r="F303" t="s">
        <v>31</v>
      </c>
      <c r="G303" t="s">
        <v>1045</v>
      </c>
      <c r="H303" t="s">
        <v>1060</v>
      </c>
      <c r="I303">
        <v>81000</v>
      </c>
      <c r="J303">
        <v>12</v>
      </c>
      <c r="K303">
        <v>6</v>
      </c>
      <c r="L303">
        <v>4</v>
      </c>
      <c r="M303">
        <v>10871</v>
      </c>
      <c r="N303">
        <v>88</v>
      </c>
      <c r="O303">
        <v>5</v>
      </c>
      <c r="P303">
        <v>4</v>
      </c>
      <c r="Q303" t="s">
        <v>37</v>
      </c>
      <c r="R303" t="s">
        <v>38</v>
      </c>
      <c r="S303" t="s">
        <v>20</v>
      </c>
      <c r="T303">
        <v>10</v>
      </c>
      <c r="U303">
        <v>20</v>
      </c>
      <c r="V303" t="s">
        <v>22</v>
      </c>
    </row>
    <row r="304" spans="1:22">
      <c r="A304" t="s">
        <v>649</v>
      </c>
      <c r="B304" t="s">
        <v>650</v>
      </c>
      <c r="C304">
        <v>23</v>
      </c>
      <c r="D304" t="s">
        <v>25</v>
      </c>
      <c r="E304" t="s">
        <v>64</v>
      </c>
      <c r="F304" t="s">
        <v>42</v>
      </c>
      <c r="G304" t="s">
        <v>43</v>
      </c>
      <c r="H304" t="s">
        <v>1060</v>
      </c>
      <c r="I304">
        <v>28000</v>
      </c>
      <c r="J304">
        <v>12</v>
      </c>
      <c r="K304">
        <v>2</v>
      </c>
      <c r="L304">
        <v>2</v>
      </c>
      <c r="N304">
        <v>90</v>
      </c>
      <c r="O304">
        <v>12</v>
      </c>
      <c r="P304">
        <v>2</v>
      </c>
      <c r="Q304" t="s">
        <v>37</v>
      </c>
      <c r="R304" t="s">
        <v>38</v>
      </c>
      <c r="S304" t="s">
        <v>20</v>
      </c>
      <c r="T304">
        <v>5</v>
      </c>
      <c r="V304" t="s">
        <v>39</v>
      </c>
    </row>
    <row r="305" spans="1:22">
      <c r="A305" t="s">
        <v>651</v>
      </c>
      <c r="B305" t="s">
        <v>652</v>
      </c>
      <c r="C305">
        <v>25</v>
      </c>
      <c r="D305" t="s">
        <v>34</v>
      </c>
      <c r="E305" t="s">
        <v>65</v>
      </c>
      <c r="F305" t="s">
        <v>31</v>
      </c>
      <c r="G305" t="s">
        <v>43</v>
      </c>
      <c r="H305" t="s">
        <v>1059</v>
      </c>
      <c r="I305">
        <v>24000</v>
      </c>
      <c r="J305">
        <v>12</v>
      </c>
      <c r="K305">
        <v>1</v>
      </c>
      <c r="L305">
        <v>1</v>
      </c>
      <c r="N305">
        <v>95</v>
      </c>
      <c r="O305">
        <v>10</v>
      </c>
      <c r="P305">
        <v>10</v>
      </c>
      <c r="Q305" t="s">
        <v>37</v>
      </c>
      <c r="R305" t="s">
        <v>28</v>
      </c>
      <c r="S305" t="s">
        <v>33</v>
      </c>
      <c r="T305">
        <v>5</v>
      </c>
      <c r="U305">
        <v>30</v>
      </c>
      <c r="V305" t="s">
        <v>39</v>
      </c>
    </row>
    <row r="306" spans="1:22">
      <c r="A306" t="s">
        <v>653</v>
      </c>
      <c r="B306" t="s">
        <v>654</v>
      </c>
      <c r="C306">
        <v>24</v>
      </c>
      <c r="D306" t="s">
        <v>25</v>
      </c>
      <c r="E306" t="s">
        <v>65</v>
      </c>
      <c r="F306" t="s">
        <v>31</v>
      </c>
      <c r="G306" t="s">
        <v>43</v>
      </c>
      <c r="H306" t="s">
        <v>1060</v>
      </c>
      <c r="I306">
        <v>24000</v>
      </c>
      <c r="J306">
        <v>12</v>
      </c>
      <c r="K306">
        <v>1</v>
      </c>
      <c r="L306">
        <v>3</v>
      </c>
      <c r="M306">
        <v>11400</v>
      </c>
      <c r="N306">
        <v>85</v>
      </c>
      <c r="O306">
        <v>5</v>
      </c>
      <c r="P306">
        <v>10</v>
      </c>
      <c r="Q306" t="s">
        <v>21</v>
      </c>
      <c r="R306" t="s">
        <v>38</v>
      </c>
      <c r="S306" t="s">
        <v>20</v>
      </c>
      <c r="T306">
        <v>10</v>
      </c>
      <c r="U306">
        <v>10</v>
      </c>
      <c r="V306" t="s">
        <v>22</v>
      </c>
    </row>
    <row r="307" spans="1:22">
      <c r="A307" t="s">
        <v>655</v>
      </c>
      <c r="B307" t="s">
        <v>656</v>
      </c>
      <c r="C307">
        <v>25</v>
      </c>
      <c r="D307" t="s">
        <v>16</v>
      </c>
      <c r="E307" t="s">
        <v>57</v>
      </c>
      <c r="F307" t="s">
        <v>18</v>
      </c>
      <c r="G307" t="s">
        <v>43</v>
      </c>
      <c r="H307" t="s">
        <v>1060</v>
      </c>
      <c r="I307">
        <v>24000</v>
      </c>
      <c r="J307">
        <v>12</v>
      </c>
      <c r="K307">
        <v>1</v>
      </c>
      <c r="L307">
        <v>2</v>
      </c>
      <c r="N307">
        <v>85</v>
      </c>
      <c r="O307">
        <v>10</v>
      </c>
      <c r="P307">
        <v>1</v>
      </c>
      <c r="Q307" t="s">
        <v>37</v>
      </c>
      <c r="R307" t="s">
        <v>38</v>
      </c>
      <c r="S307" t="s">
        <v>20</v>
      </c>
      <c r="T307">
        <v>20</v>
      </c>
      <c r="U307">
        <v>30</v>
      </c>
      <c r="V307" t="s">
        <v>39</v>
      </c>
    </row>
    <row r="308" spans="1:22">
      <c r="A308" t="s">
        <v>657</v>
      </c>
      <c r="B308" t="s">
        <v>658</v>
      </c>
      <c r="C308">
        <v>24</v>
      </c>
      <c r="D308" t="s">
        <v>46</v>
      </c>
      <c r="E308" t="s">
        <v>17</v>
      </c>
      <c r="F308" t="s">
        <v>31</v>
      </c>
      <c r="G308" t="s">
        <v>43</v>
      </c>
      <c r="H308" t="s">
        <v>1060</v>
      </c>
      <c r="I308">
        <v>28000</v>
      </c>
      <c r="J308">
        <v>12</v>
      </c>
      <c r="K308">
        <v>2</v>
      </c>
      <c r="L308">
        <v>2</v>
      </c>
      <c r="N308">
        <v>85</v>
      </c>
      <c r="O308">
        <v>15</v>
      </c>
      <c r="P308">
        <v>3</v>
      </c>
      <c r="Q308" t="s">
        <v>37</v>
      </c>
      <c r="R308" t="s">
        <v>38</v>
      </c>
      <c r="S308" t="s">
        <v>33</v>
      </c>
      <c r="V308" t="s">
        <v>39</v>
      </c>
    </row>
    <row r="309" spans="1:22">
      <c r="A309" t="s">
        <v>659</v>
      </c>
      <c r="B309" t="s">
        <v>660</v>
      </c>
      <c r="C309">
        <v>24</v>
      </c>
      <c r="D309" t="s">
        <v>25</v>
      </c>
      <c r="E309" t="s">
        <v>65</v>
      </c>
      <c r="F309" t="s">
        <v>36</v>
      </c>
      <c r="G309" t="s">
        <v>43</v>
      </c>
      <c r="H309" t="s">
        <v>1060</v>
      </c>
      <c r="I309">
        <v>28000</v>
      </c>
      <c r="J309">
        <v>12</v>
      </c>
      <c r="K309">
        <v>2</v>
      </c>
      <c r="L309">
        <v>2</v>
      </c>
      <c r="N309">
        <v>85</v>
      </c>
      <c r="O309">
        <v>15</v>
      </c>
      <c r="P309">
        <v>1</v>
      </c>
      <c r="Q309" t="s">
        <v>21</v>
      </c>
      <c r="R309" t="s">
        <v>38</v>
      </c>
      <c r="S309" t="s">
        <v>20</v>
      </c>
      <c r="T309">
        <v>5</v>
      </c>
      <c r="U309">
        <v>20</v>
      </c>
      <c r="V309" t="s">
        <v>39</v>
      </c>
    </row>
    <row r="310" spans="1:22">
      <c r="A310" t="s">
        <v>661</v>
      </c>
      <c r="B310" t="s">
        <v>662</v>
      </c>
      <c r="C310">
        <v>23</v>
      </c>
      <c r="D310" t="s">
        <v>34</v>
      </c>
      <c r="E310" t="s">
        <v>73</v>
      </c>
      <c r="F310" t="s">
        <v>42</v>
      </c>
      <c r="G310" t="s">
        <v>43</v>
      </c>
      <c r="H310" t="s">
        <v>1060</v>
      </c>
      <c r="I310">
        <v>28000</v>
      </c>
      <c r="J310">
        <v>12</v>
      </c>
      <c r="K310">
        <v>2</v>
      </c>
      <c r="L310">
        <v>1</v>
      </c>
      <c r="N310">
        <v>95</v>
      </c>
      <c r="O310">
        <v>10</v>
      </c>
      <c r="P310">
        <v>11</v>
      </c>
      <c r="R310" t="s">
        <v>38</v>
      </c>
      <c r="S310" t="s">
        <v>33</v>
      </c>
      <c r="T310">
        <v>5</v>
      </c>
      <c r="U310">
        <v>30</v>
      </c>
      <c r="V310" t="s">
        <v>39</v>
      </c>
    </row>
    <row r="311" spans="1:22">
      <c r="A311" t="s">
        <v>663</v>
      </c>
      <c r="B311" t="s">
        <v>664</v>
      </c>
      <c r="C311">
        <v>33</v>
      </c>
      <c r="D311" t="s">
        <v>25</v>
      </c>
      <c r="E311" t="s">
        <v>35</v>
      </c>
      <c r="F311" t="s">
        <v>27</v>
      </c>
      <c r="G311" t="s">
        <v>82</v>
      </c>
      <c r="H311" t="s">
        <v>1060</v>
      </c>
      <c r="I311">
        <v>89000</v>
      </c>
      <c r="J311">
        <v>12</v>
      </c>
      <c r="K311">
        <v>8</v>
      </c>
      <c r="L311">
        <v>1</v>
      </c>
      <c r="N311">
        <v>88</v>
      </c>
      <c r="O311">
        <v>5</v>
      </c>
      <c r="P311">
        <v>11</v>
      </c>
      <c r="R311" t="s">
        <v>38</v>
      </c>
      <c r="S311" t="s">
        <v>33</v>
      </c>
      <c r="T311">
        <v>5</v>
      </c>
      <c r="U311">
        <v>10</v>
      </c>
      <c r="V311" t="s">
        <v>39</v>
      </c>
    </row>
    <row r="312" spans="1:22">
      <c r="A312" t="s">
        <v>665</v>
      </c>
      <c r="B312" t="s">
        <v>666</v>
      </c>
      <c r="C312">
        <v>23</v>
      </c>
      <c r="D312" t="s">
        <v>16</v>
      </c>
      <c r="E312" t="s">
        <v>64</v>
      </c>
      <c r="F312" t="s">
        <v>31</v>
      </c>
      <c r="G312" t="s">
        <v>43</v>
      </c>
      <c r="H312" t="s">
        <v>1060</v>
      </c>
      <c r="I312">
        <v>24000</v>
      </c>
      <c r="J312">
        <v>12</v>
      </c>
      <c r="K312">
        <v>1</v>
      </c>
      <c r="L312">
        <v>3</v>
      </c>
      <c r="M312">
        <v>13400</v>
      </c>
      <c r="N312">
        <v>88</v>
      </c>
      <c r="O312">
        <v>5</v>
      </c>
      <c r="P312">
        <v>9</v>
      </c>
      <c r="R312" t="s">
        <v>38</v>
      </c>
      <c r="S312" t="s">
        <v>33</v>
      </c>
      <c r="T312">
        <v>10</v>
      </c>
      <c r="V312" t="s">
        <v>22</v>
      </c>
    </row>
    <row r="313" spans="1:22">
      <c r="A313" t="s">
        <v>667</v>
      </c>
      <c r="B313" t="s">
        <v>668</v>
      </c>
      <c r="C313">
        <v>24</v>
      </c>
      <c r="D313" t="s">
        <v>34</v>
      </c>
      <c r="E313" t="s">
        <v>73</v>
      </c>
      <c r="F313" t="s">
        <v>31</v>
      </c>
      <c r="G313" t="s">
        <v>43</v>
      </c>
      <c r="H313" t="s">
        <v>1060</v>
      </c>
      <c r="I313">
        <v>24000</v>
      </c>
      <c r="J313">
        <v>12</v>
      </c>
      <c r="K313">
        <v>1</v>
      </c>
      <c r="L313">
        <v>5</v>
      </c>
      <c r="M313">
        <v>20000</v>
      </c>
      <c r="N313">
        <v>90</v>
      </c>
      <c r="O313">
        <v>15</v>
      </c>
      <c r="P313">
        <v>5</v>
      </c>
      <c r="R313" t="s">
        <v>38</v>
      </c>
      <c r="S313" t="s">
        <v>20</v>
      </c>
      <c r="T313">
        <v>20</v>
      </c>
      <c r="U313">
        <v>30</v>
      </c>
      <c r="V313" t="s">
        <v>58</v>
      </c>
    </row>
    <row r="314" spans="1:22">
      <c r="A314" t="s">
        <v>669</v>
      </c>
      <c r="B314" t="s">
        <v>670</v>
      </c>
      <c r="C314">
        <v>23</v>
      </c>
      <c r="D314" t="s">
        <v>46</v>
      </c>
      <c r="E314" t="s">
        <v>61</v>
      </c>
      <c r="F314" t="s">
        <v>36</v>
      </c>
      <c r="G314" t="s">
        <v>43</v>
      </c>
      <c r="H314" t="s">
        <v>1059</v>
      </c>
      <c r="I314">
        <v>24000</v>
      </c>
      <c r="J314">
        <v>12</v>
      </c>
      <c r="K314">
        <v>1</v>
      </c>
      <c r="L314">
        <v>1</v>
      </c>
      <c r="N314">
        <v>95</v>
      </c>
      <c r="O314">
        <v>10</v>
      </c>
      <c r="P314">
        <v>8</v>
      </c>
      <c r="R314" t="s">
        <v>28</v>
      </c>
      <c r="S314" t="s">
        <v>20</v>
      </c>
      <c r="T314">
        <v>10</v>
      </c>
      <c r="U314">
        <v>20</v>
      </c>
      <c r="V314" t="s">
        <v>39</v>
      </c>
    </row>
    <row r="315" spans="1:22">
      <c r="A315" t="s">
        <v>671</v>
      </c>
      <c r="B315" t="s">
        <v>672</v>
      </c>
      <c r="C315">
        <v>25</v>
      </c>
      <c r="D315" t="s">
        <v>25</v>
      </c>
      <c r="E315" t="s">
        <v>65</v>
      </c>
      <c r="F315" t="s">
        <v>31</v>
      </c>
      <c r="G315" t="s">
        <v>43</v>
      </c>
      <c r="H315" t="s">
        <v>1060</v>
      </c>
      <c r="I315">
        <v>28000</v>
      </c>
      <c r="J315">
        <v>12</v>
      </c>
      <c r="K315">
        <v>2</v>
      </c>
      <c r="L315">
        <v>1</v>
      </c>
      <c r="N315">
        <v>90</v>
      </c>
      <c r="O315">
        <v>12</v>
      </c>
      <c r="P315">
        <v>3</v>
      </c>
      <c r="Q315" t="s">
        <v>37</v>
      </c>
      <c r="R315" t="s">
        <v>38</v>
      </c>
      <c r="S315" t="s">
        <v>33</v>
      </c>
      <c r="T315">
        <v>5</v>
      </c>
      <c r="V315" t="s">
        <v>39</v>
      </c>
    </row>
    <row r="316" spans="1:22">
      <c r="A316" t="s">
        <v>673</v>
      </c>
      <c r="B316" t="s">
        <v>674</v>
      </c>
      <c r="C316">
        <v>23</v>
      </c>
      <c r="D316" t="s">
        <v>25</v>
      </c>
      <c r="E316" t="s">
        <v>50</v>
      </c>
      <c r="F316" t="s">
        <v>42</v>
      </c>
      <c r="G316" t="s">
        <v>43</v>
      </c>
      <c r="H316" t="s">
        <v>1060</v>
      </c>
      <c r="I316">
        <v>24000</v>
      </c>
      <c r="J316">
        <v>12</v>
      </c>
      <c r="K316">
        <v>1</v>
      </c>
      <c r="L316">
        <v>2</v>
      </c>
      <c r="N316">
        <v>90</v>
      </c>
      <c r="O316">
        <v>5</v>
      </c>
      <c r="P316">
        <v>1</v>
      </c>
      <c r="Q316" t="s">
        <v>37</v>
      </c>
      <c r="R316" t="s">
        <v>19</v>
      </c>
      <c r="S316" t="s">
        <v>20</v>
      </c>
      <c r="T316">
        <v>20</v>
      </c>
      <c r="U316">
        <v>10</v>
      </c>
      <c r="V316" t="s">
        <v>39</v>
      </c>
    </row>
    <row r="317" spans="1:22">
      <c r="A317" t="s">
        <v>675</v>
      </c>
      <c r="B317" t="s">
        <v>676</v>
      </c>
      <c r="C317">
        <v>25</v>
      </c>
      <c r="D317" t="s">
        <v>16</v>
      </c>
      <c r="E317" t="s">
        <v>64</v>
      </c>
      <c r="F317" t="s">
        <v>31</v>
      </c>
      <c r="G317" t="s">
        <v>43</v>
      </c>
      <c r="H317" t="s">
        <v>1060</v>
      </c>
      <c r="I317">
        <v>24000</v>
      </c>
      <c r="J317">
        <v>12</v>
      </c>
      <c r="K317">
        <v>1</v>
      </c>
      <c r="L317">
        <v>4</v>
      </c>
      <c r="N317">
        <v>80</v>
      </c>
      <c r="O317">
        <v>15</v>
      </c>
      <c r="P317">
        <v>3</v>
      </c>
      <c r="R317" t="s">
        <v>19</v>
      </c>
      <c r="S317" t="s">
        <v>20</v>
      </c>
      <c r="T317">
        <v>5</v>
      </c>
      <c r="U317">
        <v>10</v>
      </c>
      <c r="V317" t="s">
        <v>22</v>
      </c>
    </row>
    <row r="318" spans="1:22">
      <c r="A318" t="s">
        <v>677</v>
      </c>
      <c r="B318" t="s">
        <v>678</v>
      </c>
      <c r="C318">
        <v>25</v>
      </c>
      <c r="D318" t="s">
        <v>46</v>
      </c>
      <c r="E318" t="s">
        <v>47</v>
      </c>
      <c r="F318" t="s">
        <v>31</v>
      </c>
      <c r="G318" t="s">
        <v>43</v>
      </c>
      <c r="H318" t="s">
        <v>1060</v>
      </c>
      <c r="I318">
        <v>24000</v>
      </c>
      <c r="J318">
        <v>12</v>
      </c>
      <c r="K318">
        <v>1</v>
      </c>
      <c r="L318">
        <v>2</v>
      </c>
      <c r="N318">
        <v>88</v>
      </c>
      <c r="O318">
        <v>15</v>
      </c>
      <c r="P318">
        <v>3</v>
      </c>
      <c r="R318" t="s">
        <v>38</v>
      </c>
      <c r="S318" t="s">
        <v>33</v>
      </c>
      <c r="T318">
        <v>5</v>
      </c>
      <c r="U318">
        <v>30</v>
      </c>
      <c r="V318" t="s">
        <v>39</v>
      </c>
    </row>
    <row r="319" spans="1:22">
      <c r="A319" t="s">
        <v>679</v>
      </c>
      <c r="B319" t="s">
        <v>680</v>
      </c>
      <c r="C319">
        <v>25</v>
      </c>
      <c r="E319" t="s">
        <v>64</v>
      </c>
      <c r="F319" t="s">
        <v>18</v>
      </c>
      <c r="G319" t="s">
        <v>43</v>
      </c>
      <c r="H319" t="s">
        <v>1060</v>
      </c>
      <c r="I319">
        <v>28000</v>
      </c>
      <c r="J319">
        <v>12</v>
      </c>
      <c r="K319">
        <v>2</v>
      </c>
      <c r="L319">
        <v>5</v>
      </c>
      <c r="M319">
        <v>20000</v>
      </c>
      <c r="N319">
        <v>90</v>
      </c>
      <c r="O319">
        <v>10</v>
      </c>
      <c r="P319">
        <v>5</v>
      </c>
      <c r="R319" t="s">
        <v>38</v>
      </c>
      <c r="S319" t="s">
        <v>33</v>
      </c>
      <c r="T319">
        <v>10</v>
      </c>
      <c r="U319">
        <v>30</v>
      </c>
      <c r="V319" t="s">
        <v>58</v>
      </c>
    </row>
    <row r="320" spans="1:22">
      <c r="A320" t="s">
        <v>681</v>
      </c>
      <c r="B320" t="s">
        <v>682</v>
      </c>
      <c r="C320">
        <v>29</v>
      </c>
      <c r="E320" t="s">
        <v>35</v>
      </c>
      <c r="F320" t="s">
        <v>31</v>
      </c>
      <c r="G320" t="s">
        <v>1045</v>
      </c>
      <c r="H320" t="s">
        <v>1060</v>
      </c>
      <c r="I320">
        <v>78000</v>
      </c>
      <c r="J320">
        <v>12</v>
      </c>
      <c r="K320">
        <v>7</v>
      </c>
      <c r="L320">
        <v>3</v>
      </c>
      <c r="M320">
        <v>7000</v>
      </c>
      <c r="N320">
        <v>80</v>
      </c>
      <c r="O320">
        <v>12</v>
      </c>
      <c r="P320">
        <v>5</v>
      </c>
      <c r="Q320" t="s">
        <v>21</v>
      </c>
      <c r="R320" t="s">
        <v>38</v>
      </c>
      <c r="S320" t="s">
        <v>20</v>
      </c>
      <c r="T320">
        <v>20</v>
      </c>
      <c r="V320" t="s">
        <v>22</v>
      </c>
    </row>
    <row r="321" spans="1:22">
      <c r="A321" t="s">
        <v>683</v>
      </c>
      <c r="B321" t="s">
        <v>684</v>
      </c>
      <c r="C321">
        <v>25</v>
      </c>
      <c r="D321" t="s">
        <v>46</v>
      </c>
      <c r="E321" t="s">
        <v>17</v>
      </c>
      <c r="F321" t="s">
        <v>66</v>
      </c>
      <c r="G321" t="s">
        <v>43</v>
      </c>
      <c r="H321" t="s">
        <v>1060</v>
      </c>
      <c r="I321">
        <v>24000</v>
      </c>
      <c r="J321">
        <v>12</v>
      </c>
      <c r="K321">
        <v>1</v>
      </c>
      <c r="L321">
        <v>3</v>
      </c>
      <c r="M321">
        <v>11400</v>
      </c>
      <c r="N321">
        <v>85</v>
      </c>
      <c r="O321">
        <v>10</v>
      </c>
      <c r="P321">
        <v>10</v>
      </c>
      <c r="Q321" t="s">
        <v>21</v>
      </c>
      <c r="R321" t="s">
        <v>38</v>
      </c>
      <c r="S321" t="s">
        <v>33</v>
      </c>
      <c r="U321">
        <v>10</v>
      </c>
      <c r="V321" t="s">
        <v>22</v>
      </c>
    </row>
    <row r="322" spans="1:22">
      <c r="A322" t="s">
        <v>685</v>
      </c>
      <c r="B322" t="s">
        <v>686</v>
      </c>
      <c r="C322">
        <v>36</v>
      </c>
      <c r="D322" t="s">
        <v>25</v>
      </c>
      <c r="E322" t="s">
        <v>50</v>
      </c>
      <c r="F322" t="s">
        <v>66</v>
      </c>
      <c r="G322" t="s">
        <v>82</v>
      </c>
      <c r="H322" t="s">
        <v>1059</v>
      </c>
      <c r="I322">
        <v>89000</v>
      </c>
      <c r="J322">
        <v>12</v>
      </c>
      <c r="K322">
        <v>6</v>
      </c>
      <c r="L322">
        <v>2</v>
      </c>
      <c r="N322">
        <v>90</v>
      </c>
      <c r="O322">
        <v>15</v>
      </c>
      <c r="P322">
        <v>2</v>
      </c>
      <c r="Q322" t="s">
        <v>21</v>
      </c>
      <c r="R322" t="s">
        <v>28</v>
      </c>
      <c r="S322" t="s">
        <v>20</v>
      </c>
      <c r="T322">
        <v>10</v>
      </c>
      <c r="U322">
        <v>30</v>
      </c>
      <c r="V322" t="s">
        <v>39</v>
      </c>
    </row>
    <row r="323" spans="1:22">
      <c r="A323" t="s">
        <v>687</v>
      </c>
      <c r="B323" t="s">
        <v>688</v>
      </c>
      <c r="C323">
        <v>23</v>
      </c>
      <c r="D323" t="s">
        <v>16</v>
      </c>
      <c r="E323" t="s">
        <v>26</v>
      </c>
      <c r="F323" t="s">
        <v>42</v>
      </c>
      <c r="G323" t="s">
        <v>43</v>
      </c>
      <c r="H323" t="s">
        <v>1060</v>
      </c>
      <c r="I323">
        <v>28000</v>
      </c>
      <c r="J323">
        <v>12</v>
      </c>
      <c r="K323">
        <v>2</v>
      </c>
      <c r="L323">
        <v>2</v>
      </c>
      <c r="N323">
        <v>85</v>
      </c>
      <c r="O323">
        <v>10</v>
      </c>
      <c r="P323">
        <v>1</v>
      </c>
      <c r="Q323" t="s">
        <v>37</v>
      </c>
      <c r="R323" t="s">
        <v>38</v>
      </c>
      <c r="S323" t="s">
        <v>33</v>
      </c>
      <c r="V323" t="s">
        <v>39</v>
      </c>
    </row>
    <row r="324" spans="1:22">
      <c r="A324" t="s">
        <v>689</v>
      </c>
      <c r="B324" t="s">
        <v>690</v>
      </c>
      <c r="C324">
        <v>33</v>
      </c>
      <c r="D324" t="s">
        <v>46</v>
      </c>
      <c r="E324" t="s">
        <v>73</v>
      </c>
      <c r="F324" t="s">
        <v>66</v>
      </c>
      <c r="G324" t="s">
        <v>82</v>
      </c>
      <c r="H324" t="s">
        <v>1060</v>
      </c>
      <c r="I324">
        <v>89000</v>
      </c>
      <c r="J324">
        <v>12</v>
      </c>
      <c r="K324">
        <v>9</v>
      </c>
      <c r="L324">
        <v>2</v>
      </c>
      <c r="N324">
        <v>95</v>
      </c>
      <c r="O324">
        <v>5</v>
      </c>
      <c r="P324">
        <v>3</v>
      </c>
      <c r="Q324" t="s">
        <v>37</v>
      </c>
      <c r="R324" t="s">
        <v>38</v>
      </c>
      <c r="S324" t="s">
        <v>20</v>
      </c>
      <c r="T324">
        <v>5</v>
      </c>
      <c r="U324">
        <v>30</v>
      </c>
      <c r="V324" t="s">
        <v>39</v>
      </c>
    </row>
    <row r="325" spans="1:22">
      <c r="A325" t="s">
        <v>113</v>
      </c>
      <c r="B325" t="s">
        <v>114</v>
      </c>
      <c r="C325">
        <v>33</v>
      </c>
      <c r="D325" t="s">
        <v>25</v>
      </c>
      <c r="E325" t="s">
        <v>64</v>
      </c>
      <c r="F325" t="s">
        <v>66</v>
      </c>
      <c r="G325" t="s">
        <v>82</v>
      </c>
      <c r="H325" t="s">
        <v>1059</v>
      </c>
      <c r="I325">
        <v>90000</v>
      </c>
      <c r="J325">
        <v>12</v>
      </c>
      <c r="K325">
        <v>9</v>
      </c>
      <c r="L325">
        <v>3</v>
      </c>
      <c r="M325">
        <v>28000</v>
      </c>
      <c r="N325">
        <v>85</v>
      </c>
      <c r="O325">
        <v>12</v>
      </c>
      <c r="P325">
        <v>3</v>
      </c>
      <c r="Q325" t="s">
        <v>37</v>
      </c>
      <c r="R325" t="s">
        <v>28</v>
      </c>
      <c r="S325" t="s">
        <v>20</v>
      </c>
      <c r="V325" t="s">
        <v>22</v>
      </c>
    </row>
    <row r="326" spans="1:22">
      <c r="A326" t="s">
        <v>691</v>
      </c>
      <c r="B326" t="s">
        <v>692</v>
      </c>
      <c r="C326">
        <v>25</v>
      </c>
      <c r="D326" t="s">
        <v>25</v>
      </c>
      <c r="E326" t="s">
        <v>73</v>
      </c>
      <c r="F326" t="s">
        <v>18</v>
      </c>
      <c r="G326" t="s">
        <v>43</v>
      </c>
      <c r="H326" t="s">
        <v>1060</v>
      </c>
      <c r="I326">
        <v>28000</v>
      </c>
      <c r="J326">
        <v>12</v>
      </c>
      <c r="K326">
        <v>2</v>
      </c>
      <c r="L326">
        <v>3</v>
      </c>
      <c r="M326">
        <v>11400</v>
      </c>
      <c r="N326">
        <v>80</v>
      </c>
      <c r="O326">
        <v>10</v>
      </c>
      <c r="P326">
        <v>3</v>
      </c>
      <c r="Q326" t="s">
        <v>21</v>
      </c>
      <c r="R326" t="s">
        <v>38</v>
      </c>
      <c r="S326" t="s">
        <v>33</v>
      </c>
      <c r="T326">
        <v>5</v>
      </c>
      <c r="U326">
        <v>30</v>
      </c>
      <c r="V326" t="s">
        <v>22</v>
      </c>
    </row>
    <row r="327" spans="1:22">
      <c r="A327" t="s">
        <v>693</v>
      </c>
      <c r="B327" t="s">
        <v>694</v>
      </c>
      <c r="C327">
        <v>24</v>
      </c>
      <c r="E327" t="s">
        <v>64</v>
      </c>
      <c r="F327" t="s">
        <v>27</v>
      </c>
      <c r="G327" t="s">
        <v>43</v>
      </c>
      <c r="H327" t="s">
        <v>1060</v>
      </c>
      <c r="I327">
        <v>28000</v>
      </c>
      <c r="J327">
        <v>12</v>
      </c>
      <c r="K327">
        <v>2</v>
      </c>
      <c r="L327">
        <v>2</v>
      </c>
      <c r="N327">
        <v>85</v>
      </c>
      <c r="O327">
        <v>15</v>
      </c>
      <c r="P327">
        <v>2</v>
      </c>
      <c r="R327" t="s">
        <v>38</v>
      </c>
      <c r="S327" t="s">
        <v>20</v>
      </c>
      <c r="T327">
        <v>20</v>
      </c>
      <c r="U327">
        <v>10</v>
      </c>
      <c r="V327" t="s">
        <v>39</v>
      </c>
    </row>
    <row r="328" spans="1:22">
      <c r="A328" t="s">
        <v>695</v>
      </c>
      <c r="B328" t="s">
        <v>696</v>
      </c>
      <c r="C328">
        <v>24</v>
      </c>
      <c r="D328" t="s">
        <v>25</v>
      </c>
      <c r="E328" t="s">
        <v>73</v>
      </c>
      <c r="F328" t="s">
        <v>66</v>
      </c>
      <c r="G328" t="s">
        <v>1048</v>
      </c>
      <c r="H328" t="s">
        <v>1060</v>
      </c>
      <c r="I328">
        <v>65000</v>
      </c>
      <c r="J328">
        <v>12</v>
      </c>
      <c r="K328">
        <v>5</v>
      </c>
      <c r="L328">
        <v>1</v>
      </c>
      <c r="N328">
        <v>88</v>
      </c>
      <c r="O328">
        <v>15</v>
      </c>
      <c r="P328">
        <v>1</v>
      </c>
      <c r="Q328" t="s">
        <v>37</v>
      </c>
      <c r="R328" t="s">
        <v>38</v>
      </c>
      <c r="S328" t="s">
        <v>20</v>
      </c>
      <c r="T328">
        <v>5</v>
      </c>
      <c r="U328">
        <v>30</v>
      </c>
      <c r="V328" t="s">
        <v>39</v>
      </c>
    </row>
    <row r="329" spans="1:22">
      <c r="A329" t="s">
        <v>697</v>
      </c>
      <c r="B329" t="s">
        <v>698</v>
      </c>
      <c r="C329">
        <v>23</v>
      </c>
      <c r="D329" t="s">
        <v>25</v>
      </c>
      <c r="E329" t="s">
        <v>47</v>
      </c>
      <c r="F329" t="s">
        <v>18</v>
      </c>
      <c r="G329" t="s">
        <v>43</v>
      </c>
      <c r="H329" t="s">
        <v>1060</v>
      </c>
      <c r="I329">
        <v>28000</v>
      </c>
      <c r="J329">
        <v>12</v>
      </c>
      <c r="K329">
        <v>2</v>
      </c>
      <c r="L329">
        <v>4</v>
      </c>
      <c r="M329">
        <v>16000</v>
      </c>
      <c r="N329">
        <v>95</v>
      </c>
      <c r="O329">
        <v>5</v>
      </c>
      <c r="P329">
        <v>5</v>
      </c>
      <c r="Q329" t="s">
        <v>37</v>
      </c>
      <c r="R329" t="s">
        <v>38</v>
      </c>
      <c r="S329" t="s">
        <v>33</v>
      </c>
      <c r="T329">
        <v>10</v>
      </c>
      <c r="U329">
        <v>20</v>
      </c>
      <c r="V329" t="s">
        <v>22</v>
      </c>
    </row>
    <row r="330" spans="1:22">
      <c r="A330" t="s">
        <v>699</v>
      </c>
      <c r="B330" t="s">
        <v>700</v>
      </c>
      <c r="C330">
        <v>24</v>
      </c>
      <c r="D330" t="s">
        <v>34</v>
      </c>
      <c r="E330" t="s">
        <v>64</v>
      </c>
      <c r="F330" t="s">
        <v>31</v>
      </c>
      <c r="G330" t="s">
        <v>43</v>
      </c>
      <c r="H330" t="s">
        <v>1060</v>
      </c>
      <c r="I330">
        <v>24000</v>
      </c>
      <c r="J330">
        <v>12</v>
      </c>
      <c r="K330">
        <v>1</v>
      </c>
      <c r="L330">
        <v>1</v>
      </c>
      <c r="N330">
        <v>80</v>
      </c>
      <c r="O330">
        <v>10</v>
      </c>
      <c r="P330">
        <v>3</v>
      </c>
      <c r="Q330" t="s">
        <v>21</v>
      </c>
      <c r="R330" t="s">
        <v>38</v>
      </c>
      <c r="S330" t="s">
        <v>33</v>
      </c>
      <c r="T330">
        <v>20</v>
      </c>
      <c r="U330">
        <v>30</v>
      </c>
      <c r="V330" t="s">
        <v>39</v>
      </c>
    </row>
    <row r="331" spans="1:22">
      <c r="A331" t="s">
        <v>701</v>
      </c>
      <c r="B331" t="s">
        <v>702</v>
      </c>
      <c r="C331">
        <v>24</v>
      </c>
      <c r="E331" t="s">
        <v>47</v>
      </c>
      <c r="F331" t="s">
        <v>42</v>
      </c>
      <c r="G331" t="s">
        <v>1045</v>
      </c>
      <c r="H331" t="s">
        <v>1060</v>
      </c>
      <c r="I331">
        <v>78000</v>
      </c>
      <c r="J331">
        <v>12</v>
      </c>
      <c r="K331">
        <v>7</v>
      </c>
      <c r="L331">
        <v>1</v>
      </c>
      <c r="N331">
        <v>85</v>
      </c>
      <c r="O331">
        <v>10</v>
      </c>
      <c r="P331">
        <v>5</v>
      </c>
      <c r="Q331" t="s">
        <v>37</v>
      </c>
      <c r="R331" t="s">
        <v>19</v>
      </c>
      <c r="S331" t="s">
        <v>20</v>
      </c>
      <c r="V331" t="s">
        <v>39</v>
      </c>
    </row>
    <row r="332" spans="1:22">
      <c r="A332" t="s">
        <v>703</v>
      </c>
      <c r="B332" t="s">
        <v>704</v>
      </c>
      <c r="C332">
        <v>23</v>
      </c>
      <c r="D332" t="s">
        <v>25</v>
      </c>
      <c r="E332" t="s">
        <v>73</v>
      </c>
      <c r="F332" t="s">
        <v>36</v>
      </c>
      <c r="G332" t="s">
        <v>43</v>
      </c>
      <c r="H332" t="s">
        <v>1060</v>
      </c>
      <c r="I332">
        <v>24000</v>
      </c>
      <c r="J332">
        <v>12</v>
      </c>
      <c r="K332">
        <v>1</v>
      </c>
      <c r="L332">
        <v>1</v>
      </c>
      <c r="N332">
        <v>90</v>
      </c>
      <c r="O332">
        <v>31</v>
      </c>
      <c r="P332">
        <v>2</v>
      </c>
      <c r="Q332" t="s">
        <v>21</v>
      </c>
      <c r="R332" t="s">
        <v>38</v>
      </c>
      <c r="S332" t="s">
        <v>33</v>
      </c>
      <c r="T332">
        <v>5</v>
      </c>
      <c r="U332">
        <v>20</v>
      </c>
      <c r="V332" t="s">
        <v>39</v>
      </c>
    </row>
    <row r="333" spans="1:22">
      <c r="A333" t="s">
        <v>705</v>
      </c>
      <c r="B333" t="s">
        <v>706</v>
      </c>
      <c r="C333">
        <v>24</v>
      </c>
      <c r="D333" t="s">
        <v>25</v>
      </c>
      <c r="E333" t="s">
        <v>73</v>
      </c>
      <c r="F333" t="s">
        <v>27</v>
      </c>
      <c r="G333" t="s">
        <v>43</v>
      </c>
      <c r="H333" t="s">
        <v>1060</v>
      </c>
      <c r="I333">
        <v>24000</v>
      </c>
      <c r="J333">
        <v>12</v>
      </c>
      <c r="K333">
        <v>1</v>
      </c>
      <c r="L333">
        <v>1</v>
      </c>
      <c r="N333">
        <v>90</v>
      </c>
      <c r="O333">
        <v>15</v>
      </c>
      <c r="P333">
        <v>9</v>
      </c>
      <c r="R333" t="s">
        <v>38</v>
      </c>
      <c r="S333" t="s">
        <v>20</v>
      </c>
      <c r="T333">
        <v>20</v>
      </c>
      <c r="U333">
        <v>30</v>
      </c>
      <c r="V333" t="s">
        <v>39</v>
      </c>
    </row>
    <row r="334" spans="1:22">
      <c r="A334" t="s">
        <v>707</v>
      </c>
      <c r="B334" t="s">
        <v>708</v>
      </c>
      <c r="C334">
        <v>26</v>
      </c>
      <c r="D334" t="s">
        <v>34</v>
      </c>
      <c r="E334" t="s">
        <v>57</v>
      </c>
      <c r="F334" t="s">
        <v>42</v>
      </c>
      <c r="G334" t="s">
        <v>1045</v>
      </c>
      <c r="H334" t="s">
        <v>1060</v>
      </c>
      <c r="I334">
        <v>78000</v>
      </c>
      <c r="J334">
        <v>12</v>
      </c>
      <c r="K334">
        <v>7</v>
      </c>
      <c r="L334">
        <v>3</v>
      </c>
      <c r="M334">
        <v>7000</v>
      </c>
      <c r="N334">
        <v>80</v>
      </c>
      <c r="O334">
        <v>5</v>
      </c>
      <c r="P334">
        <v>1</v>
      </c>
      <c r="Q334" t="s">
        <v>21</v>
      </c>
      <c r="R334" t="s">
        <v>38</v>
      </c>
      <c r="S334" t="s">
        <v>20</v>
      </c>
      <c r="T334">
        <v>10</v>
      </c>
      <c r="U334">
        <v>20</v>
      </c>
      <c r="V334" t="s">
        <v>22</v>
      </c>
    </row>
    <row r="335" spans="1:22">
      <c r="A335" t="s">
        <v>709</v>
      </c>
      <c r="B335" t="s">
        <v>710</v>
      </c>
      <c r="C335">
        <v>28</v>
      </c>
      <c r="D335" t="s">
        <v>34</v>
      </c>
      <c r="E335" t="s">
        <v>64</v>
      </c>
      <c r="F335" t="s">
        <v>31</v>
      </c>
      <c r="G335" t="s">
        <v>1045</v>
      </c>
      <c r="H335" t="s">
        <v>1060</v>
      </c>
      <c r="I335">
        <v>77500</v>
      </c>
      <c r="J335">
        <v>12</v>
      </c>
      <c r="K335">
        <v>5</v>
      </c>
      <c r="L335">
        <v>5</v>
      </c>
      <c r="N335">
        <v>80</v>
      </c>
      <c r="O335">
        <v>10</v>
      </c>
      <c r="P335">
        <v>5</v>
      </c>
      <c r="R335" t="s">
        <v>19</v>
      </c>
      <c r="S335" t="s">
        <v>33</v>
      </c>
      <c r="T335">
        <v>5</v>
      </c>
      <c r="U335">
        <v>20</v>
      </c>
      <c r="V335" t="s">
        <v>58</v>
      </c>
    </row>
    <row r="336" spans="1:22">
      <c r="A336" t="s">
        <v>711</v>
      </c>
      <c r="B336" t="s">
        <v>712</v>
      </c>
      <c r="C336">
        <v>24</v>
      </c>
      <c r="D336" t="s">
        <v>16</v>
      </c>
      <c r="E336" t="s">
        <v>26</v>
      </c>
      <c r="F336" t="s">
        <v>27</v>
      </c>
      <c r="G336" t="s">
        <v>43</v>
      </c>
      <c r="H336" t="s">
        <v>1060</v>
      </c>
      <c r="I336">
        <v>28000</v>
      </c>
      <c r="J336">
        <v>12</v>
      </c>
      <c r="K336">
        <v>2</v>
      </c>
      <c r="L336">
        <v>1</v>
      </c>
      <c r="N336">
        <v>90</v>
      </c>
      <c r="O336">
        <v>15</v>
      </c>
      <c r="P336">
        <v>11</v>
      </c>
      <c r="R336" t="s">
        <v>38</v>
      </c>
      <c r="S336" t="s">
        <v>20</v>
      </c>
      <c r="T336">
        <v>10</v>
      </c>
      <c r="U336">
        <v>30</v>
      </c>
      <c r="V336" t="s">
        <v>39</v>
      </c>
    </row>
    <row r="337" spans="1:22">
      <c r="A337" t="s">
        <v>713</v>
      </c>
      <c r="B337" t="s">
        <v>714</v>
      </c>
      <c r="C337">
        <v>25</v>
      </c>
      <c r="D337" t="s">
        <v>34</v>
      </c>
      <c r="E337" t="s">
        <v>26</v>
      </c>
      <c r="F337" t="s">
        <v>42</v>
      </c>
      <c r="G337" t="s">
        <v>1048</v>
      </c>
      <c r="H337" t="s">
        <v>1060</v>
      </c>
      <c r="I337">
        <v>65000</v>
      </c>
      <c r="J337">
        <v>12</v>
      </c>
      <c r="K337">
        <v>5</v>
      </c>
      <c r="L337">
        <v>4</v>
      </c>
      <c r="M337">
        <v>24000</v>
      </c>
      <c r="N337">
        <v>90</v>
      </c>
      <c r="O337">
        <v>10</v>
      </c>
      <c r="P337">
        <v>3</v>
      </c>
      <c r="Q337" t="s">
        <v>37</v>
      </c>
      <c r="R337" t="s">
        <v>28</v>
      </c>
      <c r="S337" t="s">
        <v>33</v>
      </c>
      <c r="T337">
        <v>5</v>
      </c>
      <c r="U337">
        <v>10</v>
      </c>
      <c r="V337" t="s">
        <v>22</v>
      </c>
    </row>
    <row r="338" spans="1:22">
      <c r="A338" t="s">
        <v>715</v>
      </c>
      <c r="B338" t="s">
        <v>716</v>
      </c>
      <c r="C338">
        <v>25</v>
      </c>
      <c r="D338" t="s">
        <v>16</v>
      </c>
      <c r="E338" t="s">
        <v>65</v>
      </c>
      <c r="F338" t="s">
        <v>31</v>
      </c>
      <c r="G338" t="s">
        <v>43</v>
      </c>
      <c r="H338" t="s">
        <v>1060</v>
      </c>
      <c r="I338">
        <v>24000</v>
      </c>
      <c r="J338">
        <v>12</v>
      </c>
      <c r="K338">
        <v>1</v>
      </c>
      <c r="L338">
        <v>1</v>
      </c>
      <c r="N338">
        <v>90</v>
      </c>
      <c r="O338">
        <v>5</v>
      </c>
      <c r="P338">
        <v>3</v>
      </c>
      <c r="Q338" t="s">
        <v>21</v>
      </c>
      <c r="R338" t="s">
        <v>38</v>
      </c>
      <c r="S338" t="s">
        <v>20</v>
      </c>
      <c r="T338">
        <v>5</v>
      </c>
      <c r="V338" t="s">
        <v>39</v>
      </c>
    </row>
    <row r="339" spans="1:22">
      <c r="A339" t="s">
        <v>717</v>
      </c>
      <c r="B339" t="s">
        <v>718</v>
      </c>
      <c r="C339">
        <v>24</v>
      </c>
      <c r="D339" t="s">
        <v>46</v>
      </c>
      <c r="E339" t="s">
        <v>73</v>
      </c>
      <c r="F339" t="s">
        <v>31</v>
      </c>
      <c r="G339" t="s">
        <v>1045</v>
      </c>
      <c r="H339" t="s">
        <v>1060</v>
      </c>
      <c r="I339">
        <v>73000</v>
      </c>
      <c r="J339">
        <v>12</v>
      </c>
      <c r="K339">
        <v>5</v>
      </c>
      <c r="L339">
        <v>4</v>
      </c>
      <c r="M339">
        <v>10871</v>
      </c>
      <c r="N339">
        <v>95</v>
      </c>
      <c r="O339">
        <v>13</v>
      </c>
      <c r="P339">
        <v>1</v>
      </c>
      <c r="Q339" t="s">
        <v>21</v>
      </c>
      <c r="R339" t="s">
        <v>19</v>
      </c>
      <c r="S339" t="s">
        <v>33</v>
      </c>
      <c r="T339">
        <v>5</v>
      </c>
      <c r="V339" t="s">
        <v>22</v>
      </c>
    </row>
    <row r="340" spans="1:22">
      <c r="A340" t="s">
        <v>719</v>
      </c>
      <c r="B340" t="s">
        <v>720</v>
      </c>
      <c r="C340">
        <v>23</v>
      </c>
      <c r="D340" t="s">
        <v>25</v>
      </c>
      <c r="E340" t="s">
        <v>26</v>
      </c>
      <c r="F340" t="s">
        <v>27</v>
      </c>
      <c r="G340" t="s">
        <v>43</v>
      </c>
      <c r="H340" t="s">
        <v>1059</v>
      </c>
      <c r="I340">
        <v>28000</v>
      </c>
      <c r="J340">
        <v>12</v>
      </c>
      <c r="K340">
        <v>2</v>
      </c>
      <c r="L340">
        <v>2</v>
      </c>
      <c r="N340">
        <v>85</v>
      </c>
      <c r="O340">
        <v>5</v>
      </c>
      <c r="P340">
        <v>2</v>
      </c>
      <c r="R340" t="s">
        <v>28</v>
      </c>
      <c r="S340" t="s">
        <v>20</v>
      </c>
      <c r="T340">
        <v>10</v>
      </c>
      <c r="U340">
        <v>10</v>
      </c>
      <c r="V340" t="s">
        <v>39</v>
      </c>
    </row>
    <row r="341" spans="1:22">
      <c r="A341" t="s">
        <v>721</v>
      </c>
      <c r="B341" t="s">
        <v>722</v>
      </c>
      <c r="C341">
        <v>23</v>
      </c>
      <c r="D341" t="s">
        <v>25</v>
      </c>
      <c r="E341" t="s">
        <v>26</v>
      </c>
      <c r="F341" t="s">
        <v>18</v>
      </c>
      <c r="G341" t="s">
        <v>43</v>
      </c>
      <c r="H341" t="s">
        <v>1060</v>
      </c>
      <c r="I341">
        <v>24000</v>
      </c>
      <c r="J341">
        <v>12</v>
      </c>
      <c r="K341">
        <v>1</v>
      </c>
      <c r="L341">
        <v>1</v>
      </c>
      <c r="N341">
        <v>90</v>
      </c>
      <c r="O341">
        <v>15</v>
      </c>
      <c r="P341">
        <v>8</v>
      </c>
      <c r="R341" t="s">
        <v>38</v>
      </c>
      <c r="S341" t="s">
        <v>20</v>
      </c>
      <c r="T341">
        <v>5</v>
      </c>
      <c r="U341">
        <v>10</v>
      </c>
      <c r="V341" t="s">
        <v>39</v>
      </c>
    </row>
    <row r="342" spans="1:22">
      <c r="A342" t="s">
        <v>723</v>
      </c>
      <c r="B342" t="s">
        <v>724</v>
      </c>
      <c r="C342">
        <v>24</v>
      </c>
      <c r="D342" t="s">
        <v>34</v>
      </c>
      <c r="E342" t="s">
        <v>17</v>
      </c>
      <c r="F342" t="s">
        <v>31</v>
      </c>
      <c r="G342" t="s">
        <v>43</v>
      </c>
      <c r="H342" t="s">
        <v>1060</v>
      </c>
      <c r="I342">
        <v>24000</v>
      </c>
      <c r="J342">
        <v>12</v>
      </c>
      <c r="K342">
        <v>1</v>
      </c>
      <c r="L342">
        <v>2</v>
      </c>
      <c r="N342">
        <v>95</v>
      </c>
      <c r="O342">
        <v>10</v>
      </c>
      <c r="P342">
        <v>5</v>
      </c>
      <c r="Q342" t="s">
        <v>21</v>
      </c>
      <c r="R342" t="s">
        <v>38</v>
      </c>
      <c r="S342" t="s">
        <v>20</v>
      </c>
      <c r="U342">
        <v>30</v>
      </c>
      <c r="V342" t="s">
        <v>39</v>
      </c>
    </row>
    <row r="343" spans="1:22">
      <c r="A343" t="s">
        <v>725</v>
      </c>
      <c r="B343" t="s">
        <v>726</v>
      </c>
      <c r="C343">
        <v>25</v>
      </c>
      <c r="D343" t="s">
        <v>16</v>
      </c>
      <c r="E343" t="s">
        <v>73</v>
      </c>
      <c r="F343" t="s">
        <v>36</v>
      </c>
      <c r="G343" t="s">
        <v>1048</v>
      </c>
      <c r="H343" t="s">
        <v>1060</v>
      </c>
      <c r="I343">
        <v>57000</v>
      </c>
      <c r="J343">
        <v>12</v>
      </c>
      <c r="K343">
        <v>3</v>
      </c>
      <c r="L343">
        <v>4</v>
      </c>
      <c r="M343">
        <v>24000</v>
      </c>
      <c r="N343">
        <v>95</v>
      </c>
      <c r="O343">
        <v>5</v>
      </c>
      <c r="P343">
        <v>3</v>
      </c>
      <c r="Q343" t="s">
        <v>37</v>
      </c>
      <c r="R343" t="s">
        <v>19</v>
      </c>
      <c r="S343" t="s">
        <v>33</v>
      </c>
      <c r="T343">
        <v>10</v>
      </c>
      <c r="U343">
        <v>20</v>
      </c>
      <c r="V343" t="s">
        <v>58</v>
      </c>
    </row>
    <row r="344" spans="1:22">
      <c r="A344" t="s">
        <v>727</v>
      </c>
      <c r="B344" t="s">
        <v>728</v>
      </c>
      <c r="C344">
        <v>23</v>
      </c>
      <c r="D344" t="s">
        <v>46</v>
      </c>
      <c r="E344" t="s">
        <v>73</v>
      </c>
      <c r="F344" t="s">
        <v>36</v>
      </c>
      <c r="G344" t="s">
        <v>43</v>
      </c>
      <c r="H344" t="s">
        <v>1060</v>
      </c>
      <c r="I344">
        <v>24000</v>
      </c>
      <c r="J344">
        <v>12</v>
      </c>
      <c r="K344">
        <v>1</v>
      </c>
      <c r="L344">
        <v>4</v>
      </c>
      <c r="M344">
        <v>16000</v>
      </c>
      <c r="N344">
        <v>95</v>
      </c>
      <c r="O344">
        <v>15</v>
      </c>
      <c r="P344">
        <v>11</v>
      </c>
      <c r="Q344" t="s">
        <v>37</v>
      </c>
      <c r="R344" t="s">
        <v>38</v>
      </c>
      <c r="S344" t="s">
        <v>33</v>
      </c>
      <c r="U344">
        <v>30</v>
      </c>
      <c r="V344" t="s">
        <v>22</v>
      </c>
    </row>
    <row r="345" spans="1:22">
      <c r="A345" t="s">
        <v>729</v>
      </c>
      <c r="B345" t="s">
        <v>730</v>
      </c>
      <c r="C345">
        <v>24</v>
      </c>
      <c r="D345" t="s">
        <v>25</v>
      </c>
      <c r="E345" t="s">
        <v>73</v>
      </c>
      <c r="F345" t="s">
        <v>31</v>
      </c>
      <c r="G345" t="s">
        <v>43</v>
      </c>
      <c r="H345" t="s">
        <v>1060</v>
      </c>
      <c r="I345">
        <v>28000</v>
      </c>
      <c r="J345">
        <v>12</v>
      </c>
      <c r="K345">
        <v>2</v>
      </c>
      <c r="L345">
        <v>1</v>
      </c>
      <c r="N345">
        <v>88</v>
      </c>
      <c r="O345">
        <v>5</v>
      </c>
      <c r="P345">
        <v>3</v>
      </c>
      <c r="Q345" t="s">
        <v>21</v>
      </c>
      <c r="R345" t="s">
        <v>38</v>
      </c>
      <c r="S345" t="s">
        <v>20</v>
      </c>
      <c r="T345">
        <v>10</v>
      </c>
      <c r="V345" t="s">
        <v>39</v>
      </c>
    </row>
    <row r="346" spans="1:22">
      <c r="A346" t="s">
        <v>731</v>
      </c>
      <c r="B346" t="s">
        <v>732</v>
      </c>
      <c r="C346">
        <v>23</v>
      </c>
      <c r="D346" t="s">
        <v>46</v>
      </c>
      <c r="E346" t="s">
        <v>47</v>
      </c>
      <c r="F346" t="s">
        <v>18</v>
      </c>
      <c r="G346" t="s">
        <v>43</v>
      </c>
      <c r="H346" t="s">
        <v>1060</v>
      </c>
      <c r="I346">
        <v>24000</v>
      </c>
      <c r="J346">
        <v>12</v>
      </c>
      <c r="K346">
        <v>1</v>
      </c>
      <c r="L346">
        <v>2</v>
      </c>
      <c r="N346">
        <v>88</v>
      </c>
      <c r="O346">
        <v>10</v>
      </c>
      <c r="P346">
        <v>2</v>
      </c>
      <c r="Q346" t="s">
        <v>37</v>
      </c>
      <c r="R346" t="s">
        <v>38</v>
      </c>
      <c r="S346" t="s">
        <v>33</v>
      </c>
      <c r="U346">
        <v>30</v>
      </c>
      <c r="V346" t="s">
        <v>39</v>
      </c>
    </row>
    <row r="347" spans="1:22">
      <c r="A347" t="s">
        <v>733</v>
      </c>
      <c r="B347" t="s">
        <v>734</v>
      </c>
      <c r="C347">
        <v>25</v>
      </c>
      <c r="E347" t="s">
        <v>61</v>
      </c>
      <c r="F347" t="s">
        <v>31</v>
      </c>
      <c r="G347" t="s">
        <v>43</v>
      </c>
      <c r="H347" t="s">
        <v>1060</v>
      </c>
      <c r="I347">
        <v>24000</v>
      </c>
      <c r="J347">
        <v>12</v>
      </c>
      <c r="K347">
        <v>1</v>
      </c>
      <c r="L347">
        <v>1</v>
      </c>
      <c r="N347">
        <v>72</v>
      </c>
      <c r="O347">
        <v>13</v>
      </c>
      <c r="P347">
        <v>2</v>
      </c>
      <c r="Q347" t="s">
        <v>21</v>
      </c>
      <c r="R347" t="s">
        <v>38</v>
      </c>
      <c r="S347" t="s">
        <v>20</v>
      </c>
      <c r="T347">
        <v>5</v>
      </c>
      <c r="V347" t="s">
        <v>39</v>
      </c>
    </row>
    <row r="348" spans="1:22">
      <c r="A348" t="s">
        <v>735</v>
      </c>
      <c r="B348" t="s">
        <v>736</v>
      </c>
      <c r="C348">
        <v>25</v>
      </c>
      <c r="D348" t="s">
        <v>25</v>
      </c>
      <c r="E348" t="s">
        <v>35</v>
      </c>
      <c r="F348" t="s">
        <v>31</v>
      </c>
      <c r="G348" t="s">
        <v>43</v>
      </c>
      <c r="H348" t="s">
        <v>1060</v>
      </c>
      <c r="I348">
        <v>28000</v>
      </c>
      <c r="J348">
        <v>12</v>
      </c>
      <c r="K348">
        <v>2</v>
      </c>
      <c r="L348">
        <v>3</v>
      </c>
      <c r="M348">
        <v>11400</v>
      </c>
      <c r="N348">
        <v>95</v>
      </c>
      <c r="O348">
        <v>13</v>
      </c>
      <c r="P348">
        <v>2</v>
      </c>
      <c r="Q348" t="s">
        <v>21</v>
      </c>
      <c r="R348" t="s">
        <v>38</v>
      </c>
      <c r="S348" t="s">
        <v>20</v>
      </c>
      <c r="T348">
        <v>10</v>
      </c>
      <c r="U348">
        <v>20</v>
      </c>
      <c r="V348" t="s">
        <v>22</v>
      </c>
    </row>
    <row r="349" spans="1:22">
      <c r="A349" t="s">
        <v>737</v>
      </c>
      <c r="B349" t="s">
        <v>738</v>
      </c>
      <c r="C349">
        <v>24</v>
      </c>
      <c r="D349" t="s">
        <v>34</v>
      </c>
      <c r="E349" t="s">
        <v>35</v>
      </c>
      <c r="F349" t="s">
        <v>66</v>
      </c>
      <c r="G349" t="s">
        <v>43</v>
      </c>
      <c r="H349" t="s">
        <v>1060</v>
      </c>
      <c r="I349">
        <v>24000</v>
      </c>
      <c r="J349">
        <v>12</v>
      </c>
      <c r="K349">
        <v>1</v>
      </c>
      <c r="L349">
        <v>4</v>
      </c>
      <c r="M349">
        <v>16000</v>
      </c>
      <c r="N349">
        <v>88</v>
      </c>
      <c r="O349">
        <v>10</v>
      </c>
      <c r="P349">
        <v>2</v>
      </c>
      <c r="R349" t="s">
        <v>38</v>
      </c>
      <c r="S349" t="s">
        <v>33</v>
      </c>
      <c r="T349">
        <v>20</v>
      </c>
      <c r="V349" t="s">
        <v>58</v>
      </c>
    </row>
    <row r="350" spans="1:22">
      <c r="A350" t="s">
        <v>739</v>
      </c>
      <c r="B350" t="s">
        <v>740</v>
      </c>
      <c r="C350">
        <v>27</v>
      </c>
      <c r="D350" t="s">
        <v>16</v>
      </c>
      <c r="E350" t="s">
        <v>47</v>
      </c>
      <c r="F350" t="s">
        <v>42</v>
      </c>
      <c r="G350" t="s">
        <v>1048</v>
      </c>
      <c r="H350" t="s">
        <v>1060</v>
      </c>
      <c r="I350">
        <v>60000</v>
      </c>
      <c r="J350">
        <v>12</v>
      </c>
      <c r="K350">
        <v>4</v>
      </c>
      <c r="L350">
        <v>2</v>
      </c>
      <c r="N350">
        <v>85</v>
      </c>
      <c r="O350">
        <v>15</v>
      </c>
      <c r="P350">
        <v>3</v>
      </c>
      <c r="Q350" t="s">
        <v>37</v>
      </c>
      <c r="R350" t="s">
        <v>19</v>
      </c>
      <c r="S350" t="s">
        <v>33</v>
      </c>
      <c r="T350">
        <v>20</v>
      </c>
      <c r="U350">
        <v>10</v>
      </c>
      <c r="V350" t="s">
        <v>39</v>
      </c>
    </row>
    <row r="351" spans="1:22">
      <c r="A351" t="s">
        <v>741</v>
      </c>
      <c r="B351" t="s">
        <v>742</v>
      </c>
      <c r="C351">
        <v>24</v>
      </c>
      <c r="D351" t="s">
        <v>34</v>
      </c>
      <c r="E351" t="s">
        <v>50</v>
      </c>
      <c r="F351" t="s">
        <v>31</v>
      </c>
      <c r="G351" t="s">
        <v>43</v>
      </c>
      <c r="H351" t="s">
        <v>1060</v>
      </c>
      <c r="I351">
        <v>24000</v>
      </c>
      <c r="J351">
        <v>12</v>
      </c>
      <c r="K351">
        <v>1</v>
      </c>
      <c r="L351">
        <v>3</v>
      </c>
      <c r="M351">
        <v>13400</v>
      </c>
      <c r="N351">
        <v>90</v>
      </c>
      <c r="O351">
        <v>15</v>
      </c>
      <c r="P351">
        <v>7</v>
      </c>
      <c r="R351" t="s">
        <v>38</v>
      </c>
      <c r="S351" t="s">
        <v>33</v>
      </c>
      <c r="T351">
        <v>5</v>
      </c>
      <c r="U351">
        <v>30</v>
      </c>
      <c r="V351" t="s">
        <v>22</v>
      </c>
    </row>
    <row r="352" spans="1:22">
      <c r="A352" t="s">
        <v>743</v>
      </c>
      <c r="B352" t="s">
        <v>744</v>
      </c>
      <c r="C352">
        <v>24</v>
      </c>
      <c r="D352" t="s">
        <v>16</v>
      </c>
      <c r="E352" t="s">
        <v>61</v>
      </c>
      <c r="F352" t="s">
        <v>18</v>
      </c>
      <c r="G352" t="s">
        <v>43</v>
      </c>
      <c r="H352" t="s">
        <v>1060</v>
      </c>
      <c r="I352">
        <v>28000</v>
      </c>
      <c r="J352">
        <v>12</v>
      </c>
      <c r="K352">
        <v>2</v>
      </c>
      <c r="L352">
        <v>4</v>
      </c>
      <c r="M352">
        <v>16000</v>
      </c>
      <c r="N352">
        <v>95</v>
      </c>
      <c r="O352">
        <v>13</v>
      </c>
      <c r="P352">
        <v>13</v>
      </c>
      <c r="Q352" t="s">
        <v>37</v>
      </c>
      <c r="R352" t="s">
        <v>19</v>
      </c>
      <c r="S352" t="s">
        <v>20</v>
      </c>
      <c r="T352">
        <v>10</v>
      </c>
      <c r="U352">
        <v>10</v>
      </c>
      <c r="V352" t="s">
        <v>22</v>
      </c>
    </row>
    <row r="353" spans="1:22">
      <c r="A353" t="s">
        <v>745</v>
      </c>
      <c r="B353" t="s">
        <v>746</v>
      </c>
      <c r="C353">
        <v>25</v>
      </c>
      <c r="E353" t="s">
        <v>73</v>
      </c>
      <c r="F353" t="s">
        <v>66</v>
      </c>
      <c r="G353" t="s">
        <v>1048</v>
      </c>
      <c r="H353" t="s">
        <v>1059</v>
      </c>
      <c r="I353">
        <v>56000</v>
      </c>
      <c r="J353">
        <v>12</v>
      </c>
      <c r="K353">
        <v>3</v>
      </c>
      <c r="L353">
        <v>2</v>
      </c>
      <c r="N353">
        <v>95</v>
      </c>
      <c r="O353">
        <v>10</v>
      </c>
      <c r="P353">
        <v>3</v>
      </c>
      <c r="R353" t="s">
        <v>28</v>
      </c>
      <c r="S353" t="s">
        <v>33</v>
      </c>
      <c r="T353">
        <v>5</v>
      </c>
      <c r="U353">
        <v>20</v>
      </c>
      <c r="V353" t="s">
        <v>39</v>
      </c>
    </row>
    <row r="354" spans="1:22">
      <c r="A354" t="s">
        <v>747</v>
      </c>
      <c r="B354" t="s">
        <v>748</v>
      </c>
      <c r="C354">
        <v>23</v>
      </c>
      <c r="D354" t="s">
        <v>34</v>
      </c>
      <c r="E354" t="s">
        <v>26</v>
      </c>
      <c r="F354" t="s">
        <v>18</v>
      </c>
      <c r="G354" t="s">
        <v>43</v>
      </c>
      <c r="H354" t="s">
        <v>1060</v>
      </c>
      <c r="I354">
        <v>22000</v>
      </c>
      <c r="J354">
        <v>12</v>
      </c>
      <c r="K354">
        <v>1</v>
      </c>
      <c r="L354">
        <v>1</v>
      </c>
      <c r="N354">
        <v>90</v>
      </c>
      <c r="O354">
        <v>5</v>
      </c>
      <c r="P354">
        <v>2</v>
      </c>
      <c r="Q354" t="s">
        <v>21</v>
      </c>
      <c r="R354" t="s">
        <v>38</v>
      </c>
      <c r="S354" t="s">
        <v>33</v>
      </c>
      <c r="T354">
        <v>10</v>
      </c>
      <c r="U354">
        <v>30</v>
      </c>
      <c r="V354" t="s">
        <v>39</v>
      </c>
    </row>
    <row r="355" spans="1:22">
      <c r="A355" t="s">
        <v>749</v>
      </c>
      <c r="B355" t="s">
        <v>750</v>
      </c>
      <c r="C355">
        <v>23</v>
      </c>
      <c r="E355" t="s">
        <v>35</v>
      </c>
      <c r="F355" t="s">
        <v>18</v>
      </c>
      <c r="G355" t="s">
        <v>43</v>
      </c>
      <c r="H355" t="s">
        <v>1060</v>
      </c>
      <c r="I355">
        <v>28000</v>
      </c>
      <c r="J355">
        <v>12</v>
      </c>
      <c r="K355">
        <v>2</v>
      </c>
      <c r="L355">
        <v>1</v>
      </c>
      <c r="N355">
        <v>88</v>
      </c>
      <c r="O355">
        <v>13</v>
      </c>
      <c r="P355">
        <v>3</v>
      </c>
      <c r="Q355" t="s">
        <v>21</v>
      </c>
      <c r="R355" t="s">
        <v>38</v>
      </c>
      <c r="S355" t="s">
        <v>20</v>
      </c>
      <c r="T355">
        <v>5</v>
      </c>
      <c r="U355">
        <v>30</v>
      </c>
      <c r="V355" t="s">
        <v>39</v>
      </c>
    </row>
    <row r="356" spans="1:22">
      <c r="A356" t="s">
        <v>751</v>
      </c>
      <c r="B356" t="s">
        <v>752</v>
      </c>
      <c r="C356">
        <v>25</v>
      </c>
      <c r="D356" t="s">
        <v>16</v>
      </c>
      <c r="E356" t="s">
        <v>35</v>
      </c>
      <c r="F356" t="s">
        <v>18</v>
      </c>
      <c r="G356" t="s">
        <v>43</v>
      </c>
      <c r="H356" t="s">
        <v>1060</v>
      </c>
      <c r="I356">
        <v>28000</v>
      </c>
      <c r="J356">
        <v>12</v>
      </c>
      <c r="K356">
        <v>2</v>
      </c>
      <c r="L356">
        <v>1</v>
      </c>
      <c r="N356">
        <v>90</v>
      </c>
      <c r="O356">
        <v>13</v>
      </c>
      <c r="P356">
        <v>1</v>
      </c>
      <c r="Q356" t="s">
        <v>37</v>
      </c>
      <c r="R356" t="s">
        <v>38</v>
      </c>
      <c r="S356" t="s">
        <v>33</v>
      </c>
      <c r="T356">
        <v>10</v>
      </c>
      <c r="U356">
        <v>10</v>
      </c>
      <c r="V356" t="s">
        <v>39</v>
      </c>
    </row>
    <row r="357" spans="1:22">
      <c r="A357" t="s">
        <v>753</v>
      </c>
      <c r="B357" t="s">
        <v>754</v>
      </c>
      <c r="C357">
        <v>23</v>
      </c>
      <c r="D357" t="s">
        <v>25</v>
      </c>
      <c r="E357" t="s">
        <v>35</v>
      </c>
      <c r="F357" t="s">
        <v>18</v>
      </c>
      <c r="G357" t="s">
        <v>43</v>
      </c>
      <c r="H357" t="s">
        <v>1060</v>
      </c>
      <c r="I357">
        <v>21000</v>
      </c>
      <c r="J357">
        <v>12</v>
      </c>
      <c r="K357">
        <v>1</v>
      </c>
      <c r="L357">
        <v>1</v>
      </c>
      <c r="N357">
        <v>85</v>
      </c>
      <c r="O357">
        <v>5</v>
      </c>
      <c r="P357">
        <v>5</v>
      </c>
      <c r="R357" t="s">
        <v>38</v>
      </c>
      <c r="S357" t="s">
        <v>33</v>
      </c>
      <c r="V357" t="s">
        <v>39</v>
      </c>
    </row>
    <row r="358" spans="1:22">
      <c r="A358" t="s">
        <v>755</v>
      </c>
      <c r="B358" t="s">
        <v>756</v>
      </c>
      <c r="C358">
        <v>25</v>
      </c>
      <c r="D358" t="s">
        <v>34</v>
      </c>
      <c r="E358" t="s">
        <v>57</v>
      </c>
      <c r="F358" t="s">
        <v>27</v>
      </c>
      <c r="G358" t="s">
        <v>43</v>
      </c>
      <c r="H358" t="s">
        <v>1060</v>
      </c>
      <c r="I358">
        <v>28000</v>
      </c>
      <c r="J358">
        <v>12</v>
      </c>
      <c r="K358">
        <v>2</v>
      </c>
      <c r="N358">
        <v>88</v>
      </c>
      <c r="O358">
        <v>15</v>
      </c>
      <c r="P358">
        <v>3</v>
      </c>
      <c r="Q358" t="s">
        <v>21</v>
      </c>
      <c r="R358" t="s">
        <v>38</v>
      </c>
      <c r="S358" t="s">
        <v>33</v>
      </c>
      <c r="T358">
        <v>10</v>
      </c>
      <c r="U358">
        <v>10</v>
      </c>
      <c r="V358" t="s">
        <v>1054</v>
      </c>
    </row>
    <row r="359" spans="1:22">
      <c r="A359" t="s">
        <v>757</v>
      </c>
      <c r="B359" t="s">
        <v>758</v>
      </c>
      <c r="C359">
        <v>24</v>
      </c>
      <c r="E359" t="s">
        <v>17</v>
      </c>
      <c r="F359" t="s">
        <v>31</v>
      </c>
      <c r="G359" t="s">
        <v>1048</v>
      </c>
      <c r="H359" t="s">
        <v>1060</v>
      </c>
      <c r="I359">
        <v>56000</v>
      </c>
      <c r="J359">
        <v>12</v>
      </c>
      <c r="K359">
        <v>3</v>
      </c>
      <c r="L359">
        <v>1</v>
      </c>
      <c r="N359">
        <v>90</v>
      </c>
      <c r="O359">
        <v>10</v>
      </c>
      <c r="P359">
        <v>7</v>
      </c>
      <c r="R359" t="s">
        <v>38</v>
      </c>
      <c r="S359" t="s">
        <v>20</v>
      </c>
      <c r="T359">
        <v>5</v>
      </c>
      <c r="U359">
        <v>20</v>
      </c>
      <c r="V359" t="s">
        <v>39</v>
      </c>
    </row>
    <row r="360" spans="1:22">
      <c r="A360" t="s">
        <v>759</v>
      </c>
      <c r="B360" t="s">
        <v>760</v>
      </c>
      <c r="C360">
        <v>23</v>
      </c>
      <c r="D360" t="s">
        <v>34</v>
      </c>
      <c r="E360" t="s">
        <v>26</v>
      </c>
      <c r="F360" t="s">
        <v>18</v>
      </c>
      <c r="G360" t="s">
        <v>43</v>
      </c>
      <c r="H360" t="s">
        <v>1060</v>
      </c>
      <c r="I360">
        <v>20000</v>
      </c>
      <c r="J360">
        <v>12</v>
      </c>
      <c r="K360">
        <v>1</v>
      </c>
      <c r="L360">
        <v>2</v>
      </c>
      <c r="N360">
        <v>80</v>
      </c>
      <c r="O360">
        <v>15</v>
      </c>
      <c r="P360">
        <v>2</v>
      </c>
      <c r="Q360" t="s">
        <v>21</v>
      </c>
      <c r="R360" t="s">
        <v>38</v>
      </c>
      <c r="S360" t="s">
        <v>33</v>
      </c>
      <c r="T360">
        <v>5</v>
      </c>
      <c r="U360">
        <v>30</v>
      </c>
      <c r="V360" t="s">
        <v>39</v>
      </c>
    </row>
    <row r="361" spans="1:22">
      <c r="A361" t="s">
        <v>761</v>
      </c>
      <c r="B361" t="s">
        <v>762</v>
      </c>
      <c r="C361">
        <v>25</v>
      </c>
      <c r="E361" t="s">
        <v>73</v>
      </c>
      <c r="F361" t="s">
        <v>27</v>
      </c>
      <c r="G361" t="s">
        <v>43</v>
      </c>
      <c r="H361" t="s">
        <v>1060</v>
      </c>
      <c r="I361">
        <v>28000</v>
      </c>
      <c r="J361">
        <v>12</v>
      </c>
      <c r="K361">
        <v>2</v>
      </c>
      <c r="L361">
        <v>4</v>
      </c>
      <c r="M361">
        <v>16000</v>
      </c>
      <c r="N361">
        <v>85</v>
      </c>
      <c r="O361">
        <v>5</v>
      </c>
      <c r="P361">
        <v>5</v>
      </c>
      <c r="R361" t="s">
        <v>38</v>
      </c>
      <c r="S361" t="s">
        <v>20</v>
      </c>
      <c r="T361">
        <v>10</v>
      </c>
      <c r="U361">
        <v>20</v>
      </c>
      <c r="V361" t="s">
        <v>58</v>
      </c>
    </row>
    <row r="362" spans="1:22">
      <c r="A362" t="s">
        <v>763</v>
      </c>
      <c r="B362" t="s">
        <v>764</v>
      </c>
      <c r="C362">
        <v>25</v>
      </c>
      <c r="D362" t="s">
        <v>34</v>
      </c>
      <c r="E362" t="s">
        <v>50</v>
      </c>
      <c r="F362" t="s">
        <v>42</v>
      </c>
      <c r="G362" t="s">
        <v>43</v>
      </c>
      <c r="H362" t="s">
        <v>1060</v>
      </c>
      <c r="I362">
        <v>28000</v>
      </c>
      <c r="J362">
        <v>12</v>
      </c>
      <c r="K362">
        <v>2</v>
      </c>
      <c r="L362">
        <v>2</v>
      </c>
      <c r="N362">
        <v>85</v>
      </c>
      <c r="O362">
        <v>10</v>
      </c>
      <c r="P362">
        <v>3</v>
      </c>
      <c r="Q362" t="s">
        <v>21</v>
      </c>
      <c r="R362" t="s">
        <v>38</v>
      </c>
      <c r="S362" t="s">
        <v>20</v>
      </c>
      <c r="T362">
        <v>20</v>
      </c>
      <c r="V362" t="s">
        <v>39</v>
      </c>
    </row>
    <row r="363" spans="1:22">
      <c r="A363" t="s">
        <v>765</v>
      </c>
      <c r="B363" t="s">
        <v>766</v>
      </c>
      <c r="C363">
        <v>23</v>
      </c>
      <c r="E363" t="s">
        <v>26</v>
      </c>
      <c r="F363" t="s">
        <v>36</v>
      </c>
      <c r="G363" t="s">
        <v>43</v>
      </c>
      <c r="H363" t="s">
        <v>1060</v>
      </c>
      <c r="I363">
        <v>28000</v>
      </c>
      <c r="J363">
        <v>12</v>
      </c>
      <c r="K363">
        <v>2</v>
      </c>
      <c r="L363">
        <v>1</v>
      </c>
      <c r="N363">
        <v>80</v>
      </c>
      <c r="O363">
        <v>15</v>
      </c>
      <c r="P363">
        <v>5</v>
      </c>
      <c r="Q363" t="s">
        <v>37</v>
      </c>
      <c r="R363" t="s">
        <v>38</v>
      </c>
      <c r="S363" t="s">
        <v>20</v>
      </c>
      <c r="T363">
        <v>5</v>
      </c>
      <c r="V363" t="s">
        <v>39</v>
      </c>
    </row>
    <row r="364" spans="1:22">
      <c r="A364" t="s">
        <v>767</v>
      </c>
      <c r="B364" t="s">
        <v>768</v>
      </c>
      <c r="C364">
        <v>25</v>
      </c>
      <c r="D364" t="s">
        <v>34</v>
      </c>
      <c r="E364" t="s">
        <v>50</v>
      </c>
      <c r="F364" t="s">
        <v>66</v>
      </c>
      <c r="G364" t="s">
        <v>43</v>
      </c>
      <c r="H364" t="s">
        <v>1060</v>
      </c>
      <c r="I364">
        <v>28000</v>
      </c>
      <c r="J364">
        <v>12</v>
      </c>
      <c r="K364">
        <v>2</v>
      </c>
      <c r="L364">
        <v>1</v>
      </c>
      <c r="N364">
        <v>90</v>
      </c>
      <c r="O364">
        <v>15</v>
      </c>
      <c r="P364">
        <v>5</v>
      </c>
      <c r="R364" t="s">
        <v>28</v>
      </c>
      <c r="S364" t="s">
        <v>20</v>
      </c>
      <c r="T364">
        <v>10</v>
      </c>
      <c r="V364" t="s">
        <v>39</v>
      </c>
    </row>
    <row r="365" spans="1:22">
      <c r="A365" t="s">
        <v>769</v>
      </c>
      <c r="B365" t="s">
        <v>770</v>
      </c>
      <c r="C365">
        <v>24</v>
      </c>
      <c r="D365" t="s">
        <v>46</v>
      </c>
      <c r="E365" t="s">
        <v>50</v>
      </c>
      <c r="F365" t="s">
        <v>27</v>
      </c>
      <c r="G365" t="s">
        <v>43</v>
      </c>
      <c r="H365" t="s">
        <v>1060</v>
      </c>
      <c r="I365">
        <v>24000</v>
      </c>
      <c r="J365">
        <v>12</v>
      </c>
      <c r="K365">
        <v>1</v>
      </c>
      <c r="L365">
        <v>3</v>
      </c>
      <c r="M365">
        <v>11400</v>
      </c>
      <c r="N365">
        <v>80</v>
      </c>
      <c r="O365">
        <v>5</v>
      </c>
      <c r="P365">
        <v>8</v>
      </c>
      <c r="Q365" t="s">
        <v>21</v>
      </c>
      <c r="R365" t="s">
        <v>19</v>
      </c>
      <c r="S365" t="s">
        <v>20</v>
      </c>
      <c r="T365">
        <v>5</v>
      </c>
      <c r="U365">
        <v>30</v>
      </c>
      <c r="V365" t="s">
        <v>22</v>
      </c>
    </row>
    <row r="366" spans="1:22">
      <c r="A366" t="s">
        <v>771</v>
      </c>
      <c r="B366" t="s">
        <v>772</v>
      </c>
      <c r="C366">
        <v>23</v>
      </c>
      <c r="D366" t="s">
        <v>16</v>
      </c>
      <c r="E366" t="s">
        <v>47</v>
      </c>
      <c r="F366" t="s">
        <v>42</v>
      </c>
      <c r="G366" t="s">
        <v>43</v>
      </c>
      <c r="H366" t="s">
        <v>1060</v>
      </c>
      <c r="I366">
        <v>28000</v>
      </c>
      <c r="J366">
        <v>12</v>
      </c>
      <c r="K366">
        <v>2</v>
      </c>
      <c r="L366">
        <v>2</v>
      </c>
      <c r="N366">
        <v>90</v>
      </c>
      <c r="O366">
        <v>15</v>
      </c>
      <c r="P366">
        <v>2</v>
      </c>
      <c r="R366" t="s">
        <v>38</v>
      </c>
      <c r="S366" t="s">
        <v>20</v>
      </c>
      <c r="U366">
        <v>10</v>
      </c>
      <c r="V366" t="s">
        <v>39</v>
      </c>
    </row>
    <row r="367" spans="1:22">
      <c r="A367" t="s">
        <v>773</v>
      </c>
      <c r="B367" t="s">
        <v>774</v>
      </c>
      <c r="C367">
        <v>24</v>
      </c>
      <c r="E367" t="s">
        <v>57</v>
      </c>
      <c r="F367" t="s">
        <v>66</v>
      </c>
      <c r="G367" t="s">
        <v>43</v>
      </c>
      <c r="H367" t="s">
        <v>1060</v>
      </c>
      <c r="I367">
        <v>24000</v>
      </c>
      <c r="J367">
        <v>12</v>
      </c>
      <c r="K367">
        <v>1</v>
      </c>
      <c r="L367">
        <v>3</v>
      </c>
      <c r="M367">
        <v>13400</v>
      </c>
      <c r="N367">
        <v>95</v>
      </c>
      <c r="O367">
        <v>10</v>
      </c>
      <c r="P367">
        <v>3</v>
      </c>
      <c r="Q367" t="s">
        <v>37</v>
      </c>
      <c r="R367" t="s">
        <v>38</v>
      </c>
      <c r="S367" t="s">
        <v>20</v>
      </c>
      <c r="T367">
        <v>5</v>
      </c>
      <c r="U367">
        <v>20</v>
      </c>
      <c r="V367" t="s">
        <v>22</v>
      </c>
    </row>
    <row r="368" spans="1:22">
      <c r="A368" t="s">
        <v>775</v>
      </c>
      <c r="B368" t="s">
        <v>776</v>
      </c>
      <c r="C368">
        <v>25</v>
      </c>
      <c r="D368" t="s">
        <v>46</v>
      </c>
      <c r="E368" t="s">
        <v>61</v>
      </c>
      <c r="F368" t="s">
        <v>18</v>
      </c>
      <c r="G368" t="s">
        <v>43</v>
      </c>
      <c r="H368" t="s">
        <v>1060</v>
      </c>
      <c r="I368">
        <v>28000</v>
      </c>
      <c r="J368">
        <v>12</v>
      </c>
      <c r="K368">
        <v>2</v>
      </c>
      <c r="L368">
        <v>5</v>
      </c>
      <c r="M368">
        <v>20000</v>
      </c>
      <c r="N368">
        <v>95</v>
      </c>
      <c r="O368">
        <v>13</v>
      </c>
      <c r="P368">
        <v>5</v>
      </c>
      <c r="Q368" t="s">
        <v>37</v>
      </c>
      <c r="R368" t="s">
        <v>19</v>
      </c>
      <c r="S368" t="s">
        <v>20</v>
      </c>
      <c r="T368">
        <v>10</v>
      </c>
      <c r="U368">
        <v>30</v>
      </c>
      <c r="V368" t="s">
        <v>58</v>
      </c>
    </row>
    <row r="369" spans="1:22">
      <c r="A369" t="s">
        <v>777</v>
      </c>
      <c r="B369" t="s">
        <v>778</v>
      </c>
      <c r="C369">
        <v>24</v>
      </c>
      <c r="D369" t="s">
        <v>25</v>
      </c>
      <c r="E369" t="s">
        <v>73</v>
      </c>
      <c r="F369" t="s">
        <v>18</v>
      </c>
      <c r="G369" t="s">
        <v>43</v>
      </c>
      <c r="H369" t="s">
        <v>1059</v>
      </c>
      <c r="I369">
        <v>21000</v>
      </c>
      <c r="J369">
        <v>12</v>
      </c>
      <c r="K369">
        <v>1</v>
      </c>
      <c r="L369">
        <v>2</v>
      </c>
      <c r="N369">
        <v>95</v>
      </c>
      <c r="O369">
        <v>13</v>
      </c>
      <c r="P369">
        <v>3</v>
      </c>
      <c r="Q369" t="s">
        <v>37</v>
      </c>
      <c r="R369" t="s">
        <v>28</v>
      </c>
      <c r="S369" t="s">
        <v>20</v>
      </c>
      <c r="T369">
        <v>5</v>
      </c>
      <c r="V369" t="s">
        <v>39</v>
      </c>
    </row>
    <row r="370" spans="1:22">
      <c r="A370" t="s">
        <v>779</v>
      </c>
      <c r="B370" t="s">
        <v>780</v>
      </c>
      <c r="C370">
        <v>23</v>
      </c>
      <c r="D370" t="s">
        <v>25</v>
      </c>
      <c r="E370" t="s">
        <v>57</v>
      </c>
      <c r="F370" t="s">
        <v>18</v>
      </c>
      <c r="G370" t="s">
        <v>43</v>
      </c>
      <c r="H370" t="s">
        <v>1060</v>
      </c>
      <c r="I370">
        <v>20000</v>
      </c>
      <c r="J370">
        <v>12</v>
      </c>
      <c r="K370">
        <v>1</v>
      </c>
      <c r="L370">
        <v>2</v>
      </c>
      <c r="N370">
        <v>90</v>
      </c>
      <c r="O370">
        <v>10</v>
      </c>
      <c r="P370">
        <v>1</v>
      </c>
      <c r="Q370" t="s">
        <v>21</v>
      </c>
      <c r="R370" t="s">
        <v>38</v>
      </c>
      <c r="S370" t="s">
        <v>20</v>
      </c>
      <c r="T370">
        <v>20</v>
      </c>
      <c r="U370">
        <v>30</v>
      </c>
      <c r="V370" t="s">
        <v>39</v>
      </c>
    </row>
    <row r="371" spans="1:22">
      <c r="A371" t="s">
        <v>781</v>
      </c>
      <c r="B371" t="s">
        <v>782</v>
      </c>
      <c r="C371">
        <v>25</v>
      </c>
      <c r="D371" t="s">
        <v>46</v>
      </c>
      <c r="E371" t="s">
        <v>64</v>
      </c>
      <c r="F371" t="s">
        <v>66</v>
      </c>
      <c r="G371" t="s">
        <v>43</v>
      </c>
      <c r="H371" t="s">
        <v>1060</v>
      </c>
      <c r="I371">
        <v>28000</v>
      </c>
      <c r="J371">
        <v>12</v>
      </c>
      <c r="K371">
        <v>2</v>
      </c>
      <c r="L371">
        <v>2</v>
      </c>
      <c r="N371">
        <v>85</v>
      </c>
      <c r="O371">
        <v>5</v>
      </c>
      <c r="P371">
        <v>5</v>
      </c>
      <c r="Q371" t="s">
        <v>37</v>
      </c>
      <c r="R371" t="s">
        <v>38</v>
      </c>
      <c r="S371" t="s">
        <v>20</v>
      </c>
      <c r="T371">
        <v>20</v>
      </c>
      <c r="U371">
        <v>10</v>
      </c>
      <c r="V371" t="s">
        <v>39</v>
      </c>
    </row>
    <row r="372" spans="1:22">
      <c r="A372" t="s">
        <v>783</v>
      </c>
      <c r="B372" t="s">
        <v>784</v>
      </c>
      <c r="C372">
        <v>25</v>
      </c>
      <c r="E372" t="s">
        <v>73</v>
      </c>
      <c r="F372" t="s">
        <v>36</v>
      </c>
      <c r="G372" t="s">
        <v>43</v>
      </c>
      <c r="H372" t="s">
        <v>1060</v>
      </c>
      <c r="I372">
        <v>24000</v>
      </c>
      <c r="J372">
        <v>12</v>
      </c>
      <c r="K372">
        <v>1</v>
      </c>
      <c r="L372">
        <v>2</v>
      </c>
      <c r="N372">
        <v>88</v>
      </c>
      <c r="O372">
        <v>10</v>
      </c>
      <c r="P372">
        <v>1</v>
      </c>
      <c r="Q372" t="s">
        <v>21</v>
      </c>
      <c r="R372" t="s">
        <v>38</v>
      </c>
      <c r="S372" t="s">
        <v>20</v>
      </c>
      <c r="T372">
        <v>5</v>
      </c>
      <c r="U372">
        <v>10</v>
      </c>
      <c r="V372" t="s">
        <v>39</v>
      </c>
    </row>
    <row r="373" spans="1:22">
      <c r="A373" t="s">
        <v>785</v>
      </c>
      <c r="B373" t="s">
        <v>786</v>
      </c>
      <c r="C373">
        <v>24</v>
      </c>
      <c r="E373" t="s">
        <v>73</v>
      </c>
      <c r="F373" t="s">
        <v>27</v>
      </c>
      <c r="G373" t="s">
        <v>43</v>
      </c>
      <c r="H373" t="s">
        <v>1059</v>
      </c>
      <c r="I373">
        <v>23000</v>
      </c>
      <c r="J373">
        <v>12</v>
      </c>
      <c r="K373">
        <v>2</v>
      </c>
      <c r="L373">
        <v>4</v>
      </c>
      <c r="M373">
        <v>16000</v>
      </c>
      <c r="N373">
        <v>88</v>
      </c>
      <c r="O373">
        <v>10</v>
      </c>
      <c r="P373">
        <v>5</v>
      </c>
      <c r="Q373" t="s">
        <v>37</v>
      </c>
      <c r="R373" t="s">
        <v>28</v>
      </c>
      <c r="S373" t="s">
        <v>20</v>
      </c>
      <c r="T373">
        <v>5</v>
      </c>
      <c r="U373">
        <v>10</v>
      </c>
      <c r="V373" t="s">
        <v>22</v>
      </c>
    </row>
    <row r="374" spans="1:22">
      <c r="A374" t="s">
        <v>787</v>
      </c>
      <c r="B374" t="s">
        <v>788</v>
      </c>
      <c r="C374">
        <v>23</v>
      </c>
      <c r="D374" t="s">
        <v>46</v>
      </c>
      <c r="E374" t="s">
        <v>50</v>
      </c>
      <c r="F374" t="s">
        <v>18</v>
      </c>
      <c r="G374" t="s">
        <v>43</v>
      </c>
      <c r="H374" t="s">
        <v>1060</v>
      </c>
      <c r="I374">
        <v>23000</v>
      </c>
      <c r="J374">
        <v>12</v>
      </c>
      <c r="K374">
        <v>2</v>
      </c>
      <c r="L374">
        <v>1</v>
      </c>
      <c r="N374">
        <v>85</v>
      </c>
      <c r="O374">
        <v>15</v>
      </c>
      <c r="P374">
        <v>2</v>
      </c>
      <c r="Q374" t="s">
        <v>37</v>
      </c>
      <c r="R374" t="s">
        <v>28</v>
      </c>
      <c r="S374" t="s">
        <v>20</v>
      </c>
      <c r="T374">
        <v>10</v>
      </c>
      <c r="U374">
        <v>30</v>
      </c>
      <c r="V374" t="s">
        <v>39</v>
      </c>
    </row>
    <row r="375" spans="1:22">
      <c r="A375" t="s">
        <v>789</v>
      </c>
      <c r="B375" t="s">
        <v>790</v>
      </c>
      <c r="C375">
        <v>25</v>
      </c>
      <c r="D375" t="s">
        <v>16</v>
      </c>
      <c r="E375" t="s">
        <v>65</v>
      </c>
      <c r="F375" t="s">
        <v>42</v>
      </c>
      <c r="G375" t="s">
        <v>43</v>
      </c>
      <c r="H375" t="s">
        <v>1060</v>
      </c>
      <c r="I375">
        <v>23000</v>
      </c>
      <c r="J375">
        <v>12</v>
      </c>
      <c r="K375">
        <v>2</v>
      </c>
      <c r="L375">
        <v>2</v>
      </c>
      <c r="N375">
        <v>80</v>
      </c>
      <c r="O375">
        <v>13</v>
      </c>
      <c r="P375">
        <v>2</v>
      </c>
      <c r="Q375" t="s">
        <v>21</v>
      </c>
      <c r="R375" t="s">
        <v>38</v>
      </c>
      <c r="S375" t="s">
        <v>20</v>
      </c>
      <c r="T375">
        <v>5</v>
      </c>
      <c r="U375">
        <v>10</v>
      </c>
      <c r="V375" t="s">
        <v>39</v>
      </c>
    </row>
    <row r="376" spans="1:22">
      <c r="A376" t="s">
        <v>791</v>
      </c>
      <c r="B376" t="s">
        <v>792</v>
      </c>
      <c r="C376">
        <v>25</v>
      </c>
      <c r="D376" t="s">
        <v>16</v>
      </c>
      <c r="E376" t="s">
        <v>57</v>
      </c>
      <c r="F376" t="s">
        <v>18</v>
      </c>
      <c r="G376" t="s">
        <v>43</v>
      </c>
      <c r="H376" t="s">
        <v>1060</v>
      </c>
      <c r="I376">
        <v>9700</v>
      </c>
      <c r="J376">
        <v>12</v>
      </c>
      <c r="K376">
        <v>1</v>
      </c>
      <c r="L376">
        <v>4</v>
      </c>
      <c r="M376">
        <v>18000</v>
      </c>
      <c r="N376">
        <v>85</v>
      </c>
      <c r="O376">
        <v>13</v>
      </c>
      <c r="P376">
        <v>2</v>
      </c>
      <c r="Q376" t="s">
        <v>37</v>
      </c>
      <c r="R376" t="s">
        <v>38</v>
      </c>
      <c r="S376" t="s">
        <v>20</v>
      </c>
      <c r="V376" t="s">
        <v>22</v>
      </c>
    </row>
    <row r="377" spans="1:22">
      <c r="A377" t="s">
        <v>793</v>
      </c>
      <c r="B377" t="s">
        <v>794</v>
      </c>
      <c r="C377">
        <v>25</v>
      </c>
      <c r="D377" t="s">
        <v>16</v>
      </c>
      <c r="E377" t="s">
        <v>47</v>
      </c>
      <c r="F377" t="s">
        <v>18</v>
      </c>
      <c r="G377" t="s">
        <v>43</v>
      </c>
      <c r="H377" t="s">
        <v>1060</v>
      </c>
      <c r="I377">
        <v>23000</v>
      </c>
      <c r="J377">
        <v>12</v>
      </c>
      <c r="K377">
        <v>2</v>
      </c>
      <c r="L377">
        <v>2</v>
      </c>
      <c r="N377">
        <v>85</v>
      </c>
      <c r="O377">
        <v>10</v>
      </c>
      <c r="P377">
        <v>1</v>
      </c>
      <c r="Q377" t="s">
        <v>21</v>
      </c>
      <c r="R377" t="s">
        <v>38</v>
      </c>
      <c r="S377" t="s">
        <v>20</v>
      </c>
      <c r="V377" t="s">
        <v>39</v>
      </c>
    </row>
    <row r="378" spans="1:22">
      <c r="A378" t="s">
        <v>795</v>
      </c>
      <c r="B378" t="s">
        <v>796</v>
      </c>
      <c r="C378">
        <v>25</v>
      </c>
      <c r="D378" t="s">
        <v>34</v>
      </c>
      <c r="E378" t="s">
        <v>50</v>
      </c>
      <c r="F378" t="s">
        <v>42</v>
      </c>
      <c r="G378" t="s">
        <v>43</v>
      </c>
      <c r="H378" t="s">
        <v>1059</v>
      </c>
      <c r="I378">
        <v>24000</v>
      </c>
      <c r="J378">
        <v>12</v>
      </c>
      <c r="K378">
        <v>1</v>
      </c>
      <c r="L378">
        <v>1</v>
      </c>
      <c r="N378">
        <v>95</v>
      </c>
      <c r="O378">
        <v>13</v>
      </c>
      <c r="P378">
        <v>2</v>
      </c>
      <c r="R378" t="s">
        <v>28</v>
      </c>
      <c r="S378" t="s">
        <v>20</v>
      </c>
      <c r="T378">
        <v>5</v>
      </c>
      <c r="U378">
        <v>10</v>
      </c>
      <c r="V378" t="s">
        <v>39</v>
      </c>
    </row>
    <row r="379" spans="1:22">
      <c r="A379" t="s">
        <v>797</v>
      </c>
      <c r="B379" t="s">
        <v>798</v>
      </c>
      <c r="C379">
        <v>25</v>
      </c>
      <c r="E379" t="s">
        <v>17</v>
      </c>
      <c r="F379" t="s">
        <v>27</v>
      </c>
      <c r="G379" t="s">
        <v>43</v>
      </c>
      <c r="H379" t="s">
        <v>1060</v>
      </c>
      <c r="I379">
        <v>23000</v>
      </c>
      <c r="J379">
        <v>12</v>
      </c>
      <c r="K379">
        <v>2</v>
      </c>
      <c r="L379">
        <v>1</v>
      </c>
      <c r="N379">
        <v>85</v>
      </c>
      <c r="O379">
        <v>5</v>
      </c>
      <c r="P379">
        <v>5</v>
      </c>
      <c r="Q379" t="s">
        <v>21</v>
      </c>
      <c r="R379" t="s">
        <v>38</v>
      </c>
      <c r="S379" t="s">
        <v>20</v>
      </c>
      <c r="U379">
        <v>30</v>
      </c>
      <c r="V379" t="s">
        <v>39</v>
      </c>
    </row>
    <row r="380" spans="1:22">
      <c r="A380" t="s">
        <v>799</v>
      </c>
      <c r="B380" t="s">
        <v>800</v>
      </c>
      <c r="C380">
        <v>23</v>
      </c>
      <c r="D380" t="s">
        <v>34</v>
      </c>
      <c r="E380" t="s">
        <v>35</v>
      </c>
      <c r="F380" t="s">
        <v>42</v>
      </c>
      <c r="G380" t="s">
        <v>43</v>
      </c>
      <c r="H380" t="s">
        <v>1060</v>
      </c>
      <c r="I380">
        <v>23000</v>
      </c>
      <c r="J380">
        <v>12</v>
      </c>
      <c r="K380">
        <v>2</v>
      </c>
      <c r="L380">
        <v>1</v>
      </c>
      <c r="N380">
        <v>88</v>
      </c>
      <c r="O380">
        <v>10</v>
      </c>
      <c r="P380">
        <v>5</v>
      </c>
      <c r="Q380" t="s">
        <v>21</v>
      </c>
      <c r="R380" t="s">
        <v>38</v>
      </c>
      <c r="S380" t="s">
        <v>20</v>
      </c>
      <c r="T380">
        <v>5</v>
      </c>
      <c r="U380">
        <v>10</v>
      </c>
      <c r="V380" t="s">
        <v>39</v>
      </c>
    </row>
    <row r="381" spans="1:22">
      <c r="A381" t="s">
        <v>801</v>
      </c>
      <c r="B381" t="s">
        <v>802</v>
      </c>
      <c r="C381">
        <v>23</v>
      </c>
      <c r="D381" t="s">
        <v>25</v>
      </c>
      <c r="E381" t="s">
        <v>64</v>
      </c>
      <c r="F381" t="s">
        <v>18</v>
      </c>
      <c r="G381" t="s">
        <v>43</v>
      </c>
      <c r="H381" t="s">
        <v>1060</v>
      </c>
      <c r="I381">
        <v>19500</v>
      </c>
      <c r="J381">
        <v>12</v>
      </c>
      <c r="K381">
        <v>1</v>
      </c>
      <c r="N381">
        <v>85</v>
      </c>
      <c r="O381">
        <v>10</v>
      </c>
      <c r="P381">
        <v>8</v>
      </c>
      <c r="R381" t="s">
        <v>28</v>
      </c>
      <c r="S381" t="s">
        <v>20</v>
      </c>
      <c r="V381" t="s">
        <v>1054</v>
      </c>
    </row>
    <row r="382" spans="1:22">
      <c r="A382" t="s">
        <v>803</v>
      </c>
      <c r="B382" t="s">
        <v>804</v>
      </c>
      <c r="C382">
        <v>26</v>
      </c>
      <c r="D382" t="s">
        <v>25</v>
      </c>
      <c r="E382" t="s">
        <v>50</v>
      </c>
      <c r="F382" t="s">
        <v>42</v>
      </c>
      <c r="G382" t="s">
        <v>1048</v>
      </c>
      <c r="H382" t="s">
        <v>1060</v>
      </c>
      <c r="I382">
        <v>60000</v>
      </c>
      <c r="J382">
        <v>12</v>
      </c>
      <c r="K382">
        <v>4</v>
      </c>
      <c r="L382">
        <v>2</v>
      </c>
      <c r="N382">
        <v>90</v>
      </c>
      <c r="O382">
        <v>5</v>
      </c>
      <c r="P382">
        <v>2</v>
      </c>
      <c r="Q382" t="s">
        <v>37</v>
      </c>
      <c r="R382" t="s">
        <v>38</v>
      </c>
      <c r="S382" t="s">
        <v>20</v>
      </c>
      <c r="T382">
        <v>5</v>
      </c>
      <c r="U382">
        <v>10</v>
      </c>
      <c r="V382" t="s">
        <v>39</v>
      </c>
    </row>
    <row r="383" spans="1:22">
      <c r="A383" t="s">
        <v>805</v>
      </c>
      <c r="B383" t="s">
        <v>806</v>
      </c>
      <c r="C383">
        <v>26</v>
      </c>
      <c r="D383" t="s">
        <v>46</v>
      </c>
      <c r="E383" t="s">
        <v>17</v>
      </c>
      <c r="F383" t="s">
        <v>42</v>
      </c>
      <c r="G383" t="s">
        <v>1045</v>
      </c>
      <c r="H383" t="s">
        <v>1060</v>
      </c>
      <c r="I383">
        <v>78000</v>
      </c>
      <c r="J383">
        <v>12</v>
      </c>
      <c r="K383">
        <v>7</v>
      </c>
      <c r="L383">
        <v>2</v>
      </c>
      <c r="N383">
        <v>95</v>
      </c>
      <c r="O383">
        <v>15</v>
      </c>
      <c r="P383">
        <v>3</v>
      </c>
      <c r="Q383" t="s">
        <v>37</v>
      </c>
      <c r="R383" t="s">
        <v>19</v>
      </c>
      <c r="S383" t="s">
        <v>20</v>
      </c>
      <c r="U383">
        <v>30</v>
      </c>
      <c r="V383" t="s">
        <v>39</v>
      </c>
    </row>
    <row r="384" spans="1:22">
      <c r="A384" t="s">
        <v>807</v>
      </c>
      <c r="B384" t="s">
        <v>808</v>
      </c>
      <c r="C384">
        <v>23</v>
      </c>
      <c r="D384" t="s">
        <v>25</v>
      </c>
      <c r="E384" t="s">
        <v>57</v>
      </c>
      <c r="F384" t="s">
        <v>42</v>
      </c>
      <c r="G384" t="s">
        <v>43</v>
      </c>
      <c r="H384" t="s">
        <v>1060</v>
      </c>
      <c r="I384">
        <v>24000</v>
      </c>
      <c r="J384">
        <v>12</v>
      </c>
      <c r="K384">
        <v>1</v>
      </c>
      <c r="L384">
        <v>2</v>
      </c>
      <c r="N384">
        <v>80</v>
      </c>
      <c r="O384">
        <v>10</v>
      </c>
      <c r="P384">
        <v>2</v>
      </c>
      <c r="Q384" t="s">
        <v>21</v>
      </c>
      <c r="R384" t="s">
        <v>38</v>
      </c>
      <c r="S384" t="s">
        <v>20</v>
      </c>
      <c r="T384">
        <v>5</v>
      </c>
      <c r="V384" t="s">
        <v>39</v>
      </c>
    </row>
    <row r="385" spans="1:22">
      <c r="A385" t="s">
        <v>809</v>
      </c>
      <c r="B385" t="s">
        <v>810</v>
      </c>
      <c r="C385">
        <v>28</v>
      </c>
      <c r="D385" t="s">
        <v>34</v>
      </c>
      <c r="E385" t="s">
        <v>64</v>
      </c>
      <c r="F385" t="s">
        <v>36</v>
      </c>
      <c r="G385" t="s">
        <v>1048</v>
      </c>
      <c r="H385" t="s">
        <v>1060</v>
      </c>
      <c r="I385">
        <v>69000</v>
      </c>
      <c r="J385">
        <v>12</v>
      </c>
      <c r="K385">
        <v>5</v>
      </c>
      <c r="L385">
        <v>1</v>
      </c>
      <c r="N385">
        <v>90</v>
      </c>
      <c r="O385">
        <v>5</v>
      </c>
      <c r="P385">
        <v>3</v>
      </c>
      <c r="R385" t="s">
        <v>38</v>
      </c>
      <c r="S385" t="s">
        <v>20</v>
      </c>
      <c r="T385">
        <v>20</v>
      </c>
      <c r="U385">
        <v>10</v>
      </c>
      <c r="V385" t="s">
        <v>39</v>
      </c>
    </row>
    <row r="386" spans="1:22">
      <c r="A386" t="s">
        <v>811</v>
      </c>
      <c r="B386" t="s">
        <v>812</v>
      </c>
      <c r="C386">
        <v>25</v>
      </c>
      <c r="D386" t="s">
        <v>16</v>
      </c>
      <c r="E386" t="s">
        <v>47</v>
      </c>
      <c r="F386" t="s">
        <v>42</v>
      </c>
      <c r="G386" t="s">
        <v>43</v>
      </c>
      <c r="H386" t="s">
        <v>1060</v>
      </c>
      <c r="I386">
        <v>24000</v>
      </c>
      <c r="J386">
        <v>12</v>
      </c>
      <c r="K386">
        <v>1</v>
      </c>
      <c r="L386">
        <v>4</v>
      </c>
      <c r="M386">
        <v>16000</v>
      </c>
      <c r="N386">
        <v>95</v>
      </c>
      <c r="O386">
        <v>13</v>
      </c>
      <c r="P386">
        <v>5</v>
      </c>
      <c r="Q386" t="s">
        <v>21</v>
      </c>
      <c r="R386" t="s">
        <v>28</v>
      </c>
      <c r="S386" t="s">
        <v>20</v>
      </c>
      <c r="V386" t="s">
        <v>58</v>
      </c>
    </row>
    <row r="387" spans="1:22">
      <c r="A387" t="s">
        <v>813</v>
      </c>
      <c r="B387" t="s">
        <v>814</v>
      </c>
      <c r="C387">
        <v>24</v>
      </c>
      <c r="D387" t="s">
        <v>46</v>
      </c>
      <c r="E387" t="s">
        <v>17</v>
      </c>
      <c r="F387" t="s">
        <v>27</v>
      </c>
      <c r="G387" t="s">
        <v>43</v>
      </c>
      <c r="H387" t="s">
        <v>1060</v>
      </c>
      <c r="I387">
        <v>28000</v>
      </c>
      <c r="J387">
        <v>12</v>
      </c>
      <c r="K387">
        <v>2</v>
      </c>
      <c r="L387">
        <v>3</v>
      </c>
      <c r="M387">
        <v>13400</v>
      </c>
      <c r="N387">
        <v>95</v>
      </c>
      <c r="O387">
        <v>5</v>
      </c>
      <c r="P387">
        <v>6</v>
      </c>
      <c r="Q387" t="s">
        <v>37</v>
      </c>
      <c r="R387" t="s">
        <v>38</v>
      </c>
      <c r="S387" t="s">
        <v>20</v>
      </c>
      <c r="V387" t="s">
        <v>22</v>
      </c>
    </row>
    <row r="388" spans="1:22">
      <c r="A388" t="s">
        <v>815</v>
      </c>
      <c r="B388" t="s">
        <v>816</v>
      </c>
      <c r="C388">
        <v>25</v>
      </c>
      <c r="D388" t="s">
        <v>34</v>
      </c>
      <c r="E388" t="s">
        <v>50</v>
      </c>
      <c r="F388" t="s">
        <v>36</v>
      </c>
      <c r="G388" t="s">
        <v>43</v>
      </c>
      <c r="H388" t="s">
        <v>1060</v>
      </c>
      <c r="I388">
        <v>24000</v>
      </c>
      <c r="J388">
        <v>12</v>
      </c>
      <c r="K388">
        <v>1</v>
      </c>
      <c r="L388">
        <v>4</v>
      </c>
      <c r="M388">
        <v>16000</v>
      </c>
      <c r="N388">
        <v>90</v>
      </c>
      <c r="O388">
        <v>15</v>
      </c>
      <c r="P388">
        <v>11</v>
      </c>
      <c r="R388" t="s">
        <v>38</v>
      </c>
      <c r="S388" t="s">
        <v>20</v>
      </c>
      <c r="U388">
        <v>10</v>
      </c>
      <c r="V388" t="s">
        <v>22</v>
      </c>
    </row>
    <row r="389" spans="1:22">
      <c r="A389" t="s">
        <v>817</v>
      </c>
      <c r="B389" t="s">
        <v>818</v>
      </c>
      <c r="C389">
        <v>24</v>
      </c>
      <c r="D389" t="s">
        <v>34</v>
      </c>
      <c r="E389" t="s">
        <v>26</v>
      </c>
      <c r="F389" t="s">
        <v>66</v>
      </c>
      <c r="G389" t="s">
        <v>43</v>
      </c>
      <c r="H389" t="s">
        <v>1059</v>
      </c>
      <c r="I389">
        <v>28000</v>
      </c>
      <c r="J389">
        <v>12</v>
      </c>
      <c r="K389">
        <v>2</v>
      </c>
      <c r="L389">
        <v>1</v>
      </c>
      <c r="N389">
        <v>85</v>
      </c>
      <c r="O389">
        <v>10</v>
      </c>
      <c r="P389">
        <v>5</v>
      </c>
      <c r="R389" t="s">
        <v>28</v>
      </c>
      <c r="S389" t="s">
        <v>20</v>
      </c>
      <c r="U389">
        <v>10</v>
      </c>
      <c r="V389" t="s">
        <v>39</v>
      </c>
    </row>
    <row r="390" spans="1:22">
      <c r="A390" t="s">
        <v>819</v>
      </c>
      <c r="B390" t="s">
        <v>820</v>
      </c>
      <c r="C390">
        <v>30</v>
      </c>
      <c r="D390" t="s">
        <v>46</v>
      </c>
      <c r="E390" t="s">
        <v>35</v>
      </c>
      <c r="F390" t="s">
        <v>42</v>
      </c>
      <c r="G390" t="s">
        <v>1045</v>
      </c>
      <c r="H390" t="s">
        <v>1060</v>
      </c>
      <c r="I390">
        <v>78000</v>
      </c>
      <c r="J390">
        <v>12</v>
      </c>
      <c r="K390">
        <v>5</v>
      </c>
      <c r="L390">
        <v>5</v>
      </c>
      <c r="N390">
        <v>90</v>
      </c>
      <c r="O390">
        <v>15</v>
      </c>
      <c r="P390">
        <v>1</v>
      </c>
      <c r="R390" t="s">
        <v>38</v>
      </c>
      <c r="S390" t="s">
        <v>20</v>
      </c>
      <c r="T390">
        <v>20</v>
      </c>
      <c r="V390" t="s">
        <v>58</v>
      </c>
    </row>
    <row r="391" spans="1:22">
      <c r="A391" t="s">
        <v>821</v>
      </c>
      <c r="B391" t="s">
        <v>822</v>
      </c>
      <c r="C391">
        <v>24</v>
      </c>
      <c r="D391" t="s">
        <v>16</v>
      </c>
      <c r="E391" t="s">
        <v>73</v>
      </c>
      <c r="F391" t="s">
        <v>42</v>
      </c>
      <c r="G391" t="s">
        <v>43</v>
      </c>
      <c r="H391" t="s">
        <v>1059</v>
      </c>
      <c r="I391">
        <v>28000</v>
      </c>
      <c r="J391">
        <v>12</v>
      </c>
      <c r="K391">
        <v>2</v>
      </c>
      <c r="L391">
        <v>3</v>
      </c>
      <c r="M391">
        <v>13400</v>
      </c>
      <c r="N391">
        <v>80</v>
      </c>
      <c r="O391">
        <v>15</v>
      </c>
      <c r="P391">
        <v>3</v>
      </c>
      <c r="R391" t="s">
        <v>28</v>
      </c>
      <c r="S391" t="s">
        <v>20</v>
      </c>
      <c r="T391">
        <v>20</v>
      </c>
      <c r="U391">
        <v>20</v>
      </c>
      <c r="V391" t="s">
        <v>22</v>
      </c>
    </row>
    <row r="392" spans="1:22">
      <c r="A392" t="s">
        <v>823</v>
      </c>
      <c r="B392" t="s">
        <v>824</v>
      </c>
      <c r="C392">
        <v>23</v>
      </c>
      <c r="D392" t="s">
        <v>46</v>
      </c>
      <c r="E392" t="s">
        <v>47</v>
      </c>
      <c r="F392" t="s">
        <v>18</v>
      </c>
      <c r="G392" t="s">
        <v>43</v>
      </c>
      <c r="H392" t="s">
        <v>1060</v>
      </c>
      <c r="I392">
        <v>28000</v>
      </c>
      <c r="J392">
        <v>12</v>
      </c>
      <c r="K392">
        <v>2</v>
      </c>
      <c r="L392">
        <v>1</v>
      </c>
      <c r="N392">
        <v>85</v>
      </c>
      <c r="O392">
        <v>15</v>
      </c>
      <c r="P392">
        <v>2</v>
      </c>
      <c r="Q392" t="s">
        <v>37</v>
      </c>
      <c r="R392" t="s">
        <v>38</v>
      </c>
      <c r="S392" t="s">
        <v>20</v>
      </c>
      <c r="T392">
        <v>10</v>
      </c>
      <c r="V392" t="s">
        <v>39</v>
      </c>
    </row>
    <row r="393" spans="1:22">
      <c r="A393" t="s">
        <v>825</v>
      </c>
      <c r="B393" t="s">
        <v>826</v>
      </c>
      <c r="C393">
        <v>23</v>
      </c>
      <c r="D393" t="s">
        <v>16</v>
      </c>
      <c r="E393" t="s">
        <v>61</v>
      </c>
      <c r="F393" t="s">
        <v>42</v>
      </c>
      <c r="G393" t="s">
        <v>43</v>
      </c>
      <c r="H393" t="s">
        <v>1060</v>
      </c>
      <c r="I393">
        <v>24000</v>
      </c>
      <c r="J393">
        <v>12</v>
      </c>
      <c r="K393">
        <v>1</v>
      </c>
      <c r="L393">
        <v>4</v>
      </c>
      <c r="M393">
        <v>16000</v>
      </c>
      <c r="N393">
        <v>95</v>
      </c>
      <c r="O393">
        <v>13</v>
      </c>
      <c r="P393">
        <v>5</v>
      </c>
      <c r="R393" t="s">
        <v>38</v>
      </c>
      <c r="S393" t="s">
        <v>20</v>
      </c>
      <c r="T393">
        <v>20</v>
      </c>
      <c r="U393">
        <v>30</v>
      </c>
      <c r="V393" t="s">
        <v>58</v>
      </c>
    </row>
    <row r="394" spans="1:22">
      <c r="A394" t="s">
        <v>827</v>
      </c>
      <c r="B394" t="s">
        <v>828</v>
      </c>
      <c r="C394">
        <v>27</v>
      </c>
      <c r="D394" t="s">
        <v>25</v>
      </c>
      <c r="E394" t="s">
        <v>17</v>
      </c>
      <c r="F394" t="s">
        <v>31</v>
      </c>
      <c r="G394" t="s">
        <v>1045</v>
      </c>
      <c r="H394" t="s">
        <v>1060</v>
      </c>
      <c r="I394">
        <v>82000</v>
      </c>
      <c r="J394">
        <v>12</v>
      </c>
      <c r="K394">
        <v>6</v>
      </c>
      <c r="L394">
        <v>2</v>
      </c>
      <c r="N394">
        <v>85</v>
      </c>
      <c r="O394">
        <v>15</v>
      </c>
      <c r="P394">
        <v>5</v>
      </c>
      <c r="Q394" t="s">
        <v>37</v>
      </c>
      <c r="R394" t="s">
        <v>28</v>
      </c>
      <c r="S394" t="s">
        <v>20</v>
      </c>
      <c r="U394">
        <v>10</v>
      </c>
      <c r="V394" t="s">
        <v>39</v>
      </c>
    </row>
    <row r="395" spans="1:22">
      <c r="A395" t="s">
        <v>829</v>
      </c>
      <c r="B395" t="s">
        <v>830</v>
      </c>
      <c r="C395">
        <v>24</v>
      </c>
      <c r="D395" t="s">
        <v>16</v>
      </c>
      <c r="E395" t="s">
        <v>64</v>
      </c>
      <c r="F395" t="s">
        <v>42</v>
      </c>
      <c r="G395" t="s">
        <v>43</v>
      </c>
      <c r="H395" t="s">
        <v>1060</v>
      </c>
      <c r="I395">
        <v>25000</v>
      </c>
      <c r="J395">
        <v>12</v>
      </c>
      <c r="K395">
        <v>1</v>
      </c>
      <c r="L395">
        <v>1</v>
      </c>
      <c r="N395">
        <v>85</v>
      </c>
      <c r="O395">
        <v>15</v>
      </c>
      <c r="P395">
        <v>9</v>
      </c>
      <c r="R395" t="s">
        <v>38</v>
      </c>
      <c r="S395" t="s">
        <v>20</v>
      </c>
      <c r="T395">
        <v>10</v>
      </c>
      <c r="U395">
        <v>30</v>
      </c>
      <c r="V395" t="s">
        <v>39</v>
      </c>
    </row>
    <row r="396" spans="1:22">
      <c r="A396" t="s">
        <v>831</v>
      </c>
      <c r="B396" t="s">
        <v>832</v>
      </c>
      <c r="C396">
        <v>24</v>
      </c>
      <c r="D396" t="s">
        <v>34</v>
      </c>
      <c r="E396" t="s">
        <v>61</v>
      </c>
      <c r="F396" t="s">
        <v>42</v>
      </c>
      <c r="G396" t="s">
        <v>43</v>
      </c>
      <c r="H396" t="s">
        <v>1060</v>
      </c>
      <c r="I396">
        <v>24000</v>
      </c>
      <c r="J396">
        <v>12</v>
      </c>
      <c r="K396">
        <v>1</v>
      </c>
      <c r="L396">
        <v>4</v>
      </c>
      <c r="M396">
        <v>16000</v>
      </c>
      <c r="N396">
        <v>95</v>
      </c>
      <c r="O396">
        <v>15</v>
      </c>
      <c r="P396">
        <v>3</v>
      </c>
      <c r="Q396" t="s">
        <v>21</v>
      </c>
      <c r="R396" t="s">
        <v>38</v>
      </c>
      <c r="S396" t="s">
        <v>20</v>
      </c>
      <c r="U396">
        <v>30</v>
      </c>
      <c r="V396" t="s">
        <v>58</v>
      </c>
    </row>
    <row r="397" spans="1:22">
      <c r="A397" t="s">
        <v>833</v>
      </c>
      <c r="B397" t="s">
        <v>834</v>
      </c>
      <c r="C397">
        <v>24</v>
      </c>
      <c r="D397" t="s">
        <v>34</v>
      </c>
      <c r="E397" t="s">
        <v>64</v>
      </c>
      <c r="F397" t="s">
        <v>31</v>
      </c>
      <c r="G397" t="s">
        <v>43</v>
      </c>
      <c r="H397" t="s">
        <v>1060</v>
      </c>
      <c r="I397">
        <v>24000</v>
      </c>
      <c r="J397">
        <v>12</v>
      </c>
      <c r="K397">
        <v>1</v>
      </c>
      <c r="L397">
        <v>1</v>
      </c>
      <c r="N397">
        <v>85</v>
      </c>
      <c r="O397">
        <v>10</v>
      </c>
      <c r="P397">
        <v>5</v>
      </c>
      <c r="Q397" t="s">
        <v>21</v>
      </c>
      <c r="R397" t="s">
        <v>38</v>
      </c>
      <c r="S397" t="s">
        <v>20</v>
      </c>
      <c r="T397">
        <v>5</v>
      </c>
      <c r="V397" t="s">
        <v>39</v>
      </c>
    </row>
    <row r="398" spans="1:22">
      <c r="A398" t="s">
        <v>835</v>
      </c>
      <c r="B398" t="s">
        <v>836</v>
      </c>
      <c r="C398">
        <v>23</v>
      </c>
      <c r="E398" t="s">
        <v>57</v>
      </c>
      <c r="F398" t="s">
        <v>66</v>
      </c>
      <c r="G398" t="s">
        <v>43</v>
      </c>
      <c r="H398" t="s">
        <v>1060</v>
      </c>
      <c r="I398">
        <v>24000</v>
      </c>
      <c r="J398">
        <v>12</v>
      </c>
      <c r="K398">
        <v>1</v>
      </c>
      <c r="L398">
        <v>1</v>
      </c>
      <c r="N398">
        <v>80</v>
      </c>
      <c r="O398">
        <v>13</v>
      </c>
      <c r="P398">
        <v>5</v>
      </c>
      <c r="Q398" t="s">
        <v>21</v>
      </c>
      <c r="R398" t="s">
        <v>19</v>
      </c>
      <c r="S398" t="s">
        <v>20</v>
      </c>
      <c r="T398">
        <v>20</v>
      </c>
      <c r="U398">
        <v>20</v>
      </c>
      <c r="V398" t="s">
        <v>39</v>
      </c>
    </row>
    <row r="399" spans="1:22">
      <c r="A399" t="s">
        <v>837</v>
      </c>
      <c r="B399" t="s">
        <v>838</v>
      </c>
      <c r="C399">
        <v>24</v>
      </c>
      <c r="D399" t="s">
        <v>34</v>
      </c>
      <c r="E399" t="s">
        <v>65</v>
      </c>
      <c r="F399" t="s">
        <v>42</v>
      </c>
      <c r="G399" t="s">
        <v>1045</v>
      </c>
      <c r="H399" t="s">
        <v>1059</v>
      </c>
      <c r="I399">
        <v>81000</v>
      </c>
      <c r="J399">
        <v>12</v>
      </c>
      <c r="K399">
        <v>6</v>
      </c>
      <c r="L399">
        <v>5</v>
      </c>
      <c r="N399">
        <v>85</v>
      </c>
      <c r="O399">
        <v>13</v>
      </c>
      <c r="P399">
        <v>1</v>
      </c>
      <c r="Q399" t="s">
        <v>37</v>
      </c>
      <c r="R399" t="s">
        <v>28</v>
      </c>
      <c r="S399" t="s">
        <v>20</v>
      </c>
      <c r="T399">
        <v>20</v>
      </c>
      <c r="U399">
        <v>20</v>
      </c>
      <c r="V399" t="s">
        <v>58</v>
      </c>
    </row>
    <row r="400" spans="1:22">
      <c r="A400" t="s">
        <v>839</v>
      </c>
      <c r="B400" t="s">
        <v>840</v>
      </c>
      <c r="C400">
        <v>23</v>
      </c>
      <c r="D400" t="s">
        <v>46</v>
      </c>
      <c r="E400" t="s">
        <v>73</v>
      </c>
      <c r="F400" t="s">
        <v>66</v>
      </c>
      <c r="G400" t="s">
        <v>43</v>
      </c>
      <c r="H400" t="s">
        <v>1060</v>
      </c>
      <c r="I400">
        <v>29000</v>
      </c>
      <c r="J400">
        <v>12</v>
      </c>
      <c r="K400">
        <v>2</v>
      </c>
      <c r="L400">
        <v>5</v>
      </c>
      <c r="M400">
        <v>20000</v>
      </c>
      <c r="N400">
        <v>95</v>
      </c>
      <c r="O400">
        <v>10</v>
      </c>
      <c r="P400">
        <v>2</v>
      </c>
      <c r="R400" t="s">
        <v>38</v>
      </c>
      <c r="S400" t="s">
        <v>20</v>
      </c>
      <c r="U400">
        <v>30</v>
      </c>
      <c r="V400" t="s">
        <v>58</v>
      </c>
    </row>
    <row r="401" spans="1:22">
      <c r="A401" t="s">
        <v>841</v>
      </c>
      <c r="B401" t="s">
        <v>842</v>
      </c>
      <c r="C401">
        <v>24</v>
      </c>
      <c r="D401" t="s">
        <v>25</v>
      </c>
      <c r="E401" t="s">
        <v>73</v>
      </c>
      <c r="F401" t="s">
        <v>42</v>
      </c>
      <c r="G401" t="s">
        <v>43</v>
      </c>
      <c r="H401" t="s">
        <v>1059</v>
      </c>
      <c r="I401">
        <v>29000</v>
      </c>
      <c r="J401">
        <v>12</v>
      </c>
      <c r="K401">
        <v>2</v>
      </c>
      <c r="L401">
        <v>4</v>
      </c>
      <c r="M401">
        <v>16000</v>
      </c>
      <c r="N401">
        <v>90</v>
      </c>
      <c r="O401">
        <v>15</v>
      </c>
      <c r="P401">
        <v>3</v>
      </c>
      <c r="Q401" t="s">
        <v>21</v>
      </c>
      <c r="R401" t="s">
        <v>28</v>
      </c>
      <c r="S401" t="s">
        <v>20</v>
      </c>
      <c r="T401">
        <v>5</v>
      </c>
      <c r="U401">
        <v>10</v>
      </c>
      <c r="V401" t="s">
        <v>22</v>
      </c>
    </row>
    <row r="402" spans="1:22">
      <c r="A402" t="s">
        <v>843</v>
      </c>
      <c r="B402" t="s">
        <v>844</v>
      </c>
      <c r="C402">
        <v>25</v>
      </c>
      <c r="D402" t="s">
        <v>46</v>
      </c>
      <c r="E402" t="s">
        <v>35</v>
      </c>
      <c r="F402" t="s">
        <v>31</v>
      </c>
      <c r="G402" t="s">
        <v>43</v>
      </c>
      <c r="H402" t="s">
        <v>1059</v>
      </c>
      <c r="I402">
        <v>29000</v>
      </c>
      <c r="J402">
        <v>12</v>
      </c>
      <c r="K402">
        <v>2</v>
      </c>
      <c r="L402">
        <v>3</v>
      </c>
      <c r="M402">
        <v>11400</v>
      </c>
      <c r="N402">
        <v>95</v>
      </c>
      <c r="O402">
        <v>13</v>
      </c>
      <c r="P402">
        <v>3</v>
      </c>
      <c r="R402" t="s">
        <v>28</v>
      </c>
      <c r="S402" t="s">
        <v>20</v>
      </c>
      <c r="T402">
        <v>5</v>
      </c>
      <c r="U402">
        <v>30</v>
      </c>
      <c r="V402" t="s">
        <v>22</v>
      </c>
    </row>
    <row r="403" spans="1:22">
      <c r="A403" t="s">
        <v>845</v>
      </c>
      <c r="B403" t="s">
        <v>846</v>
      </c>
      <c r="C403">
        <v>25</v>
      </c>
      <c r="D403" t="s">
        <v>46</v>
      </c>
      <c r="E403" t="s">
        <v>65</v>
      </c>
      <c r="F403" t="s">
        <v>18</v>
      </c>
      <c r="G403" t="s">
        <v>43</v>
      </c>
      <c r="H403" t="s">
        <v>1060</v>
      </c>
      <c r="I403">
        <v>29000</v>
      </c>
      <c r="J403">
        <v>12</v>
      </c>
      <c r="K403">
        <v>2</v>
      </c>
      <c r="L403">
        <v>3</v>
      </c>
      <c r="M403">
        <v>11400</v>
      </c>
      <c r="N403">
        <v>80</v>
      </c>
      <c r="O403">
        <v>13</v>
      </c>
      <c r="P403">
        <v>10</v>
      </c>
      <c r="R403" t="s">
        <v>38</v>
      </c>
      <c r="S403" t="s">
        <v>20</v>
      </c>
      <c r="T403">
        <v>10</v>
      </c>
      <c r="U403">
        <v>10</v>
      </c>
      <c r="V403" t="s">
        <v>22</v>
      </c>
    </row>
    <row r="404" spans="1:22">
      <c r="A404" t="s">
        <v>847</v>
      </c>
      <c r="B404" t="s">
        <v>848</v>
      </c>
      <c r="C404">
        <v>23</v>
      </c>
      <c r="D404" t="s">
        <v>46</v>
      </c>
      <c r="E404" t="s">
        <v>65</v>
      </c>
      <c r="F404" t="s">
        <v>66</v>
      </c>
      <c r="G404" t="s">
        <v>43</v>
      </c>
      <c r="H404" t="s">
        <v>1060</v>
      </c>
      <c r="I404">
        <v>24000</v>
      </c>
      <c r="J404">
        <v>12</v>
      </c>
      <c r="K404">
        <v>1</v>
      </c>
      <c r="L404">
        <v>3</v>
      </c>
      <c r="M404">
        <v>11400</v>
      </c>
      <c r="N404">
        <v>85</v>
      </c>
      <c r="O404">
        <v>5</v>
      </c>
      <c r="P404">
        <v>5</v>
      </c>
      <c r="Q404" t="s">
        <v>37</v>
      </c>
      <c r="R404" t="s">
        <v>38</v>
      </c>
      <c r="S404" t="s">
        <v>20</v>
      </c>
      <c r="U404">
        <v>10</v>
      </c>
      <c r="V404" t="s">
        <v>22</v>
      </c>
    </row>
    <row r="405" spans="1:22">
      <c r="A405" t="s">
        <v>849</v>
      </c>
      <c r="B405" t="s">
        <v>850</v>
      </c>
      <c r="C405">
        <v>38</v>
      </c>
      <c r="E405" t="s">
        <v>17</v>
      </c>
      <c r="F405" t="s">
        <v>18</v>
      </c>
      <c r="G405" t="s">
        <v>32</v>
      </c>
      <c r="H405" t="s">
        <v>1060</v>
      </c>
      <c r="I405">
        <v>90000</v>
      </c>
      <c r="J405">
        <v>12</v>
      </c>
      <c r="K405">
        <v>12</v>
      </c>
      <c r="M405">
        <v>28417</v>
      </c>
      <c r="N405">
        <v>80</v>
      </c>
      <c r="O405">
        <v>13</v>
      </c>
      <c r="P405">
        <v>3</v>
      </c>
      <c r="R405" t="s">
        <v>28</v>
      </c>
      <c r="S405" t="s">
        <v>20</v>
      </c>
      <c r="T405">
        <v>5</v>
      </c>
      <c r="V405" t="s">
        <v>1054</v>
      </c>
    </row>
    <row r="406" spans="1:22">
      <c r="A406" t="s">
        <v>851</v>
      </c>
      <c r="B406" t="s">
        <v>852</v>
      </c>
      <c r="C406">
        <v>30</v>
      </c>
      <c r="D406" t="s">
        <v>25</v>
      </c>
      <c r="E406" t="s">
        <v>17</v>
      </c>
      <c r="F406" t="s">
        <v>31</v>
      </c>
      <c r="G406" t="s">
        <v>82</v>
      </c>
      <c r="H406" t="s">
        <v>1060</v>
      </c>
      <c r="I406">
        <v>84000</v>
      </c>
      <c r="J406">
        <v>12</v>
      </c>
      <c r="K406">
        <v>7</v>
      </c>
      <c r="L406">
        <v>3</v>
      </c>
      <c r="M406">
        <v>27000</v>
      </c>
      <c r="N406">
        <v>90</v>
      </c>
      <c r="O406">
        <v>10</v>
      </c>
      <c r="P406">
        <v>5</v>
      </c>
      <c r="R406" t="s">
        <v>38</v>
      </c>
      <c r="S406" t="s">
        <v>20</v>
      </c>
      <c r="T406">
        <v>10</v>
      </c>
      <c r="U406">
        <v>10</v>
      </c>
      <c r="V406" t="s">
        <v>22</v>
      </c>
    </row>
    <row r="407" spans="1:22">
      <c r="A407" t="s">
        <v>853</v>
      </c>
      <c r="B407" t="s">
        <v>854</v>
      </c>
      <c r="C407">
        <v>25</v>
      </c>
      <c r="D407" t="s">
        <v>46</v>
      </c>
      <c r="E407" t="s">
        <v>35</v>
      </c>
      <c r="F407" t="s">
        <v>31</v>
      </c>
      <c r="G407" t="s">
        <v>1045</v>
      </c>
      <c r="H407" t="s">
        <v>1060</v>
      </c>
      <c r="I407">
        <v>78000</v>
      </c>
      <c r="J407">
        <v>12</v>
      </c>
      <c r="K407">
        <v>5</v>
      </c>
      <c r="L407">
        <v>4</v>
      </c>
      <c r="M407">
        <v>10871</v>
      </c>
      <c r="N407">
        <v>80</v>
      </c>
      <c r="O407">
        <v>5</v>
      </c>
      <c r="P407">
        <v>2</v>
      </c>
      <c r="Q407" t="s">
        <v>21</v>
      </c>
      <c r="R407" t="s">
        <v>19</v>
      </c>
      <c r="S407" t="s">
        <v>20</v>
      </c>
      <c r="U407">
        <v>10</v>
      </c>
      <c r="V407" t="s">
        <v>58</v>
      </c>
    </row>
    <row r="408" spans="1:22">
      <c r="A408" t="s">
        <v>855</v>
      </c>
      <c r="B408" t="s">
        <v>856</v>
      </c>
      <c r="C408">
        <v>24</v>
      </c>
      <c r="D408" t="s">
        <v>34</v>
      </c>
      <c r="E408" t="s">
        <v>64</v>
      </c>
      <c r="F408" t="s">
        <v>31</v>
      </c>
      <c r="G408" t="s">
        <v>43</v>
      </c>
      <c r="H408" t="s">
        <v>1060</v>
      </c>
      <c r="I408">
        <v>24000</v>
      </c>
      <c r="J408">
        <v>12</v>
      </c>
      <c r="K408">
        <v>1</v>
      </c>
      <c r="L408">
        <v>3</v>
      </c>
      <c r="M408">
        <v>13400</v>
      </c>
      <c r="N408">
        <v>95</v>
      </c>
      <c r="O408">
        <v>5</v>
      </c>
      <c r="P408">
        <v>1</v>
      </c>
      <c r="Q408" t="s">
        <v>37</v>
      </c>
      <c r="R408" t="s">
        <v>38</v>
      </c>
      <c r="S408" t="s">
        <v>20</v>
      </c>
      <c r="T408">
        <v>10</v>
      </c>
      <c r="V408" t="s">
        <v>22</v>
      </c>
    </row>
    <row r="409" spans="1:22">
      <c r="A409" t="s">
        <v>857</v>
      </c>
      <c r="B409" t="s">
        <v>858</v>
      </c>
      <c r="C409">
        <v>23</v>
      </c>
      <c r="D409" t="s">
        <v>25</v>
      </c>
      <c r="E409" t="s">
        <v>65</v>
      </c>
      <c r="F409" t="s">
        <v>66</v>
      </c>
      <c r="G409" t="s">
        <v>43</v>
      </c>
      <c r="H409" t="s">
        <v>1060</v>
      </c>
      <c r="I409">
        <v>27000</v>
      </c>
      <c r="J409">
        <v>12</v>
      </c>
      <c r="K409">
        <v>2</v>
      </c>
      <c r="L409">
        <v>5</v>
      </c>
      <c r="M409">
        <v>20000</v>
      </c>
      <c r="N409">
        <v>80</v>
      </c>
      <c r="O409">
        <v>5</v>
      </c>
      <c r="P409">
        <v>3</v>
      </c>
      <c r="Q409" t="s">
        <v>37</v>
      </c>
      <c r="R409" t="s">
        <v>38</v>
      </c>
      <c r="S409" t="s">
        <v>20</v>
      </c>
      <c r="T409">
        <v>10</v>
      </c>
      <c r="V409" t="s">
        <v>58</v>
      </c>
    </row>
    <row r="410" spans="1:22">
      <c r="A410" t="s">
        <v>859</v>
      </c>
      <c r="B410" t="s">
        <v>860</v>
      </c>
      <c r="C410">
        <v>25</v>
      </c>
      <c r="D410" t="s">
        <v>25</v>
      </c>
      <c r="E410" t="s">
        <v>57</v>
      </c>
      <c r="F410" t="s">
        <v>31</v>
      </c>
      <c r="G410" t="s">
        <v>43</v>
      </c>
      <c r="H410" t="s">
        <v>1060</v>
      </c>
      <c r="I410">
        <v>24000</v>
      </c>
      <c r="J410">
        <v>12</v>
      </c>
      <c r="K410">
        <v>1</v>
      </c>
      <c r="L410">
        <v>1</v>
      </c>
      <c r="N410">
        <v>90</v>
      </c>
      <c r="O410">
        <v>5</v>
      </c>
      <c r="P410">
        <v>2</v>
      </c>
      <c r="R410" t="s">
        <v>38</v>
      </c>
      <c r="S410" t="s">
        <v>20</v>
      </c>
      <c r="T410">
        <v>20</v>
      </c>
      <c r="U410">
        <v>30</v>
      </c>
      <c r="V410" t="s">
        <v>39</v>
      </c>
    </row>
    <row r="411" spans="1:22">
      <c r="A411" t="s">
        <v>861</v>
      </c>
      <c r="B411" t="s">
        <v>862</v>
      </c>
      <c r="C411">
        <v>40</v>
      </c>
      <c r="D411" t="s">
        <v>25</v>
      </c>
      <c r="E411" t="s">
        <v>26</v>
      </c>
      <c r="F411" t="s">
        <v>42</v>
      </c>
      <c r="G411" t="s">
        <v>1045</v>
      </c>
      <c r="H411" t="s">
        <v>1060</v>
      </c>
      <c r="I411">
        <v>75000</v>
      </c>
      <c r="J411">
        <v>12</v>
      </c>
      <c r="K411">
        <v>5</v>
      </c>
      <c r="L411">
        <v>1</v>
      </c>
      <c r="N411">
        <v>90</v>
      </c>
      <c r="O411">
        <v>5</v>
      </c>
      <c r="P411">
        <v>13</v>
      </c>
      <c r="R411" t="s">
        <v>19</v>
      </c>
      <c r="S411" t="s">
        <v>20</v>
      </c>
      <c r="T411">
        <v>10</v>
      </c>
      <c r="U411">
        <v>10</v>
      </c>
      <c r="V411" t="s">
        <v>39</v>
      </c>
    </row>
    <row r="412" spans="1:22">
      <c r="A412" t="s">
        <v>863</v>
      </c>
      <c r="B412" t="s">
        <v>864</v>
      </c>
      <c r="C412">
        <v>32</v>
      </c>
      <c r="D412" t="s">
        <v>25</v>
      </c>
      <c r="E412" t="s">
        <v>64</v>
      </c>
      <c r="F412" t="s">
        <v>36</v>
      </c>
      <c r="G412" t="s">
        <v>82</v>
      </c>
      <c r="H412" t="s">
        <v>1060</v>
      </c>
      <c r="I412">
        <v>83000</v>
      </c>
      <c r="J412">
        <v>12</v>
      </c>
      <c r="K412">
        <v>7</v>
      </c>
      <c r="L412">
        <v>2</v>
      </c>
      <c r="N412">
        <v>90</v>
      </c>
      <c r="O412">
        <v>10</v>
      </c>
      <c r="P412">
        <v>3</v>
      </c>
      <c r="Q412" t="s">
        <v>21</v>
      </c>
      <c r="R412" t="s">
        <v>38</v>
      </c>
      <c r="S412" t="s">
        <v>20</v>
      </c>
      <c r="U412">
        <v>20</v>
      </c>
      <c r="V412" t="s">
        <v>39</v>
      </c>
    </row>
    <row r="413" spans="1:22">
      <c r="A413" t="s">
        <v>865</v>
      </c>
      <c r="B413" t="s">
        <v>866</v>
      </c>
      <c r="C413">
        <v>23</v>
      </c>
      <c r="D413" t="s">
        <v>46</v>
      </c>
      <c r="E413" t="s">
        <v>35</v>
      </c>
      <c r="F413" t="s">
        <v>42</v>
      </c>
      <c r="G413" t="s">
        <v>43</v>
      </c>
      <c r="H413" t="s">
        <v>1060</v>
      </c>
      <c r="I413">
        <v>27000</v>
      </c>
      <c r="J413">
        <v>12</v>
      </c>
      <c r="K413">
        <v>2</v>
      </c>
      <c r="L413">
        <v>4</v>
      </c>
      <c r="M413">
        <v>16000</v>
      </c>
      <c r="N413">
        <v>90</v>
      </c>
      <c r="O413">
        <v>10</v>
      </c>
      <c r="P413">
        <v>5</v>
      </c>
      <c r="R413" t="s">
        <v>38</v>
      </c>
      <c r="S413" t="s">
        <v>20</v>
      </c>
      <c r="T413">
        <v>5</v>
      </c>
      <c r="V413" t="s">
        <v>22</v>
      </c>
    </row>
    <row r="414" spans="1:22">
      <c r="A414" t="s">
        <v>867</v>
      </c>
      <c r="B414" t="s">
        <v>868</v>
      </c>
      <c r="C414">
        <v>32</v>
      </c>
      <c r="D414" t="s">
        <v>46</v>
      </c>
      <c r="E414" t="s">
        <v>47</v>
      </c>
      <c r="F414" t="s">
        <v>18</v>
      </c>
      <c r="G414" t="s">
        <v>82</v>
      </c>
      <c r="H414" t="s">
        <v>1059</v>
      </c>
      <c r="I414">
        <v>84000</v>
      </c>
      <c r="J414">
        <v>12</v>
      </c>
      <c r="K414">
        <v>7</v>
      </c>
      <c r="L414">
        <v>4</v>
      </c>
      <c r="M414">
        <v>26101</v>
      </c>
      <c r="N414">
        <v>88</v>
      </c>
      <c r="O414">
        <v>10</v>
      </c>
      <c r="P414">
        <v>5</v>
      </c>
      <c r="Q414" t="s">
        <v>37</v>
      </c>
      <c r="R414" t="s">
        <v>28</v>
      </c>
      <c r="S414" t="s">
        <v>20</v>
      </c>
      <c r="T414">
        <v>20</v>
      </c>
      <c r="U414">
        <v>30</v>
      </c>
      <c r="V414" t="s">
        <v>58</v>
      </c>
    </row>
    <row r="415" spans="1:22">
      <c r="A415" t="s">
        <v>869</v>
      </c>
      <c r="B415" t="s">
        <v>870</v>
      </c>
      <c r="C415">
        <v>23</v>
      </c>
      <c r="D415" t="s">
        <v>16</v>
      </c>
      <c r="E415" t="s">
        <v>73</v>
      </c>
      <c r="F415" t="s">
        <v>27</v>
      </c>
      <c r="G415" t="s">
        <v>43</v>
      </c>
      <c r="H415" t="s">
        <v>1060</v>
      </c>
      <c r="I415">
        <v>27000</v>
      </c>
      <c r="J415">
        <v>12</v>
      </c>
      <c r="K415">
        <v>2</v>
      </c>
      <c r="L415">
        <v>2</v>
      </c>
      <c r="N415">
        <v>88</v>
      </c>
      <c r="O415">
        <v>15</v>
      </c>
      <c r="P415">
        <v>5</v>
      </c>
      <c r="R415" t="s">
        <v>38</v>
      </c>
      <c r="S415" t="s">
        <v>20</v>
      </c>
      <c r="T415">
        <v>5</v>
      </c>
      <c r="U415">
        <v>20</v>
      </c>
      <c r="V415" t="s">
        <v>39</v>
      </c>
    </row>
    <row r="416" spans="1:22">
      <c r="A416" t="s">
        <v>871</v>
      </c>
      <c r="B416" t="s">
        <v>872</v>
      </c>
      <c r="C416">
        <v>23</v>
      </c>
      <c r="D416" t="s">
        <v>46</v>
      </c>
      <c r="E416" t="s">
        <v>17</v>
      </c>
      <c r="F416" t="s">
        <v>27</v>
      </c>
      <c r="G416" t="s">
        <v>43</v>
      </c>
      <c r="H416" t="s">
        <v>1060</v>
      </c>
      <c r="I416">
        <v>27000</v>
      </c>
      <c r="J416">
        <v>12</v>
      </c>
      <c r="K416">
        <v>2</v>
      </c>
      <c r="L416">
        <v>2</v>
      </c>
      <c r="N416">
        <v>80</v>
      </c>
      <c r="O416">
        <v>10</v>
      </c>
      <c r="P416">
        <v>3</v>
      </c>
      <c r="Q416" t="s">
        <v>21</v>
      </c>
      <c r="R416" t="s">
        <v>38</v>
      </c>
      <c r="S416" t="s">
        <v>20</v>
      </c>
      <c r="U416">
        <v>10</v>
      </c>
      <c r="V416" t="s">
        <v>39</v>
      </c>
    </row>
    <row r="417" spans="1:22">
      <c r="A417" t="s">
        <v>873</v>
      </c>
      <c r="B417" t="s">
        <v>874</v>
      </c>
      <c r="C417">
        <v>25</v>
      </c>
      <c r="D417" t="s">
        <v>46</v>
      </c>
      <c r="E417" t="s">
        <v>50</v>
      </c>
      <c r="F417" t="s">
        <v>36</v>
      </c>
      <c r="G417" t="s">
        <v>43</v>
      </c>
      <c r="H417" t="s">
        <v>1060</v>
      </c>
      <c r="I417">
        <v>24000</v>
      </c>
      <c r="J417">
        <v>12</v>
      </c>
      <c r="K417">
        <v>1</v>
      </c>
      <c r="L417">
        <v>2</v>
      </c>
      <c r="N417">
        <v>80</v>
      </c>
      <c r="O417">
        <v>13</v>
      </c>
      <c r="P417">
        <v>1</v>
      </c>
      <c r="R417" t="s">
        <v>38</v>
      </c>
      <c r="S417" t="s">
        <v>20</v>
      </c>
      <c r="T417">
        <v>10</v>
      </c>
      <c r="U417">
        <v>20</v>
      </c>
      <c r="V417" t="s">
        <v>39</v>
      </c>
    </row>
    <row r="418" spans="1:22">
      <c r="A418" t="s">
        <v>875</v>
      </c>
      <c r="B418" t="s">
        <v>876</v>
      </c>
      <c r="C418">
        <v>23</v>
      </c>
      <c r="D418" t="s">
        <v>46</v>
      </c>
      <c r="E418" t="s">
        <v>50</v>
      </c>
      <c r="F418" t="s">
        <v>18</v>
      </c>
      <c r="G418" t="s">
        <v>43</v>
      </c>
      <c r="H418" t="s">
        <v>1060</v>
      </c>
      <c r="I418">
        <v>22000</v>
      </c>
      <c r="J418">
        <v>12</v>
      </c>
      <c r="K418">
        <v>1</v>
      </c>
      <c r="L418">
        <v>1</v>
      </c>
      <c r="N418">
        <v>80</v>
      </c>
      <c r="O418">
        <v>10</v>
      </c>
      <c r="P418">
        <v>5</v>
      </c>
      <c r="R418" t="s">
        <v>38</v>
      </c>
      <c r="S418" t="s">
        <v>20</v>
      </c>
      <c r="T418">
        <v>10</v>
      </c>
      <c r="V418" t="s">
        <v>39</v>
      </c>
    </row>
    <row r="419" spans="1:22">
      <c r="A419" t="s">
        <v>877</v>
      </c>
      <c r="B419" t="s">
        <v>878</v>
      </c>
      <c r="C419">
        <v>23</v>
      </c>
      <c r="D419" t="s">
        <v>46</v>
      </c>
      <c r="E419" t="s">
        <v>17</v>
      </c>
      <c r="F419" t="s">
        <v>18</v>
      </c>
      <c r="G419" t="s">
        <v>43</v>
      </c>
      <c r="H419" t="s">
        <v>1060</v>
      </c>
      <c r="I419">
        <v>27000</v>
      </c>
      <c r="J419">
        <v>12</v>
      </c>
      <c r="K419">
        <v>2</v>
      </c>
      <c r="L419">
        <v>1</v>
      </c>
      <c r="N419">
        <v>85</v>
      </c>
      <c r="O419">
        <v>13</v>
      </c>
      <c r="P419">
        <v>3</v>
      </c>
      <c r="R419" t="s">
        <v>38</v>
      </c>
      <c r="S419" t="s">
        <v>20</v>
      </c>
      <c r="U419">
        <v>20</v>
      </c>
      <c r="V419" t="s">
        <v>39</v>
      </c>
    </row>
    <row r="420" spans="1:22">
      <c r="A420" t="s">
        <v>879</v>
      </c>
      <c r="B420" t="s">
        <v>880</v>
      </c>
      <c r="C420">
        <v>27</v>
      </c>
      <c r="D420" t="s">
        <v>16</v>
      </c>
      <c r="E420" t="s">
        <v>57</v>
      </c>
      <c r="F420" t="s">
        <v>36</v>
      </c>
      <c r="G420" t="s">
        <v>1048</v>
      </c>
      <c r="H420" t="s">
        <v>1060</v>
      </c>
      <c r="I420">
        <v>65000</v>
      </c>
      <c r="J420">
        <v>12</v>
      </c>
      <c r="K420">
        <v>5</v>
      </c>
      <c r="L420">
        <v>3</v>
      </c>
      <c r="M420">
        <v>19000</v>
      </c>
      <c r="N420">
        <v>85</v>
      </c>
      <c r="O420">
        <v>13</v>
      </c>
      <c r="P420">
        <v>5</v>
      </c>
      <c r="Q420" t="s">
        <v>37</v>
      </c>
      <c r="R420" t="s">
        <v>28</v>
      </c>
      <c r="S420" t="s">
        <v>20</v>
      </c>
      <c r="T420">
        <v>10</v>
      </c>
      <c r="U420">
        <v>30</v>
      </c>
      <c r="V420" t="s">
        <v>22</v>
      </c>
    </row>
    <row r="421" spans="1:22">
      <c r="A421" t="s">
        <v>881</v>
      </c>
      <c r="B421" t="s">
        <v>882</v>
      </c>
      <c r="C421">
        <v>23</v>
      </c>
      <c r="D421" t="s">
        <v>25</v>
      </c>
      <c r="E421" t="s">
        <v>26</v>
      </c>
      <c r="F421" t="s">
        <v>18</v>
      </c>
      <c r="G421" t="s">
        <v>43</v>
      </c>
      <c r="H421" t="s">
        <v>1060</v>
      </c>
      <c r="I421">
        <v>27000</v>
      </c>
      <c r="J421">
        <v>12</v>
      </c>
      <c r="K421">
        <v>2</v>
      </c>
      <c r="L421">
        <v>5</v>
      </c>
      <c r="M421">
        <v>20000</v>
      </c>
      <c r="N421">
        <v>80</v>
      </c>
      <c r="O421">
        <v>13</v>
      </c>
      <c r="P421">
        <v>1</v>
      </c>
      <c r="R421" t="s">
        <v>38</v>
      </c>
      <c r="S421" t="s">
        <v>20</v>
      </c>
      <c r="V421" t="s">
        <v>58</v>
      </c>
    </row>
    <row r="422" spans="1:22">
      <c r="A422" t="s">
        <v>883</v>
      </c>
      <c r="B422" t="s">
        <v>884</v>
      </c>
      <c r="C422">
        <v>25</v>
      </c>
      <c r="D422" t="s">
        <v>46</v>
      </c>
      <c r="E422" t="s">
        <v>64</v>
      </c>
      <c r="F422" t="s">
        <v>42</v>
      </c>
      <c r="G422" t="s">
        <v>43</v>
      </c>
      <c r="H422" t="s">
        <v>1060</v>
      </c>
      <c r="I422">
        <v>27000</v>
      </c>
      <c r="J422">
        <v>12</v>
      </c>
      <c r="K422">
        <v>2</v>
      </c>
      <c r="L422">
        <v>1</v>
      </c>
      <c r="N422">
        <v>80</v>
      </c>
      <c r="O422">
        <v>5</v>
      </c>
      <c r="P422">
        <v>3</v>
      </c>
      <c r="Q422" t="s">
        <v>37</v>
      </c>
      <c r="R422" t="s">
        <v>38</v>
      </c>
      <c r="S422" t="s">
        <v>20</v>
      </c>
      <c r="T422">
        <v>5</v>
      </c>
      <c r="U422">
        <v>20</v>
      </c>
      <c r="V422" t="s">
        <v>39</v>
      </c>
    </row>
    <row r="423" spans="1:22">
      <c r="A423" t="s">
        <v>885</v>
      </c>
      <c r="B423" t="s">
        <v>886</v>
      </c>
      <c r="C423">
        <v>24</v>
      </c>
      <c r="E423" t="s">
        <v>17</v>
      </c>
      <c r="F423" t="s">
        <v>36</v>
      </c>
      <c r="G423" t="s">
        <v>43</v>
      </c>
      <c r="H423" t="s">
        <v>1060</v>
      </c>
      <c r="I423">
        <v>27000</v>
      </c>
      <c r="J423">
        <v>12</v>
      </c>
      <c r="K423">
        <v>2</v>
      </c>
      <c r="L423">
        <v>4</v>
      </c>
      <c r="M423">
        <v>16000</v>
      </c>
      <c r="N423">
        <v>88</v>
      </c>
      <c r="O423">
        <v>13</v>
      </c>
      <c r="P423">
        <v>3</v>
      </c>
      <c r="Q423" t="s">
        <v>37</v>
      </c>
      <c r="R423" t="s">
        <v>38</v>
      </c>
      <c r="S423" t="s">
        <v>20</v>
      </c>
      <c r="T423">
        <v>5</v>
      </c>
      <c r="U423">
        <v>30</v>
      </c>
      <c r="V423" t="s">
        <v>22</v>
      </c>
    </row>
    <row r="424" spans="1:22">
      <c r="A424" t="s">
        <v>887</v>
      </c>
      <c r="B424" t="s">
        <v>888</v>
      </c>
      <c r="C424">
        <v>24</v>
      </c>
      <c r="D424" t="s">
        <v>25</v>
      </c>
      <c r="E424" t="s">
        <v>61</v>
      </c>
      <c r="F424" t="s">
        <v>66</v>
      </c>
      <c r="G424" t="s">
        <v>1048</v>
      </c>
      <c r="H424" t="s">
        <v>1060</v>
      </c>
      <c r="I424">
        <v>70000</v>
      </c>
      <c r="J424">
        <v>12</v>
      </c>
      <c r="K424">
        <v>5</v>
      </c>
      <c r="L424">
        <v>4</v>
      </c>
      <c r="M424">
        <v>24000</v>
      </c>
      <c r="N424">
        <v>90</v>
      </c>
      <c r="O424">
        <v>13</v>
      </c>
      <c r="P424">
        <v>3</v>
      </c>
      <c r="Q424" t="s">
        <v>21</v>
      </c>
      <c r="R424" t="s">
        <v>38</v>
      </c>
      <c r="S424" t="s">
        <v>20</v>
      </c>
      <c r="T424">
        <v>5</v>
      </c>
      <c r="U424">
        <v>10</v>
      </c>
      <c r="V424" t="s">
        <v>58</v>
      </c>
    </row>
    <row r="425" spans="1:22">
      <c r="A425" t="s">
        <v>889</v>
      </c>
      <c r="B425" t="s">
        <v>890</v>
      </c>
      <c r="C425">
        <v>23</v>
      </c>
      <c r="D425" t="s">
        <v>46</v>
      </c>
      <c r="E425" t="s">
        <v>35</v>
      </c>
      <c r="F425" t="s">
        <v>18</v>
      </c>
      <c r="G425" t="s">
        <v>43</v>
      </c>
      <c r="H425" t="s">
        <v>1060</v>
      </c>
      <c r="I425">
        <v>23000</v>
      </c>
      <c r="J425">
        <v>12</v>
      </c>
      <c r="K425">
        <v>1</v>
      </c>
      <c r="L425">
        <v>4</v>
      </c>
      <c r="M425">
        <v>16000</v>
      </c>
      <c r="N425">
        <v>85</v>
      </c>
      <c r="O425">
        <v>15</v>
      </c>
      <c r="P425">
        <v>3</v>
      </c>
      <c r="Q425" t="s">
        <v>21</v>
      </c>
      <c r="R425" t="s">
        <v>38</v>
      </c>
      <c r="S425" t="s">
        <v>20</v>
      </c>
      <c r="U425">
        <v>30</v>
      </c>
      <c r="V425" t="s">
        <v>22</v>
      </c>
    </row>
    <row r="426" spans="1:22">
      <c r="A426" t="s">
        <v>891</v>
      </c>
      <c r="B426" t="s">
        <v>892</v>
      </c>
      <c r="C426">
        <v>27</v>
      </c>
      <c r="D426" t="s">
        <v>25</v>
      </c>
      <c r="E426" t="s">
        <v>26</v>
      </c>
      <c r="F426" t="s">
        <v>42</v>
      </c>
      <c r="G426" t="s">
        <v>1045</v>
      </c>
      <c r="H426" t="s">
        <v>1059</v>
      </c>
      <c r="I426">
        <v>71000</v>
      </c>
      <c r="J426">
        <v>12</v>
      </c>
      <c r="K426">
        <v>6</v>
      </c>
      <c r="L426">
        <v>4</v>
      </c>
      <c r="M426">
        <v>10871</v>
      </c>
      <c r="N426">
        <v>95</v>
      </c>
      <c r="O426">
        <v>15</v>
      </c>
      <c r="P426">
        <v>1</v>
      </c>
      <c r="R426" t="s">
        <v>28</v>
      </c>
      <c r="S426" t="s">
        <v>20</v>
      </c>
      <c r="T426">
        <v>10</v>
      </c>
      <c r="U426">
        <v>20</v>
      </c>
      <c r="V426" t="s">
        <v>22</v>
      </c>
    </row>
    <row r="427" spans="1:22">
      <c r="A427" t="s">
        <v>893</v>
      </c>
      <c r="B427" t="s">
        <v>894</v>
      </c>
      <c r="C427">
        <v>24</v>
      </c>
      <c r="D427" t="s">
        <v>46</v>
      </c>
      <c r="E427" t="s">
        <v>50</v>
      </c>
      <c r="F427" t="s">
        <v>36</v>
      </c>
      <c r="G427" t="s">
        <v>43</v>
      </c>
      <c r="H427" t="s">
        <v>1059</v>
      </c>
      <c r="I427">
        <v>27000</v>
      </c>
      <c r="J427">
        <v>12</v>
      </c>
      <c r="K427">
        <v>2</v>
      </c>
      <c r="L427">
        <v>3</v>
      </c>
      <c r="M427">
        <v>13400</v>
      </c>
      <c r="N427">
        <v>88</v>
      </c>
      <c r="O427">
        <v>15</v>
      </c>
      <c r="P427">
        <v>7</v>
      </c>
      <c r="Q427" t="s">
        <v>21</v>
      </c>
      <c r="R427" t="s">
        <v>28</v>
      </c>
      <c r="S427" t="s">
        <v>20</v>
      </c>
      <c r="V427" t="s">
        <v>22</v>
      </c>
    </row>
    <row r="428" spans="1:22">
      <c r="A428" t="s">
        <v>895</v>
      </c>
      <c r="B428" t="s">
        <v>896</v>
      </c>
      <c r="C428">
        <v>23</v>
      </c>
      <c r="D428" t="s">
        <v>34</v>
      </c>
      <c r="E428" t="s">
        <v>35</v>
      </c>
      <c r="F428" t="s">
        <v>36</v>
      </c>
      <c r="G428" t="s">
        <v>43</v>
      </c>
      <c r="H428" t="s">
        <v>1060</v>
      </c>
      <c r="I428">
        <v>26000</v>
      </c>
      <c r="J428">
        <v>12</v>
      </c>
      <c r="K428">
        <v>2</v>
      </c>
      <c r="L428">
        <v>1</v>
      </c>
      <c r="N428">
        <v>80</v>
      </c>
      <c r="O428">
        <v>15</v>
      </c>
      <c r="P428">
        <v>5</v>
      </c>
      <c r="Q428" t="s">
        <v>37</v>
      </c>
      <c r="R428" t="s">
        <v>38</v>
      </c>
      <c r="S428" t="s">
        <v>20</v>
      </c>
      <c r="T428">
        <v>5</v>
      </c>
      <c r="U428">
        <v>10</v>
      </c>
      <c r="V428" t="s">
        <v>39</v>
      </c>
    </row>
    <row r="429" spans="1:22">
      <c r="A429" t="s">
        <v>897</v>
      </c>
      <c r="B429" t="s">
        <v>898</v>
      </c>
      <c r="C429">
        <v>25</v>
      </c>
      <c r="D429" t="s">
        <v>34</v>
      </c>
      <c r="E429" t="s">
        <v>57</v>
      </c>
      <c r="F429" t="s">
        <v>31</v>
      </c>
      <c r="G429" t="s">
        <v>43</v>
      </c>
      <c r="H429" t="s">
        <v>1060</v>
      </c>
      <c r="I429">
        <v>26000</v>
      </c>
      <c r="J429">
        <v>12</v>
      </c>
      <c r="K429">
        <v>2</v>
      </c>
      <c r="L429">
        <v>1</v>
      </c>
      <c r="N429">
        <v>95</v>
      </c>
      <c r="O429">
        <v>13</v>
      </c>
      <c r="P429">
        <v>3</v>
      </c>
      <c r="R429" t="s">
        <v>38</v>
      </c>
      <c r="S429" t="s">
        <v>20</v>
      </c>
      <c r="T429">
        <v>5</v>
      </c>
      <c r="U429">
        <v>30</v>
      </c>
      <c r="V429" t="s">
        <v>39</v>
      </c>
    </row>
    <row r="430" spans="1:22">
      <c r="A430" t="s">
        <v>899</v>
      </c>
      <c r="B430" t="s">
        <v>900</v>
      </c>
      <c r="C430">
        <v>31</v>
      </c>
      <c r="E430" t="s">
        <v>73</v>
      </c>
      <c r="F430" t="s">
        <v>66</v>
      </c>
      <c r="G430" t="s">
        <v>82</v>
      </c>
      <c r="H430" t="s">
        <v>1060</v>
      </c>
      <c r="I430">
        <v>84000</v>
      </c>
      <c r="J430">
        <v>12</v>
      </c>
      <c r="K430">
        <v>9</v>
      </c>
      <c r="L430">
        <v>4</v>
      </c>
      <c r="M430">
        <v>27972</v>
      </c>
      <c r="N430">
        <v>80</v>
      </c>
      <c r="O430">
        <v>15</v>
      </c>
      <c r="P430">
        <v>2</v>
      </c>
      <c r="Q430" t="s">
        <v>37</v>
      </c>
      <c r="R430" t="s">
        <v>38</v>
      </c>
      <c r="S430" t="s">
        <v>20</v>
      </c>
      <c r="T430">
        <v>10</v>
      </c>
      <c r="U430">
        <v>30</v>
      </c>
      <c r="V430" t="s">
        <v>22</v>
      </c>
    </row>
    <row r="431" spans="1:22">
      <c r="A431" t="s">
        <v>901</v>
      </c>
      <c r="B431" t="s">
        <v>902</v>
      </c>
      <c r="C431">
        <v>25</v>
      </c>
      <c r="D431" t="s">
        <v>16</v>
      </c>
      <c r="E431" t="s">
        <v>17</v>
      </c>
      <c r="F431" t="s">
        <v>42</v>
      </c>
      <c r="G431" t="s">
        <v>43</v>
      </c>
      <c r="H431" t="s">
        <v>1060</v>
      </c>
      <c r="I431">
        <v>27500</v>
      </c>
      <c r="J431">
        <v>12</v>
      </c>
      <c r="K431">
        <v>2</v>
      </c>
      <c r="L431">
        <v>2</v>
      </c>
      <c r="N431">
        <v>90</v>
      </c>
      <c r="O431">
        <v>15</v>
      </c>
      <c r="P431">
        <v>2</v>
      </c>
      <c r="Q431" t="s">
        <v>37</v>
      </c>
      <c r="R431" t="s">
        <v>38</v>
      </c>
      <c r="S431" t="s">
        <v>20</v>
      </c>
      <c r="T431">
        <v>20</v>
      </c>
      <c r="U431">
        <v>20</v>
      </c>
      <c r="V431" t="s">
        <v>39</v>
      </c>
    </row>
    <row r="432" spans="1:22">
      <c r="A432" t="s">
        <v>903</v>
      </c>
      <c r="B432" t="s">
        <v>904</v>
      </c>
      <c r="C432">
        <v>24</v>
      </c>
      <c r="D432" t="s">
        <v>34</v>
      </c>
      <c r="E432" t="s">
        <v>50</v>
      </c>
      <c r="F432" t="s">
        <v>31</v>
      </c>
      <c r="G432" t="s">
        <v>43</v>
      </c>
      <c r="H432" t="s">
        <v>1060</v>
      </c>
      <c r="I432">
        <v>24000</v>
      </c>
      <c r="J432">
        <v>12</v>
      </c>
      <c r="K432">
        <v>1</v>
      </c>
      <c r="L432">
        <v>1</v>
      </c>
      <c r="N432">
        <v>90</v>
      </c>
      <c r="O432">
        <v>5</v>
      </c>
      <c r="P432">
        <v>3</v>
      </c>
      <c r="Q432" t="s">
        <v>37</v>
      </c>
      <c r="R432" t="s">
        <v>19</v>
      </c>
      <c r="S432" t="s">
        <v>20</v>
      </c>
      <c r="T432">
        <v>20</v>
      </c>
      <c r="U432">
        <v>30</v>
      </c>
      <c r="V432" t="s">
        <v>39</v>
      </c>
    </row>
    <row r="433" spans="1:22">
      <c r="A433" t="s">
        <v>905</v>
      </c>
      <c r="B433" t="s">
        <v>906</v>
      </c>
      <c r="C433">
        <v>27</v>
      </c>
      <c r="D433" t="s">
        <v>25</v>
      </c>
      <c r="E433" t="s">
        <v>47</v>
      </c>
      <c r="F433" t="s">
        <v>66</v>
      </c>
      <c r="G433" t="s">
        <v>1048</v>
      </c>
      <c r="H433" t="s">
        <v>1060</v>
      </c>
      <c r="I433">
        <v>56000</v>
      </c>
      <c r="J433">
        <v>12</v>
      </c>
      <c r="K433">
        <v>3</v>
      </c>
      <c r="L433">
        <v>3</v>
      </c>
      <c r="M433">
        <v>19000</v>
      </c>
      <c r="N433">
        <v>90</v>
      </c>
      <c r="O433">
        <v>15</v>
      </c>
      <c r="P433">
        <v>5</v>
      </c>
      <c r="Q433" t="s">
        <v>37</v>
      </c>
      <c r="R433" t="s">
        <v>28</v>
      </c>
      <c r="S433" t="s">
        <v>20</v>
      </c>
      <c r="T433">
        <v>10</v>
      </c>
      <c r="U433">
        <v>30</v>
      </c>
      <c r="V433" t="s">
        <v>22</v>
      </c>
    </row>
    <row r="434" spans="1:22">
      <c r="A434" t="s">
        <v>907</v>
      </c>
      <c r="B434" t="s">
        <v>908</v>
      </c>
      <c r="C434">
        <v>23</v>
      </c>
      <c r="E434" t="s">
        <v>50</v>
      </c>
      <c r="F434" t="s">
        <v>27</v>
      </c>
      <c r="G434" t="s">
        <v>43</v>
      </c>
      <c r="H434" t="s">
        <v>1060</v>
      </c>
      <c r="I434">
        <v>27500</v>
      </c>
      <c r="J434">
        <v>12</v>
      </c>
      <c r="K434">
        <v>2</v>
      </c>
      <c r="L434">
        <v>1</v>
      </c>
      <c r="N434">
        <v>80</v>
      </c>
      <c r="O434">
        <v>5</v>
      </c>
      <c r="P434">
        <v>5</v>
      </c>
      <c r="Q434" t="s">
        <v>21</v>
      </c>
      <c r="R434" t="s">
        <v>38</v>
      </c>
      <c r="S434" t="s">
        <v>20</v>
      </c>
      <c r="U434">
        <v>10</v>
      </c>
      <c r="V434" t="s">
        <v>39</v>
      </c>
    </row>
    <row r="435" spans="1:22">
      <c r="A435" t="s">
        <v>909</v>
      </c>
      <c r="B435" t="s">
        <v>910</v>
      </c>
      <c r="C435">
        <v>24</v>
      </c>
      <c r="D435" t="s">
        <v>25</v>
      </c>
      <c r="E435" t="s">
        <v>50</v>
      </c>
      <c r="F435" t="s">
        <v>66</v>
      </c>
      <c r="G435" t="s">
        <v>43</v>
      </c>
      <c r="H435" t="s">
        <v>1060</v>
      </c>
      <c r="I435">
        <v>24000</v>
      </c>
      <c r="J435">
        <v>12</v>
      </c>
      <c r="K435">
        <v>1</v>
      </c>
      <c r="L435">
        <v>3</v>
      </c>
      <c r="M435">
        <v>13400</v>
      </c>
      <c r="N435">
        <v>85</v>
      </c>
      <c r="O435">
        <v>5</v>
      </c>
      <c r="P435">
        <v>2</v>
      </c>
      <c r="R435" t="s">
        <v>19</v>
      </c>
      <c r="S435" t="s">
        <v>20</v>
      </c>
      <c r="U435">
        <v>20</v>
      </c>
      <c r="V435" t="s">
        <v>22</v>
      </c>
    </row>
    <row r="436" spans="1:22">
      <c r="A436" t="s">
        <v>911</v>
      </c>
      <c r="B436" t="s">
        <v>912</v>
      </c>
      <c r="C436">
        <v>32</v>
      </c>
      <c r="E436" t="s">
        <v>26</v>
      </c>
      <c r="F436" t="s">
        <v>42</v>
      </c>
      <c r="G436" t="s">
        <v>82</v>
      </c>
      <c r="H436" t="s">
        <v>1060</v>
      </c>
      <c r="I436">
        <v>84000</v>
      </c>
      <c r="J436">
        <v>12</v>
      </c>
      <c r="K436">
        <v>7</v>
      </c>
      <c r="L436">
        <v>5</v>
      </c>
      <c r="M436">
        <v>32000</v>
      </c>
      <c r="N436">
        <v>88</v>
      </c>
      <c r="O436">
        <v>13</v>
      </c>
      <c r="P436">
        <v>5</v>
      </c>
      <c r="Q436" t="s">
        <v>21</v>
      </c>
      <c r="R436" t="s">
        <v>38</v>
      </c>
      <c r="S436" t="s">
        <v>20</v>
      </c>
      <c r="U436">
        <v>20</v>
      </c>
      <c r="V436" t="s">
        <v>58</v>
      </c>
    </row>
    <row r="437" spans="1:22">
      <c r="A437" t="s">
        <v>913</v>
      </c>
      <c r="B437" t="s">
        <v>914</v>
      </c>
      <c r="C437">
        <v>29</v>
      </c>
      <c r="D437" t="s">
        <v>46</v>
      </c>
      <c r="E437" t="s">
        <v>35</v>
      </c>
      <c r="F437" t="s">
        <v>31</v>
      </c>
      <c r="G437" t="s">
        <v>1045</v>
      </c>
      <c r="H437" t="s">
        <v>1060</v>
      </c>
      <c r="I437">
        <v>78000</v>
      </c>
      <c r="J437">
        <v>12</v>
      </c>
      <c r="K437">
        <v>7</v>
      </c>
      <c r="L437">
        <v>4</v>
      </c>
      <c r="M437">
        <v>10871</v>
      </c>
      <c r="N437">
        <v>85</v>
      </c>
      <c r="O437">
        <v>13</v>
      </c>
      <c r="P437">
        <v>5</v>
      </c>
      <c r="Q437" t="s">
        <v>37</v>
      </c>
      <c r="R437" t="s">
        <v>38</v>
      </c>
      <c r="S437" t="s">
        <v>20</v>
      </c>
      <c r="T437">
        <v>5</v>
      </c>
      <c r="U437">
        <v>30</v>
      </c>
      <c r="V437" t="s">
        <v>58</v>
      </c>
    </row>
    <row r="438" spans="1:22">
      <c r="A438" t="s">
        <v>915</v>
      </c>
      <c r="B438" t="s">
        <v>916</v>
      </c>
      <c r="C438">
        <v>23</v>
      </c>
      <c r="D438" t="s">
        <v>46</v>
      </c>
      <c r="E438" t="s">
        <v>35</v>
      </c>
      <c r="F438" t="s">
        <v>36</v>
      </c>
      <c r="G438" t="s">
        <v>43</v>
      </c>
      <c r="H438" t="s">
        <v>1060</v>
      </c>
      <c r="I438">
        <v>27500</v>
      </c>
      <c r="J438">
        <v>12</v>
      </c>
      <c r="K438">
        <v>2</v>
      </c>
      <c r="L438">
        <v>3</v>
      </c>
      <c r="M438">
        <v>11400</v>
      </c>
      <c r="N438">
        <v>80</v>
      </c>
      <c r="O438">
        <v>13</v>
      </c>
      <c r="P438">
        <v>5</v>
      </c>
      <c r="Q438" t="s">
        <v>21</v>
      </c>
      <c r="R438" t="s">
        <v>38</v>
      </c>
      <c r="S438" t="s">
        <v>20</v>
      </c>
      <c r="U438">
        <v>20</v>
      </c>
      <c r="V438" t="s">
        <v>22</v>
      </c>
    </row>
    <row r="439" spans="1:22">
      <c r="A439" t="s">
        <v>917</v>
      </c>
      <c r="B439" t="s">
        <v>918</v>
      </c>
      <c r="C439">
        <v>24</v>
      </c>
      <c r="D439" t="s">
        <v>46</v>
      </c>
      <c r="E439" t="s">
        <v>65</v>
      </c>
      <c r="F439" t="s">
        <v>66</v>
      </c>
      <c r="G439" t="s">
        <v>43</v>
      </c>
      <c r="H439" t="s">
        <v>1060</v>
      </c>
      <c r="I439">
        <v>24000</v>
      </c>
      <c r="J439">
        <v>12</v>
      </c>
      <c r="K439">
        <v>1</v>
      </c>
      <c r="L439">
        <v>1</v>
      </c>
      <c r="N439">
        <v>80</v>
      </c>
      <c r="O439">
        <v>5</v>
      </c>
      <c r="P439">
        <v>2</v>
      </c>
      <c r="R439" t="s">
        <v>38</v>
      </c>
      <c r="S439" t="s">
        <v>20</v>
      </c>
      <c r="T439">
        <v>10</v>
      </c>
      <c r="V439" t="s">
        <v>39</v>
      </c>
    </row>
    <row r="440" spans="1:22">
      <c r="A440" t="s">
        <v>919</v>
      </c>
      <c r="B440" t="s">
        <v>920</v>
      </c>
      <c r="C440">
        <v>23</v>
      </c>
      <c r="D440" t="s">
        <v>46</v>
      </c>
      <c r="E440" t="s">
        <v>64</v>
      </c>
      <c r="F440" t="s">
        <v>66</v>
      </c>
      <c r="G440" t="s">
        <v>43</v>
      </c>
      <c r="H440" t="s">
        <v>1060</v>
      </c>
      <c r="I440">
        <v>23500</v>
      </c>
      <c r="J440">
        <v>12</v>
      </c>
      <c r="K440">
        <v>1</v>
      </c>
      <c r="L440">
        <v>2</v>
      </c>
      <c r="N440">
        <v>95</v>
      </c>
      <c r="O440">
        <v>10</v>
      </c>
      <c r="P440">
        <v>5</v>
      </c>
      <c r="Q440" t="s">
        <v>21</v>
      </c>
      <c r="R440" t="s">
        <v>38</v>
      </c>
      <c r="S440" t="s">
        <v>20</v>
      </c>
      <c r="U440">
        <v>20</v>
      </c>
      <c r="V440" t="s">
        <v>39</v>
      </c>
    </row>
    <row r="441" spans="1:22">
      <c r="A441" t="s">
        <v>921</v>
      </c>
      <c r="B441" t="s">
        <v>922</v>
      </c>
      <c r="C441">
        <v>24</v>
      </c>
      <c r="D441" t="s">
        <v>46</v>
      </c>
      <c r="E441" t="s">
        <v>57</v>
      </c>
      <c r="F441" t="s">
        <v>42</v>
      </c>
      <c r="G441" t="s">
        <v>43</v>
      </c>
      <c r="H441" t="s">
        <v>1060</v>
      </c>
      <c r="I441">
        <v>24000</v>
      </c>
      <c r="J441">
        <v>12</v>
      </c>
      <c r="K441">
        <v>1</v>
      </c>
      <c r="L441">
        <v>1</v>
      </c>
      <c r="N441">
        <v>80</v>
      </c>
      <c r="O441">
        <v>15</v>
      </c>
      <c r="P441">
        <v>5</v>
      </c>
      <c r="R441" t="s">
        <v>38</v>
      </c>
      <c r="S441" t="s">
        <v>20</v>
      </c>
      <c r="T441">
        <v>20</v>
      </c>
      <c r="V441" t="s">
        <v>39</v>
      </c>
    </row>
    <row r="442" spans="1:22">
      <c r="A442" t="s">
        <v>923</v>
      </c>
      <c r="B442" t="s">
        <v>924</v>
      </c>
      <c r="C442">
        <v>25</v>
      </c>
      <c r="D442" t="s">
        <v>46</v>
      </c>
      <c r="E442" t="s">
        <v>65</v>
      </c>
      <c r="F442" t="s">
        <v>36</v>
      </c>
      <c r="G442" t="s">
        <v>43</v>
      </c>
      <c r="H442" t="s">
        <v>1060</v>
      </c>
      <c r="I442">
        <v>27500</v>
      </c>
      <c r="J442">
        <v>12</v>
      </c>
      <c r="K442">
        <v>2</v>
      </c>
      <c r="L442">
        <v>2</v>
      </c>
      <c r="N442">
        <v>95</v>
      </c>
      <c r="O442">
        <v>23</v>
      </c>
      <c r="P442">
        <v>4</v>
      </c>
      <c r="R442" t="s">
        <v>38</v>
      </c>
      <c r="S442" t="s">
        <v>20</v>
      </c>
      <c r="V442" t="s">
        <v>39</v>
      </c>
    </row>
    <row r="443" spans="1:22">
      <c r="A443" t="s">
        <v>925</v>
      </c>
      <c r="B443" t="s">
        <v>926</v>
      </c>
      <c r="C443">
        <v>24</v>
      </c>
      <c r="D443" t="s">
        <v>16</v>
      </c>
      <c r="E443" t="s">
        <v>47</v>
      </c>
      <c r="F443" t="s">
        <v>36</v>
      </c>
      <c r="G443" t="s">
        <v>43</v>
      </c>
      <c r="H443" t="s">
        <v>1059</v>
      </c>
      <c r="I443">
        <v>24000</v>
      </c>
      <c r="J443">
        <v>12</v>
      </c>
      <c r="K443">
        <v>1</v>
      </c>
      <c r="L443">
        <v>1</v>
      </c>
      <c r="N443">
        <v>90</v>
      </c>
      <c r="O443">
        <v>23</v>
      </c>
      <c r="P443">
        <v>12</v>
      </c>
      <c r="Q443" t="s">
        <v>21</v>
      </c>
      <c r="R443" t="s">
        <v>28</v>
      </c>
      <c r="S443" t="s">
        <v>20</v>
      </c>
      <c r="T443">
        <v>20</v>
      </c>
      <c r="U443">
        <v>30</v>
      </c>
      <c r="V443" t="s">
        <v>39</v>
      </c>
    </row>
    <row r="444" spans="1:22">
      <c r="A444" t="s">
        <v>927</v>
      </c>
      <c r="B444" t="s">
        <v>928</v>
      </c>
      <c r="C444">
        <v>30</v>
      </c>
      <c r="D444" t="s">
        <v>16</v>
      </c>
      <c r="E444" t="s">
        <v>64</v>
      </c>
      <c r="F444" t="s">
        <v>42</v>
      </c>
      <c r="G444" t="s">
        <v>1045</v>
      </c>
      <c r="H444" t="s">
        <v>1060</v>
      </c>
      <c r="I444">
        <v>78000</v>
      </c>
      <c r="J444">
        <v>12</v>
      </c>
      <c r="K444">
        <v>5</v>
      </c>
      <c r="L444">
        <v>4</v>
      </c>
      <c r="M444">
        <v>10871</v>
      </c>
      <c r="N444">
        <v>90</v>
      </c>
      <c r="O444">
        <v>5</v>
      </c>
      <c r="P444">
        <v>6</v>
      </c>
      <c r="Q444" t="s">
        <v>37</v>
      </c>
      <c r="R444" t="s">
        <v>28</v>
      </c>
      <c r="S444" t="s">
        <v>20</v>
      </c>
      <c r="U444">
        <v>30</v>
      </c>
      <c r="V444" t="s">
        <v>58</v>
      </c>
    </row>
    <row r="445" spans="1:22">
      <c r="A445" t="s">
        <v>929</v>
      </c>
      <c r="B445" t="s">
        <v>930</v>
      </c>
      <c r="C445">
        <v>23</v>
      </c>
      <c r="E445" t="s">
        <v>47</v>
      </c>
      <c r="F445" t="s">
        <v>31</v>
      </c>
      <c r="G445" t="s">
        <v>43</v>
      </c>
      <c r="H445" t="s">
        <v>1059</v>
      </c>
      <c r="I445">
        <v>26000</v>
      </c>
      <c r="J445">
        <v>12</v>
      </c>
      <c r="K445">
        <v>2</v>
      </c>
      <c r="L445">
        <v>4</v>
      </c>
      <c r="M445">
        <v>16000</v>
      </c>
      <c r="N445">
        <v>95</v>
      </c>
      <c r="O445">
        <v>15</v>
      </c>
      <c r="P445">
        <v>5</v>
      </c>
      <c r="Q445" t="s">
        <v>21</v>
      </c>
      <c r="R445" t="s">
        <v>28</v>
      </c>
      <c r="S445" t="s">
        <v>20</v>
      </c>
      <c r="T445">
        <v>5</v>
      </c>
      <c r="U445">
        <v>20</v>
      </c>
      <c r="V445" t="s">
        <v>58</v>
      </c>
    </row>
    <row r="446" spans="1:22">
      <c r="A446" t="s">
        <v>931</v>
      </c>
      <c r="B446" t="s">
        <v>932</v>
      </c>
      <c r="C446">
        <v>24</v>
      </c>
      <c r="D446" t="s">
        <v>16</v>
      </c>
      <c r="E446" t="s">
        <v>61</v>
      </c>
      <c r="F446" t="s">
        <v>36</v>
      </c>
      <c r="G446" t="s">
        <v>43</v>
      </c>
      <c r="H446" t="s">
        <v>1060</v>
      </c>
      <c r="I446">
        <v>24000</v>
      </c>
      <c r="J446">
        <v>12</v>
      </c>
      <c r="K446">
        <v>1</v>
      </c>
      <c r="L446">
        <v>2</v>
      </c>
      <c r="N446">
        <v>85</v>
      </c>
      <c r="O446">
        <v>15</v>
      </c>
      <c r="P446">
        <v>2</v>
      </c>
      <c r="Q446" t="s">
        <v>37</v>
      </c>
      <c r="R446" t="s">
        <v>38</v>
      </c>
      <c r="S446" t="s">
        <v>20</v>
      </c>
      <c r="T446">
        <v>10</v>
      </c>
      <c r="V446" t="s">
        <v>39</v>
      </c>
    </row>
    <row r="447" spans="1:22">
      <c r="A447" t="s">
        <v>933</v>
      </c>
      <c r="B447" t="s">
        <v>934</v>
      </c>
      <c r="C447">
        <v>25</v>
      </c>
      <c r="D447" t="s">
        <v>34</v>
      </c>
      <c r="E447" t="s">
        <v>17</v>
      </c>
      <c r="F447" t="s">
        <v>31</v>
      </c>
      <c r="G447" t="s">
        <v>43</v>
      </c>
      <c r="H447" t="s">
        <v>1059</v>
      </c>
      <c r="I447">
        <v>24000</v>
      </c>
      <c r="J447">
        <v>12</v>
      </c>
      <c r="K447">
        <v>1</v>
      </c>
      <c r="L447">
        <v>1</v>
      </c>
      <c r="N447">
        <v>88</v>
      </c>
      <c r="O447">
        <v>5</v>
      </c>
      <c r="P447">
        <v>5</v>
      </c>
      <c r="Q447" t="s">
        <v>37</v>
      </c>
      <c r="R447" t="s">
        <v>28</v>
      </c>
      <c r="S447" t="s">
        <v>20</v>
      </c>
      <c r="T447">
        <v>10</v>
      </c>
      <c r="U447">
        <v>10</v>
      </c>
      <c r="V447" t="s">
        <v>39</v>
      </c>
    </row>
    <row r="448" spans="1:22">
      <c r="A448" t="s">
        <v>935</v>
      </c>
      <c r="B448" t="s">
        <v>936</v>
      </c>
      <c r="C448">
        <v>25</v>
      </c>
      <c r="E448" t="s">
        <v>35</v>
      </c>
      <c r="F448" t="s">
        <v>66</v>
      </c>
      <c r="G448" t="s">
        <v>43</v>
      </c>
      <c r="H448" t="s">
        <v>1059</v>
      </c>
      <c r="I448">
        <v>27000</v>
      </c>
      <c r="J448">
        <v>12</v>
      </c>
      <c r="K448">
        <v>2</v>
      </c>
      <c r="L448">
        <v>3</v>
      </c>
      <c r="M448">
        <v>13400</v>
      </c>
      <c r="N448">
        <v>88</v>
      </c>
      <c r="O448">
        <v>10</v>
      </c>
      <c r="P448">
        <v>1</v>
      </c>
      <c r="Q448" t="s">
        <v>37</v>
      </c>
      <c r="R448" t="s">
        <v>28</v>
      </c>
      <c r="S448" t="s">
        <v>20</v>
      </c>
      <c r="T448">
        <v>10</v>
      </c>
      <c r="U448">
        <v>10</v>
      </c>
      <c r="V448" t="s">
        <v>22</v>
      </c>
    </row>
    <row r="449" spans="1:22">
      <c r="A449" t="s">
        <v>937</v>
      </c>
      <c r="B449" t="s">
        <v>938</v>
      </c>
      <c r="C449">
        <v>35</v>
      </c>
      <c r="D449" t="s">
        <v>25</v>
      </c>
      <c r="E449" t="s">
        <v>26</v>
      </c>
      <c r="F449" t="s">
        <v>66</v>
      </c>
      <c r="G449" t="s">
        <v>82</v>
      </c>
      <c r="H449" t="s">
        <v>1060</v>
      </c>
      <c r="I449">
        <v>89000</v>
      </c>
      <c r="J449">
        <v>12</v>
      </c>
      <c r="K449">
        <v>9</v>
      </c>
      <c r="L449">
        <v>1</v>
      </c>
      <c r="N449">
        <v>80</v>
      </c>
      <c r="O449">
        <v>10</v>
      </c>
      <c r="P449">
        <v>4</v>
      </c>
      <c r="Q449" t="s">
        <v>21</v>
      </c>
      <c r="R449" t="s">
        <v>38</v>
      </c>
      <c r="S449" t="s">
        <v>20</v>
      </c>
      <c r="T449">
        <v>5</v>
      </c>
      <c r="U449">
        <v>20</v>
      </c>
      <c r="V449" t="s">
        <v>39</v>
      </c>
    </row>
    <row r="450" spans="1:22">
      <c r="A450" t="s">
        <v>939</v>
      </c>
      <c r="B450" t="s">
        <v>940</v>
      </c>
      <c r="C450">
        <v>25</v>
      </c>
      <c r="D450" t="s">
        <v>46</v>
      </c>
      <c r="E450" t="s">
        <v>73</v>
      </c>
      <c r="F450" t="s">
        <v>27</v>
      </c>
      <c r="G450" t="s">
        <v>43</v>
      </c>
      <c r="H450" t="s">
        <v>1060</v>
      </c>
      <c r="I450">
        <v>24333</v>
      </c>
      <c r="J450">
        <v>12</v>
      </c>
      <c r="K450">
        <v>1</v>
      </c>
      <c r="L450">
        <v>2</v>
      </c>
      <c r="N450">
        <v>80</v>
      </c>
      <c r="O450">
        <v>15</v>
      </c>
      <c r="P450">
        <v>5</v>
      </c>
      <c r="R450" t="s">
        <v>38</v>
      </c>
      <c r="S450" t="s">
        <v>20</v>
      </c>
      <c r="T450">
        <v>20</v>
      </c>
      <c r="U450">
        <v>10</v>
      </c>
      <c r="V450" t="s">
        <v>39</v>
      </c>
    </row>
    <row r="451" spans="1:22">
      <c r="A451" t="s">
        <v>941</v>
      </c>
      <c r="B451" t="s">
        <v>942</v>
      </c>
      <c r="C451">
        <v>23</v>
      </c>
      <c r="D451" t="s">
        <v>25</v>
      </c>
      <c r="E451" t="s">
        <v>47</v>
      </c>
      <c r="F451" t="s">
        <v>42</v>
      </c>
      <c r="G451" t="s">
        <v>43</v>
      </c>
      <c r="H451" t="s">
        <v>1060</v>
      </c>
      <c r="I451">
        <v>27000</v>
      </c>
      <c r="J451">
        <v>12</v>
      </c>
      <c r="K451">
        <v>2</v>
      </c>
      <c r="L451">
        <v>4</v>
      </c>
      <c r="M451">
        <v>16000</v>
      </c>
      <c r="N451">
        <v>85</v>
      </c>
      <c r="O451">
        <v>15</v>
      </c>
      <c r="P451">
        <v>1</v>
      </c>
      <c r="Q451" t="s">
        <v>21</v>
      </c>
      <c r="R451" t="s">
        <v>28</v>
      </c>
      <c r="S451" t="s">
        <v>20</v>
      </c>
      <c r="T451">
        <v>20</v>
      </c>
      <c r="U451">
        <v>20</v>
      </c>
      <c r="V451" t="s">
        <v>58</v>
      </c>
    </row>
    <row r="452" spans="1:22">
      <c r="A452" t="s">
        <v>943</v>
      </c>
      <c r="B452" t="s">
        <v>944</v>
      </c>
      <c r="C452">
        <v>24</v>
      </c>
      <c r="E452" t="s">
        <v>26</v>
      </c>
      <c r="F452" t="s">
        <v>31</v>
      </c>
      <c r="G452" t="s">
        <v>1048</v>
      </c>
      <c r="H452" t="s">
        <v>1060</v>
      </c>
      <c r="I452">
        <v>56000</v>
      </c>
      <c r="J452">
        <v>12</v>
      </c>
      <c r="K452">
        <v>3</v>
      </c>
      <c r="L452">
        <v>3</v>
      </c>
      <c r="M452">
        <v>190000</v>
      </c>
      <c r="N452">
        <v>90</v>
      </c>
      <c r="O452">
        <v>15</v>
      </c>
      <c r="P452">
        <v>3</v>
      </c>
      <c r="Q452" t="s">
        <v>21</v>
      </c>
      <c r="R452" t="s">
        <v>38</v>
      </c>
      <c r="S452" t="s">
        <v>20</v>
      </c>
      <c r="T452">
        <v>5</v>
      </c>
      <c r="U452">
        <v>30</v>
      </c>
      <c r="V452" t="s">
        <v>22</v>
      </c>
    </row>
    <row r="453" spans="1:22">
      <c r="A453" t="s">
        <v>945</v>
      </c>
      <c r="B453" t="s">
        <v>946</v>
      </c>
      <c r="C453">
        <v>28</v>
      </c>
      <c r="D453" t="s">
        <v>25</v>
      </c>
      <c r="E453" t="s">
        <v>35</v>
      </c>
      <c r="F453" t="s">
        <v>31</v>
      </c>
      <c r="G453" t="s">
        <v>1045</v>
      </c>
      <c r="H453" t="s">
        <v>1060</v>
      </c>
      <c r="I453">
        <v>81000</v>
      </c>
      <c r="J453">
        <v>12</v>
      </c>
      <c r="K453">
        <v>6</v>
      </c>
      <c r="L453">
        <v>3</v>
      </c>
      <c r="M453">
        <v>7000</v>
      </c>
      <c r="N453">
        <v>95</v>
      </c>
      <c r="O453">
        <v>15</v>
      </c>
      <c r="P453">
        <v>1</v>
      </c>
      <c r="Q453" t="s">
        <v>21</v>
      </c>
      <c r="R453" t="s">
        <v>38</v>
      </c>
      <c r="S453" t="s">
        <v>20</v>
      </c>
      <c r="V453" t="s">
        <v>22</v>
      </c>
    </row>
    <row r="454" spans="1:22">
      <c r="A454" t="s">
        <v>947</v>
      </c>
      <c r="B454" t="s">
        <v>948</v>
      </c>
      <c r="C454">
        <v>24</v>
      </c>
      <c r="D454" t="s">
        <v>25</v>
      </c>
      <c r="E454" t="s">
        <v>64</v>
      </c>
      <c r="F454" t="s">
        <v>31</v>
      </c>
      <c r="G454" t="s">
        <v>43</v>
      </c>
      <c r="H454" t="s">
        <v>1060</v>
      </c>
      <c r="I454">
        <v>24000</v>
      </c>
      <c r="J454">
        <v>12</v>
      </c>
      <c r="K454">
        <v>1</v>
      </c>
      <c r="L454">
        <v>4</v>
      </c>
      <c r="M454">
        <v>13000</v>
      </c>
      <c r="N454">
        <v>88</v>
      </c>
      <c r="O454">
        <v>15</v>
      </c>
      <c r="P454">
        <v>5</v>
      </c>
      <c r="Q454" t="s">
        <v>37</v>
      </c>
      <c r="R454" t="s">
        <v>19</v>
      </c>
      <c r="S454" t="s">
        <v>20</v>
      </c>
      <c r="U454">
        <v>10</v>
      </c>
      <c r="V454" t="s">
        <v>22</v>
      </c>
    </row>
    <row r="455" spans="1:22">
      <c r="A455" t="s">
        <v>949</v>
      </c>
      <c r="B455" t="s">
        <v>950</v>
      </c>
      <c r="C455">
        <v>24</v>
      </c>
      <c r="D455" t="s">
        <v>16</v>
      </c>
      <c r="E455" t="s">
        <v>26</v>
      </c>
      <c r="F455" t="s">
        <v>36</v>
      </c>
      <c r="G455" t="s">
        <v>43</v>
      </c>
      <c r="H455" t="s">
        <v>1060</v>
      </c>
      <c r="I455">
        <v>27000</v>
      </c>
      <c r="J455">
        <v>12</v>
      </c>
      <c r="K455">
        <v>2</v>
      </c>
      <c r="L455">
        <v>2</v>
      </c>
      <c r="N455">
        <v>90</v>
      </c>
      <c r="O455">
        <v>15</v>
      </c>
      <c r="P455">
        <v>5</v>
      </c>
      <c r="R455" t="s">
        <v>38</v>
      </c>
      <c r="S455" t="s">
        <v>20</v>
      </c>
      <c r="T455">
        <v>5</v>
      </c>
      <c r="U455">
        <v>10</v>
      </c>
      <c r="V455" t="s">
        <v>39</v>
      </c>
    </row>
    <row r="456" spans="1:22">
      <c r="A456" t="s">
        <v>951</v>
      </c>
      <c r="B456" t="s">
        <v>952</v>
      </c>
      <c r="C456">
        <v>33</v>
      </c>
      <c r="D456" t="s">
        <v>16</v>
      </c>
      <c r="E456" t="s">
        <v>47</v>
      </c>
      <c r="F456" t="s">
        <v>31</v>
      </c>
      <c r="G456" t="s">
        <v>82</v>
      </c>
      <c r="H456" t="s">
        <v>1060</v>
      </c>
      <c r="I456">
        <v>80000</v>
      </c>
      <c r="J456">
        <v>12</v>
      </c>
      <c r="K456">
        <v>6</v>
      </c>
      <c r="L456">
        <v>5</v>
      </c>
      <c r="M456">
        <v>34000</v>
      </c>
      <c r="N456">
        <v>80</v>
      </c>
      <c r="O456">
        <v>15</v>
      </c>
      <c r="P456">
        <v>8</v>
      </c>
      <c r="Q456" t="s">
        <v>37</v>
      </c>
      <c r="R456" t="s">
        <v>38</v>
      </c>
      <c r="S456" t="s">
        <v>20</v>
      </c>
      <c r="U456">
        <v>30</v>
      </c>
      <c r="V456" t="s">
        <v>58</v>
      </c>
    </row>
    <row r="457" spans="1:22">
      <c r="A457" t="s">
        <v>953</v>
      </c>
      <c r="B457" t="s">
        <v>954</v>
      </c>
      <c r="C457">
        <v>25</v>
      </c>
      <c r="D457" t="s">
        <v>34</v>
      </c>
      <c r="E457" t="s">
        <v>47</v>
      </c>
      <c r="F457" t="s">
        <v>42</v>
      </c>
      <c r="G457" t="s">
        <v>43</v>
      </c>
      <c r="H457" t="s">
        <v>1060</v>
      </c>
      <c r="I457">
        <v>27000</v>
      </c>
      <c r="J457">
        <v>12</v>
      </c>
      <c r="K457">
        <v>2</v>
      </c>
      <c r="L457">
        <v>1</v>
      </c>
      <c r="N457">
        <v>88</v>
      </c>
      <c r="O457">
        <v>15</v>
      </c>
      <c r="P457">
        <v>10</v>
      </c>
      <c r="Q457" t="s">
        <v>21</v>
      </c>
      <c r="R457" t="s">
        <v>38</v>
      </c>
      <c r="S457" t="s">
        <v>20</v>
      </c>
      <c r="T457">
        <v>5</v>
      </c>
      <c r="U457">
        <v>10</v>
      </c>
      <c r="V457" t="s">
        <v>39</v>
      </c>
    </row>
    <row r="458" spans="1:22">
      <c r="A458" t="s">
        <v>955</v>
      </c>
      <c r="B458" t="s">
        <v>956</v>
      </c>
      <c r="C458">
        <v>36</v>
      </c>
      <c r="D458" t="s">
        <v>16</v>
      </c>
      <c r="E458" t="s">
        <v>73</v>
      </c>
      <c r="F458" t="s">
        <v>18</v>
      </c>
      <c r="G458" t="s">
        <v>82</v>
      </c>
      <c r="H458" t="s">
        <v>1060</v>
      </c>
      <c r="I458">
        <v>80000</v>
      </c>
      <c r="J458">
        <v>12</v>
      </c>
      <c r="K458">
        <v>8</v>
      </c>
      <c r="L458">
        <v>2</v>
      </c>
      <c r="N458">
        <v>90</v>
      </c>
      <c r="O458">
        <v>5</v>
      </c>
      <c r="P458">
        <v>1</v>
      </c>
      <c r="Q458" t="s">
        <v>21</v>
      </c>
      <c r="R458" t="s">
        <v>38</v>
      </c>
      <c r="S458" t="s">
        <v>20</v>
      </c>
      <c r="U458">
        <v>30</v>
      </c>
      <c r="V458" t="s">
        <v>39</v>
      </c>
    </row>
    <row r="459" spans="1:22">
      <c r="A459" t="s">
        <v>957</v>
      </c>
      <c r="B459" t="s">
        <v>958</v>
      </c>
      <c r="C459">
        <v>24</v>
      </c>
      <c r="D459" t="s">
        <v>34</v>
      </c>
      <c r="E459" t="s">
        <v>64</v>
      </c>
      <c r="F459" t="s">
        <v>31</v>
      </c>
      <c r="G459" t="s">
        <v>43</v>
      </c>
      <c r="H459" t="s">
        <v>1060</v>
      </c>
      <c r="I459">
        <v>24000</v>
      </c>
      <c r="J459">
        <v>12</v>
      </c>
      <c r="K459">
        <v>1</v>
      </c>
      <c r="L459">
        <v>1</v>
      </c>
      <c r="N459">
        <v>85</v>
      </c>
      <c r="O459">
        <v>10</v>
      </c>
      <c r="P459">
        <v>5</v>
      </c>
      <c r="Q459" t="s">
        <v>21</v>
      </c>
      <c r="R459" t="s">
        <v>38</v>
      </c>
      <c r="S459" t="s">
        <v>20</v>
      </c>
      <c r="T459">
        <v>10</v>
      </c>
      <c r="U459">
        <v>20</v>
      </c>
      <c r="V459" t="s">
        <v>39</v>
      </c>
    </row>
    <row r="460" spans="1:22">
      <c r="A460" t="s">
        <v>959</v>
      </c>
      <c r="B460" t="s">
        <v>960</v>
      </c>
      <c r="C460">
        <v>25</v>
      </c>
      <c r="D460" t="s">
        <v>16</v>
      </c>
      <c r="E460" t="s">
        <v>65</v>
      </c>
      <c r="F460" t="s">
        <v>18</v>
      </c>
      <c r="G460" t="s">
        <v>1048</v>
      </c>
      <c r="H460" t="s">
        <v>1060</v>
      </c>
      <c r="I460">
        <v>70500</v>
      </c>
      <c r="J460">
        <v>12</v>
      </c>
      <c r="K460">
        <v>5</v>
      </c>
      <c r="L460">
        <v>4</v>
      </c>
      <c r="M460">
        <v>24000</v>
      </c>
      <c r="N460">
        <v>95</v>
      </c>
      <c r="O460">
        <v>10</v>
      </c>
      <c r="P460">
        <v>9</v>
      </c>
      <c r="Q460" t="s">
        <v>21</v>
      </c>
      <c r="R460" t="s">
        <v>38</v>
      </c>
      <c r="S460" t="s">
        <v>20</v>
      </c>
      <c r="T460">
        <v>20</v>
      </c>
      <c r="U460">
        <v>10</v>
      </c>
      <c r="V460" t="s">
        <v>58</v>
      </c>
    </row>
    <row r="461" spans="1:22">
      <c r="A461" t="s">
        <v>961</v>
      </c>
      <c r="B461" t="s">
        <v>962</v>
      </c>
      <c r="C461">
        <v>24</v>
      </c>
      <c r="D461" t="s">
        <v>16</v>
      </c>
      <c r="E461" t="s">
        <v>64</v>
      </c>
      <c r="F461" t="s">
        <v>27</v>
      </c>
      <c r="G461" t="s">
        <v>43</v>
      </c>
      <c r="H461" t="s">
        <v>1060</v>
      </c>
      <c r="I461">
        <v>29000</v>
      </c>
      <c r="J461">
        <v>12</v>
      </c>
      <c r="K461">
        <v>2</v>
      </c>
      <c r="L461">
        <v>2</v>
      </c>
      <c r="N461">
        <v>80</v>
      </c>
      <c r="O461">
        <v>5</v>
      </c>
      <c r="P461">
        <v>5</v>
      </c>
      <c r="Q461" t="s">
        <v>37</v>
      </c>
      <c r="R461" t="s">
        <v>38</v>
      </c>
      <c r="S461" t="s">
        <v>20</v>
      </c>
      <c r="U461">
        <v>10</v>
      </c>
      <c r="V461" t="s">
        <v>39</v>
      </c>
    </row>
    <row r="462" spans="1:22">
      <c r="A462" t="s">
        <v>963</v>
      </c>
      <c r="B462" t="s">
        <v>964</v>
      </c>
      <c r="C462">
        <v>25</v>
      </c>
      <c r="D462" t="s">
        <v>34</v>
      </c>
      <c r="E462" t="s">
        <v>35</v>
      </c>
      <c r="F462" t="s">
        <v>18</v>
      </c>
      <c r="G462" t="s">
        <v>43</v>
      </c>
      <c r="H462" t="s">
        <v>1060</v>
      </c>
      <c r="I462">
        <v>29000</v>
      </c>
      <c r="J462">
        <v>12</v>
      </c>
      <c r="K462">
        <v>2</v>
      </c>
      <c r="L462">
        <v>2</v>
      </c>
      <c r="N462">
        <v>88</v>
      </c>
      <c r="O462">
        <v>5</v>
      </c>
      <c r="P462">
        <v>3</v>
      </c>
      <c r="R462" t="s">
        <v>38</v>
      </c>
      <c r="S462" t="s">
        <v>20</v>
      </c>
      <c r="T462">
        <v>5</v>
      </c>
      <c r="U462">
        <v>20</v>
      </c>
      <c r="V462" t="s">
        <v>39</v>
      </c>
    </row>
    <row r="463" spans="1:22">
      <c r="A463" t="s">
        <v>965</v>
      </c>
      <c r="B463" t="s">
        <v>966</v>
      </c>
      <c r="C463">
        <v>23</v>
      </c>
      <c r="E463" t="s">
        <v>35</v>
      </c>
      <c r="F463" t="s">
        <v>66</v>
      </c>
      <c r="G463" t="s">
        <v>43</v>
      </c>
      <c r="H463" t="s">
        <v>1060</v>
      </c>
      <c r="I463">
        <v>24000</v>
      </c>
      <c r="J463">
        <v>12</v>
      </c>
      <c r="K463">
        <v>1</v>
      </c>
      <c r="L463">
        <v>2</v>
      </c>
      <c r="N463">
        <v>85</v>
      </c>
      <c r="O463">
        <v>15</v>
      </c>
      <c r="P463">
        <v>1</v>
      </c>
      <c r="Q463" t="s">
        <v>21</v>
      </c>
      <c r="R463" t="s">
        <v>38</v>
      </c>
      <c r="S463" t="s">
        <v>20</v>
      </c>
      <c r="T463">
        <v>20</v>
      </c>
      <c r="V463" t="s">
        <v>39</v>
      </c>
    </row>
    <row r="464" spans="1:22">
      <c r="A464" t="s">
        <v>967</v>
      </c>
      <c r="B464" t="s">
        <v>968</v>
      </c>
      <c r="C464">
        <v>24</v>
      </c>
      <c r="D464" t="s">
        <v>16</v>
      </c>
      <c r="E464" t="s">
        <v>50</v>
      </c>
      <c r="F464" t="s">
        <v>27</v>
      </c>
      <c r="G464" t="s">
        <v>43</v>
      </c>
      <c r="H464" t="s">
        <v>1060</v>
      </c>
      <c r="I464">
        <v>29000</v>
      </c>
      <c r="J464">
        <v>12</v>
      </c>
      <c r="K464">
        <v>2</v>
      </c>
      <c r="L464">
        <v>2</v>
      </c>
      <c r="N464">
        <v>85</v>
      </c>
      <c r="O464">
        <v>10</v>
      </c>
      <c r="P464">
        <v>3</v>
      </c>
      <c r="Q464" t="s">
        <v>21</v>
      </c>
      <c r="R464" t="s">
        <v>38</v>
      </c>
      <c r="S464" t="s">
        <v>20</v>
      </c>
      <c r="U464">
        <v>10</v>
      </c>
      <c r="V464" t="s">
        <v>39</v>
      </c>
    </row>
    <row r="465" spans="1:22">
      <c r="A465" t="s">
        <v>969</v>
      </c>
      <c r="B465" t="s">
        <v>970</v>
      </c>
      <c r="C465">
        <v>25</v>
      </c>
      <c r="D465" t="s">
        <v>34</v>
      </c>
      <c r="E465" t="s">
        <v>65</v>
      </c>
      <c r="F465" t="s">
        <v>42</v>
      </c>
      <c r="G465" t="s">
        <v>43</v>
      </c>
      <c r="H465" t="s">
        <v>1060</v>
      </c>
      <c r="I465">
        <v>22500</v>
      </c>
      <c r="J465">
        <v>12</v>
      </c>
      <c r="K465">
        <v>1</v>
      </c>
      <c r="L465">
        <v>1</v>
      </c>
      <c r="N465">
        <v>80</v>
      </c>
      <c r="O465">
        <v>15</v>
      </c>
      <c r="P465">
        <v>4</v>
      </c>
      <c r="R465" t="s">
        <v>38</v>
      </c>
      <c r="S465" t="s">
        <v>20</v>
      </c>
      <c r="T465">
        <v>5</v>
      </c>
      <c r="U465">
        <v>20</v>
      </c>
      <c r="V465" t="s">
        <v>39</v>
      </c>
    </row>
    <row r="466" spans="1:22">
      <c r="A466" t="s">
        <v>971</v>
      </c>
      <c r="B466" t="s">
        <v>972</v>
      </c>
      <c r="C466">
        <v>25</v>
      </c>
      <c r="D466" t="s">
        <v>25</v>
      </c>
      <c r="E466" t="s">
        <v>26</v>
      </c>
      <c r="F466" t="s">
        <v>27</v>
      </c>
      <c r="G466" t="s">
        <v>1048</v>
      </c>
      <c r="H466" t="s">
        <v>1060</v>
      </c>
      <c r="I466">
        <v>60000</v>
      </c>
      <c r="J466">
        <v>12</v>
      </c>
      <c r="K466">
        <v>4</v>
      </c>
      <c r="L466">
        <v>4</v>
      </c>
      <c r="M466">
        <v>24000</v>
      </c>
      <c r="N466">
        <v>95</v>
      </c>
      <c r="O466">
        <v>10</v>
      </c>
      <c r="P466">
        <v>1</v>
      </c>
      <c r="Q466" t="s">
        <v>37</v>
      </c>
      <c r="R466" t="s">
        <v>28</v>
      </c>
      <c r="S466" t="s">
        <v>20</v>
      </c>
      <c r="T466">
        <v>20</v>
      </c>
      <c r="U466">
        <v>20</v>
      </c>
      <c r="V466" t="s">
        <v>58</v>
      </c>
    </row>
    <row r="467" spans="1:22">
      <c r="A467" t="s">
        <v>973</v>
      </c>
      <c r="B467" t="s">
        <v>974</v>
      </c>
      <c r="C467">
        <v>25</v>
      </c>
      <c r="E467" t="s">
        <v>26</v>
      </c>
      <c r="F467" t="s">
        <v>18</v>
      </c>
      <c r="G467" t="s">
        <v>43</v>
      </c>
      <c r="H467" t="s">
        <v>1060</v>
      </c>
      <c r="I467">
        <v>29000</v>
      </c>
      <c r="J467">
        <v>12</v>
      </c>
      <c r="K467">
        <v>2</v>
      </c>
      <c r="L467">
        <v>2</v>
      </c>
      <c r="N467">
        <v>85</v>
      </c>
      <c r="O467">
        <v>5</v>
      </c>
      <c r="P467">
        <v>2</v>
      </c>
      <c r="Q467" t="s">
        <v>37</v>
      </c>
      <c r="R467" t="s">
        <v>38</v>
      </c>
      <c r="S467" t="s">
        <v>20</v>
      </c>
      <c r="T467">
        <v>5</v>
      </c>
      <c r="U467">
        <v>10</v>
      </c>
      <c r="V467" t="s">
        <v>39</v>
      </c>
    </row>
    <row r="468" spans="1:22">
      <c r="A468" t="s">
        <v>975</v>
      </c>
      <c r="B468" t="s">
        <v>976</v>
      </c>
      <c r="C468">
        <v>24</v>
      </c>
      <c r="D468" t="s">
        <v>25</v>
      </c>
      <c r="E468" t="s">
        <v>73</v>
      </c>
      <c r="F468" t="s">
        <v>27</v>
      </c>
      <c r="G468" t="s">
        <v>43</v>
      </c>
      <c r="H468" t="s">
        <v>1060</v>
      </c>
      <c r="I468">
        <v>29000</v>
      </c>
      <c r="J468">
        <v>12</v>
      </c>
      <c r="K468">
        <v>2</v>
      </c>
      <c r="L468">
        <v>1</v>
      </c>
      <c r="N468">
        <v>80</v>
      </c>
      <c r="O468">
        <v>10</v>
      </c>
      <c r="P468">
        <v>3</v>
      </c>
      <c r="Q468" t="s">
        <v>21</v>
      </c>
      <c r="R468" t="s">
        <v>38</v>
      </c>
      <c r="S468" t="s">
        <v>20</v>
      </c>
      <c r="T468">
        <v>20</v>
      </c>
      <c r="U468">
        <v>20</v>
      </c>
      <c r="V468" t="s">
        <v>39</v>
      </c>
    </row>
    <row r="469" spans="1:22">
      <c r="A469" t="s">
        <v>977</v>
      </c>
      <c r="B469" t="s">
        <v>978</v>
      </c>
      <c r="C469">
        <v>25</v>
      </c>
      <c r="D469" t="s">
        <v>46</v>
      </c>
      <c r="E469" t="s">
        <v>57</v>
      </c>
      <c r="F469" t="s">
        <v>18</v>
      </c>
      <c r="G469" t="s">
        <v>43</v>
      </c>
      <c r="H469" t="s">
        <v>1059</v>
      </c>
      <c r="I469">
        <v>29000</v>
      </c>
      <c r="J469">
        <v>12</v>
      </c>
      <c r="K469">
        <v>2</v>
      </c>
      <c r="L469">
        <v>5</v>
      </c>
      <c r="M469">
        <v>20000</v>
      </c>
      <c r="N469">
        <v>85</v>
      </c>
      <c r="O469">
        <v>15</v>
      </c>
      <c r="P469">
        <v>3</v>
      </c>
      <c r="Q469" t="s">
        <v>21</v>
      </c>
      <c r="R469" t="s">
        <v>28</v>
      </c>
      <c r="S469" t="s">
        <v>20</v>
      </c>
      <c r="T469">
        <v>20</v>
      </c>
      <c r="U469">
        <v>10</v>
      </c>
      <c r="V469" t="s">
        <v>58</v>
      </c>
    </row>
    <row r="470" spans="1:22">
      <c r="A470" t="s">
        <v>979</v>
      </c>
      <c r="B470" t="s">
        <v>980</v>
      </c>
      <c r="C470">
        <v>40</v>
      </c>
      <c r="D470" t="s">
        <v>16</v>
      </c>
      <c r="E470" t="s">
        <v>26</v>
      </c>
      <c r="F470" t="s">
        <v>36</v>
      </c>
      <c r="G470" t="s">
        <v>32</v>
      </c>
      <c r="H470" t="s">
        <v>1060</v>
      </c>
      <c r="I470">
        <v>90000</v>
      </c>
      <c r="J470">
        <v>12</v>
      </c>
      <c r="K470">
        <v>10</v>
      </c>
      <c r="L470">
        <v>3</v>
      </c>
      <c r="M470">
        <v>38000</v>
      </c>
      <c r="N470">
        <v>80</v>
      </c>
      <c r="O470">
        <v>15</v>
      </c>
      <c r="P470">
        <v>2</v>
      </c>
      <c r="Q470" t="s">
        <v>37</v>
      </c>
      <c r="R470" t="s">
        <v>28</v>
      </c>
      <c r="S470" t="s">
        <v>20</v>
      </c>
      <c r="T470">
        <v>5</v>
      </c>
      <c r="V470" t="s">
        <v>22</v>
      </c>
    </row>
    <row r="471" spans="1:22">
      <c r="A471" t="s">
        <v>981</v>
      </c>
      <c r="B471" t="s">
        <v>982</v>
      </c>
      <c r="C471">
        <v>24</v>
      </c>
      <c r="D471" t="s">
        <v>16</v>
      </c>
      <c r="E471" t="s">
        <v>35</v>
      </c>
      <c r="F471" t="s">
        <v>18</v>
      </c>
      <c r="G471" t="s">
        <v>43</v>
      </c>
      <c r="H471" t="s">
        <v>1060</v>
      </c>
      <c r="I471">
        <v>28000</v>
      </c>
      <c r="J471">
        <v>12</v>
      </c>
      <c r="K471">
        <v>2</v>
      </c>
      <c r="L471">
        <v>1</v>
      </c>
      <c r="N471">
        <v>90</v>
      </c>
      <c r="O471">
        <v>10</v>
      </c>
      <c r="P471">
        <v>2</v>
      </c>
      <c r="Q471" t="s">
        <v>37</v>
      </c>
      <c r="R471" t="s">
        <v>19</v>
      </c>
      <c r="S471" t="s">
        <v>20</v>
      </c>
      <c r="U471">
        <v>10</v>
      </c>
      <c r="V471" t="s">
        <v>39</v>
      </c>
    </row>
    <row r="472" spans="1:22">
      <c r="A472" t="s">
        <v>983</v>
      </c>
      <c r="B472" t="s">
        <v>984</v>
      </c>
      <c r="C472">
        <v>24</v>
      </c>
      <c r="E472" t="s">
        <v>35</v>
      </c>
      <c r="F472" t="s">
        <v>36</v>
      </c>
      <c r="G472" t="s">
        <v>43</v>
      </c>
      <c r="H472" t="s">
        <v>1060</v>
      </c>
      <c r="I472">
        <v>24000</v>
      </c>
      <c r="J472">
        <v>12</v>
      </c>
      <c r="K472">
        <v>1</v>
      </c>
      <c r="L472">
        <v>1</v>
      </c>
      <c r="N472">
        <v>90</v>
      </c>
      <c r="O472">
        <v>15</v>
      </c>
      <c r="P472">
        <v>10</v>
      </c>
      <c r="Q472" t="s">
        <v>37</v>
      </c>
      <c r="R472" t="s">
        <v>38</v>
      </c>
      <c r="S472" t="s">
        <v>20</v>
      </c>
      <c r="T472">
        <v>10</v>
      </c>
      <c r="U472">
        <v>10</v>
      </c>
      <c r="V472" t="s">
        <v>39</v>
      </c>
    </row>
    <row r="473" spans="1:22">
      <c r="A473" t="s">
        <v>985</v>
      </c>
      <c r="B473" t="s">
        <v>986</v>
      </c>
      <c r="C473">
        <v>23</v>
      </c>
      <c r="D473" t="s">
        <v>46</v>
      </c>
      <c r="E473" t="s">
        <v>47</v>
      </c>
      <c r="F473" t="s">
        <v>42</v>
      </c>
      <c r="G473" t="s">
        <v>43</v>
      </c>
      <c r="H473" t="s">
        <v>1060</v>
      </c>
      <c r="I473">
        <v>24000</v>
      </c>
      <c r="J473">
        <v>12</v>
      </c>
      <c r="K473">
        <v>1</v>
      </c>
      <c r="L473">
        <v>2</v>
      </c>
      <c r="N473">
        <v>88</v>
      </c>
      <c r="O473">
        <v>10</v>
      </c>
      <c r="P473">
        <v>9</v>
      </c>
      <c r="R473" t="s">
        <v>28</v>
      </c>
      <c r="S473" t="s">
        <v>20</v>
      </c>
      <c r="T473">
        <v>10</v>
      </c>
      <c r="U473">
        <v>30</v>
      </c>
      <c r="V473" t="s">
        <v>39</v>
      </c>
    </row>
    <row r="474" spans="1:22">
      <c r="A474" t="s">
        <v>987</v>
      </c>
      <c r="B474" t="s">
        <v>988</v>
      </c>
      <c r="C474">
        <v>26</v>
      </c>
      <c r="E474" t="s">
        <v>17</v>
      </c>
      <c r="F474" t="s">
        <v>42</v>
      </c>
      <c r="G474" t="s">
        <v>1045</v>
      </c>
      <c r="H474" t="s">
        <v>1060</v>
      </c>
      <c r="I474">
        <v>81000</v>
      </c>
      <c r="J474">
        <v>12</v>
      </c>
      <c r="K474">
        <v>6</v>
      </c>
      <c r="L474">
        <v>3</v>
      </c>
      <c r="M474">
        <v>7000</v>
      </c>
      <c r="N474">
        <v>88</v>
      </c>
      <c r="O474">
        <v>15</v>
      </c>
      <c r="P474">
        <v>3</v>
      </c>
      <c r="R474" t="s">
        <v>19</v>
      </c>
      <c r="S474" t="s">
        <v>20</v>
      </c>
      <c r="T474">
        <v>5</v>
      </c>
      <c r="U474">
        <v>20</v>
      </c>
      <c r="V474" t="s">
        <v>22</v>
      </c>
    </row>
    <row r="475" spans="1:22">
      <c r="A475" t="s">
        <v>989</v>
      </c>
      <c r="B475" t="s">
        <v>990</v>
      </c>
      <c r="C475">
        <v>24</v>
      </c>
      <c r="D475" t="s">
        <v>16</v>
      </c>
      <c r="E475" t="s">
        <v>57</v>
      </c>
      <c r="F475" t="s">
        <v>66</v>
      </c>
      <c r="G475" t="s">
        <v>43</v>
      </c>
      <c r="H475" t="s">
        <v>1060</v>
      </c>
      <c r="I475">
        <v>24000</v>
      </c>
      <c r="J475">
        <v>12</v>
      </c>
      <c r="K475">
        <v>1</v>
      </c>
      <c r="L475">
        <v>4</v>
      </c>
      <c r="M475">
        <v>16000</v>
      </c>
      <c r="N475">
        <v>85</v>
      </c>
      <c r="O475">
        <v>5</v>
      </c>
      <c r="P475">
        <v>3</v>
      </c>
      <c r="R475" t="s">
        <v>38</v>
      </c>
      <c r="S475" t="s">
        <v>20</v>
      </c>
      <c r="U475">
        <v>10</v>
      </c>
      <c r="V475" t="s">
        <v>22</v>
      </c>
    </row>
    <row r="476" spans="1:22">
      <c r="A476" t="s">
        <v>991</v>
      </c>
      <c r="B476" t="s">
        <v>992</v>
      </c>
      <c r="C476">
        <v>25</v>
      </c>
      <c r="D476" t="s">
        <v>16</v>
      </c>
      <c r="E476" t="s">
        <v>65</v>
      </c>
      <c r="F476" t="s">
        <v>31</v>
      </c>
      <c r="G476" t="s">
        <v>43</v>
      </c>
      <c r="H476" t="s">
        <v>1060</v>
      </c>
      <c r="I476">
        <v>28000</v>
      </c>
      <c r="J476">
        <v>12</v>
      </c>
      <c r="K476">
        <v>2</v>
      </c>
      <c r="L476">
        <v>2</v>
      </c>
      <c r="N476">
        <v>80</v>
      </c>
      <c r="O476">
        <v>10</v>
      </c>
      <c r="P476">
        <v>2</v>
      </c>
      <c r="Q476" t="s">
        <v>21</v>
      </c>
      <c r="R476" t="s">
        <v>28</v>
      </c>
      <c r="S476" t="s">
        <v>20</v>
      </c>
      <c r="U476">
        <v>20</v>
      </c>
      <c r="V476" t="s">
        <v>39</v>
      </c>
    </row>
    <row r="477" spans="1:22">
      <c r="A477" t="s">
        <v>993</v>
      </c>
      <c r="B477" t="s">
        <v>994</v>
      </c>
      <c r="C477">
        <v>25</v>
      </c>
      <c r="D477" t="s">
        <v>46</v>
      </c>
      <c r="E477" t="s">
        <v>26</v>
      </c>
      <c r="F477" t="s">
        <v>31</v>
      </c>
      <c r="G477" t="s">
        <v>43</v>
      </c>
      <c r="H477" t="s">
        <v>1060</v>
      </c>
      <c r="I477">
        <v>23000</v>
      </c>
      <c r="J477">
        <v>12</v>
      </c>
      <c r="K477">
        <v>1</v>
      </c>
      <c r="L477">
        <v>4</v>
      </c>
      <c r="M477">
        <v>16000</v>
      </c>
      <c r="N477">
        <v>90</v>
      </c>
      <c r="O477">
        <v>15</v>
      </c>
      <c r="P477">
        <v>3</v>
      </c>
      <c r="Q477" t="s">
        <v>21</v>
      </c>
      <c r="R477" t="s">
        <v>28</v>
      </c>
      <c r="S477" t="s">
        <v>20</v>
      </c>
      <c r="T477">
        <v>20</v>
      </c>
      <c r="U477">
        <v>10</v>
      </c>
      <c r="V477" t="s">
        <v>22</v>
      </c>
    </row>
    <row r="478" spans="1:22">
      <c r="A478" t="s">
        <v>997</v>
      </c>
      <c r="B478" t="s">
        <v>998</v>
      </c>
      <c r="C478">
        <v>25</v>
      </c>
      <c r="D478" t="s">
        <v>46</v>
      </c>
      <c r="E478" t="s">
        <v>35</v>
      </c>
      <c r="F478" t="s">
        <v>27</v>
      </c>
      <c r="G478" t="s">
        <v>43</v>
      </c>
      <c r="H478" t="s">
        <v>1060</v>
      </c>
      <c r="I478">
        <v>28000</v>
      </c>
      <c r="J478">
        <v>12</v>
      </c>
      <c r="K478">
        <v>2</v>
      </c>
      <c r="L478">
        <v>1</v>
      </c>
      <c r="N478">
        <v>80</v>
      </c>
      <c r="O478">
        <v>5</v>
      </c>
      <c r="P478">
        <v>1</v>
      </c>
      <c r="Q478" t="s">
        <v>21</v>
      </c>
      <c r="R478" t="s">
        <v>38</v>
      </c>
      <c r="S478" t="s">
        <v>20</v>
      </c>
      <c r="T478">
        <v>20</v>
      </c>
      <c r="U478">
        <v>10</v>
      </c>
      <c r="V478" t="s">
        <v>39</v>
      </c>
    </row>
    <row r="479" spans="1:22">
      <c r="A479" t="s">
        <v>999</v>
      </c>
      <c r="B479" t="s">
        <v>1000</v>
      </c>
      <c r="C479">
        <v>34</v>
      </c>
      <c r="D479" t="s">
        <v>16</v>
      </c>
      <c r="E479" t="s">
        <v>61</v>
      </c>
      <c r="F479" t="s">
        <v>27</v>
      </c>
      <c r="G479" t="s">
        <v>32</v>
      </c>
      <c r="H479" t="s">
        <v>1059</v>
      </c>
      <c r="I479">
        <v>92000</v>
      </c>
      <c r="J479">
        <v>12</v>
      </c>
      <c r="K479">
        <v>9</v>
      </c>
      <c r="L479">
        <v>4</v>
      </c>
      <c r="M479">
        <v>38000</v>
      </c>
      <c r="N479">
        <v>80</v>
      </c>
      <c r="O479">
        <v>15</v>
      </c>
      <c r="P479">
        <v>5</v>
      </c>
      <c r="Q479" t="s">
        <v>37</v>
      </c>
      <c r="R479" t="s">
        <v>28</v>
      </c>
      <c r="S479" t="s">
        <v>20</v>
      </c>
      <c r="T479">
        <v>10</v>
      </c>
      <c r="U479">
        <v>30</v>
      </c>
      <c r="V479" t="s">
        <v>58</v>
      </c>
    </row>
    <row r="480" spans="1:22">
      <c r="A480" t="s">
        <v>1001</v>
      </c>
      <c r="B480" t="s">
        <v>1002</v>
      </c>
      <c r="C480">
        <v>23</v>
      </c>
      <c r="D480" t="s">
        <v>34</v>
      </c>
      <c r="E480" t="s">
        <v>73</v>
      </c>
      <c r="F480" t="s">
        <v>42</v>
      </c>
      <c r="G480" t="s">
        <v>43</v>
      </c>
      <c r="H480" t="s">
        <v>1060</v>
      </c>
      <c r="I480">
        <v>24000</v>
      </c>
      <c r="J480">
        <v>12</v>
      </c>
      <c r="K480">
        <v>1</v>
      </c>
      <c r="L480">
        <v>4</v>
      </c>
      <c r="M480">
        <v>16000</v>
      </c>
      <c r="N480">
        <v>80</v>
      </c>
      <c r="O480">
        <v>10</v>
      </c>
      <c r="P480">
        <v>3</v>
      </c>
      <c r="R480" t="s">
        <v>38</v>
      </c>
      <c r="S480" t="s">
        <v>20</v>
      </c>
      <c r="T480">
        <v>5</v>
      </c>
      <c r="U480">
        <v>30</v>
      </c>
      <c r="V480" t="s">
        <v>22</v>
      </c>
    </row>
    <row r="481" spans="1:22">
      <c r="A481" t="s">
        <v>1003</v>
      </c>
      <c r="B481" t="s">
        <v>1004</v>
      </c>
      <c r="C481">
        <v>24</v>
      </c>
      <c r="D481" t="s">
        <v>34</v>
      </c>
      <c r="E481" t="s">
        <v>17</v>
      </c>
      <c r="F481" t="s">
        <v>42</v>
      </c>
      <c r="G481" t="s">
        <v>1048</v>
      </c>
      <c r="H481" t="s">
        <v>1060</v>
      </c>
      <c r="I481">
        <v>60000</v>
      </c>
      <c r="J481">
        <v>12</v>
      </c>
      <c r="K481">
        <v>4</v>
      </c>
      <c r="L481">
        <v>2</v>
      </c>
      <c r="N481">
        <v>80</v>
      </c>
      <c r="O481">
        <v>5</v>
      </c>
      <c r="P481">
        <v>5</v>
      </c>
      <c r="Q481" t="s">
        <v>37</v>
      </c>
      <c r="R481" t="s">
        <v>19</v>
      </c>
      <c r="S481" t="s">
        <v>20</v>
      </c>
      <c r="T481">
        <v>20</v>
      </c>
      <c r="U481">
        <v>20</v>
      </c>
      <c r="V481" t="s">
        <v>39</v>
      </c>
    </row>
    <row r="482" spans="1:22">
      <c r="A482" t="s">
        <v>1005</v>
      </c>
      <c r="B482" t="s">
        <v>1006</v>
      </c>
      <c r="C482">
        <v>34</v>
      </c>
      <c r="D482" t="s">
        <v>16</v>
      </c>
      <c r="E482" t="s">
        <v>61</v>
      </c>
      <c r="F482" t="s">
        <v>66</v>
      </c>
      <c r="G482" t="s">
        <v>32</v>
      </c>
      <c r="H482" t="s">
        <v>1060</v>
      </c>
      <c r="I482">
        <v>98000</v>
      </c>
      <c r="J482">
        <v>12</v>
      </c>
      <c r="K482">
        <v>12</v>
      </c>
      <c r="L482">
        <v>5</v>
      </c>
      <c r="M482">
        <v>29339</v>
      </c>
      <c r="N482">
        <v>90</v>
      </c>
      <c r="O482">
        <v>15</v>
      </c>
      <c r="P482">
        <v>1</v>
      </c>
      <c r="R482" t="s">
        <v>38</v>
      </c>
      <c r="S482" t="s">
        <v>20</v>
      </c>
      <c r="T482">
        <v>5</v>
      </c>
      <c r="U482">
        <v>20</v>
      </c>
      <c r="V482" t="s">
        <v>58</v>
      </c>
    </row>
    <row r="483" spans="1:22">
      <c r="A483" t="s">
        <v>1007</v>
      </c>
      <c r="B483" t="s">
        <v>1008</v>
      </c>
      <c r="C483">
        <v>21</v>
      </c>
      <c r="D483" t="s">
        <v>16</v>
      </c>
      <c r="E483" t="s">
        <v>17</v>
      </c>
      <c r="F483" t="s">
        <v>66</v>
      </c>
      <c r="G483" t="s">
        <v>1046</v>
      </c>
      <c r="H483" t="s">
        <v>1060</v>
      </c>
      <c r="I483">
        <v>20000</v>
      </c>
      <c r="J483">
        <v>12</v>
      </c>
      <c r="K483">
        <v>0</v>
      </c>
      <c r="L483">
        <v>2</v>
      </c>
      <c r="N483">
        <v>88</v>
      </c>
      <c r="O483">
        <v>15</v>
      </c>
      <c r="P483">
        <v>1</v>
      </c>
      <c r="Q483" t="s">
        <v>21</v>
      </c>
      <c r="R483" t="s">
        <v>38</v>
      </c>
      <c r="S483" t="s">
        <v>20</v>
      </c>
      <c r="T483">
        <v>20</v>
      </c>
      <c r="U483">
        <v>10</v>
      </c>
      <c r="V483" t="s">
        <v>39</v>
      </c>
    </row>
    <row r="484" spans="1:22">
      <c r="A484" t="s">
        <v>1009</v>
      </c>
      <c r="B484" t="s">
        <v>1010</v>
      </c>
      <c r="C484">
        <v>25</v>
      </c>
      <c r="D484" t="s">
        <v>34</v>
      </c>
      <c r="E484" t="s">
        <v>35</v>
      </c>
      <c r="F484" t="s">
        <v>42</v>
      </c>
      <c r="G484" t="s">
        <v>1045</v>
      </c>
      <c r="H484" t="s">
        <v>1059</v>
      </c>
      <c r="I484">
        <v>78000</v>
      </c>
      <c r="J484">
        <v>12</v>
      </c>
      <c r="K484">
        <v>7</v>
      </c>
      <c r="L484">
        <v>5</v>
      </c>
      <c r="M484">
        <v>10915</v>
      </c>
      <c r="N484">
        <v>85</v>
      </c>
      <c r="O484">
        <v>5</v>
      </c>
      <c r="P484">
        <v>3</v>
      </c>
      <c r="R484" t="s">
        <v>28</v>
      </c>
      <c r="S484" t="s">
        <v>20</v>
      </c>
      <c r="U484">
        <v>10</v>
      </c>
      <c r="V484" t="s">
        <v>58</v>
      </c>
    </row>
    <row r="485" spans="1:22">
      <c r="A485" t="s">
        <v>1011</v>
      </c>
      <c r="B485" t="s">
        <v>1012</v>
      </c>
      <c r="C485">
        <v>39</v>
      </c>
      <c r="E485" t="s">
        <v>17</v>
      </c>
      <c r="F485" t="s">
        <v>27</v>
      </c>
      <c r="G485" t="s">
        <v>32</v>
      </c>
      <c r="H485" t="s">
        <v>1060</v>
      </c>
      <c r="I485">
        <v>90000</v>
      </c>
      <c r="J485">
        <v>12</v>
      </c>
      <c r="K485">
        <v>12</v>
      </c>
      <c r="L485">
        <v>1</v>
      </c>
      <c r="N485">
        <v>80</v>
      </c>
      <c r="O485">
        <v>15</v>
      </c>
      <c r="P485">
        <v>5</v>
      </c>
      <c r="Q485" t="s">
        <v>21</v>
      </c>
      <c r="R485" t="s">
        <v>38</v>
      </c>
      <c r="S485" t="s">
        <v>20</v>
      </c>
      <c r="T485">
        <v>20</v>
      </c>
      <c r="U485">
        <v>30</v>
      </c>
      <c r="V485" t="s">
        <v>39</v>
      </c>
    </row>
    <row r="486" spans="1:22">
      <c r="A486" t="s">
        <v>1013</v>
      </c>
      <c r="B486" t="s">
        <v>1014</v>
      </c>
      <c r="C486">
        <v>25</v>
      </c>
      <c r="E486" t="s">
        <v>61</v>
      </c>
      <c r="F486" t="s">
        <v>18</v>
      </c>
      <c r="G486" t="s">
        <v>43</v>
      </c>
      <c r="H486" t="s">
        <v>1059</v>
      </c>
      <c r="I486">
        <v>24000</v>
      </c>
      <c r="J486">
        <v>12</v>
      </c>
      <c r="K486">
        <v>1</v>
      </c>
      <c r="L486">
        <v>5</v>
      </c>
      <c r="M486">
        <v>20000</v>
      </c>
      <c r="N486">
        <v>90</v>
      </c>
      <c r="O486">
        <v>10</v>
      </c>
      <c r="P486">
        <v>3</v>
      </c>
      <c r="Q486" t="s">
        <v>21</v>
      </c>
      <c r="R486" t="s">
        <v>28</v>
      </c>
      <c r="S486" t="s">
        <v>20</v>
      </c>
      <c r="T486">
        <v>10</v>
      </c>
      <c r="V486" t="s">
        <v>58</v>
      </c>
    </row>
    <row r="487" spans="1:22">
      <c r="A487" t="s">
        <v>1015</v>
      </c>
      <c r="B487" t="s">
        <v>1016</v>
      </c>
      <c r="C487">
        <v>23</v>
      </c>
      <c r="D487" t="s">
        <v>34</v>
      </c>
      <c r="E487" t="s">
        <v>35</v>
      </c>
      <c r="F487" t="s">
        <v>66</v>
      </c>
      <c r="G487" t="s">
        <v>1046</v>
      </c>
      <c r="H487" t="s">
        <v>1060</v>
      </c>
      <c r="I487">
        <v>20000</v>
      </c>
      <c r="J487">
        <v>12</v>
      </c>
      <c r="K487">
        <v>0</v>
      </c>
      <c r="L487">
        <v>1</v>
      </c>
      <c r="N487">
        <v>88</v>
      </c>
      <c r="O487">
        <v>5</v>
      </c>
      <c r="P487">
        <v>2</v>
      </c>
      <c r="R487" t="s">
        <v>38</v>
      </c>
      <c r="S487" t="s">
        <v>20</v>
      </c>
      <c r="T487">
        <v>20</v>
      </c>
      <c r="V487" t="s">
        <v>39</v>
      </c>
    </row>
    <row r="488" spans="1:22">
      <c r="A488" t="s">
        <v>1017</v>
      </c>
      <c r="B488" t="s">
        <v>1018</v>
      </c>
      <c r="C488">
        <v>24</v>
      </c>
      <c r="E488" t="s">
        <v>57</v>
      </c>
      <c r="F488" t="s">
        <v>27</v>
      </c>
      <c r="G488" t="s">
        <v>1046</v>
      </c>
      <c r="H488" t="s">
        <v>1060</v>
      </c>
      <c r="I488">
        <v>29000</v>
      </c>
      <c r="J488">
        <v>12</v>
      </c>
      <c r="K488">
        <v>1</v>
      </c>
      <c r="L488">
        <v>4</v>
      </c>
      <c r="M488">
        <v>7000</v>
      </c>
      <c r="N488">
        <v>85</v>
      </c>
      <c r="O488">
        <v>5</v>
      </c>
      <c r="P488">
        <v>8</v>
      </c>
      <c r="Q488" t="s">
        <v>37</v>
      </c>
      <c r="R488" t="s">
        <v>19</v>
      </c>
      <c r="S488" t="s">
        <v>20</v>
      </c>
      <c r="T488">
        <v>5</v>
      </c>
      <c r="U488">
        <v>10</v>
      </c>
      <c r="V488" t="s">
        <v>58</v>
      </c>
    </row>
    <row r="489" spans="1:22">
      <c r="A489" t="s">
        <v>1019</v>
      </c>
      <c r="B489" t="s">
        <v>1020</v>
      </c>
      <c r="C489">
        <v>24</v>
      </c>
      <c r="D489" t="s">
        <v>34</v>
      </c>
      <c r="E489" t="s">
        <v>47</v>
      </c>
      <c r="F489" t="s">
        <v>66</v>
      </c>
      <c r="G489" t="s">
        <v>1046</v>
      </c>
      <c r="H489" t="s">
        <v>1060</v>
      </c>
      <c r="I489">
        <v>29000</v>
      </c>
      <c r="J489">
        <v>12</v>
      </c>
      <c r="K489">
        <v>2</v>
      </c>
      <c r="L489">
        <v>3</v>
      </c>
      <c r="M489">
        <v>6000</v>
      </c>
      <c r="N489">
        <v>88</v>
      </c>
      <c r="O489">
        <v>15</v>
      </c>
      <c r="P489">
        <v>2</v>
      </c>
      <c r="Q489" t="s">
        <v>21</v>
      </c>
      <c r="R489" t="s">
        <v>19</v>
      </c>
      <c r="S489" t="s">
        <v>20</v>
      </c>
      <c r="V489" t="s">
        <v>22</v>
      </c>
    </row>
    <row r="490" spans="1:22">
      <c r="A490" t="s">
        <v>1021</v>
      </c>
      <c r="B490" t="s">
        <v>1022</v>
      </c>
      <c r="C490">
        <v>23</v>
      </c>
      <c r="D490" t="s">
        <v>16</v>
      </c>
      <c r="E490" t="s">
        <v>17</v>
      </c>
      <c r="F490" t="s">
        <v>18</v>
      </c>
      <c r="G490" t="s">
        <v>1046</v>
      </c>
      <c r="H490" t="s">
        <v>1060</v>
      </c>
      <c r="I490">
        <v>20000</v>
      </c>
      <c r="J490">
        <v>12</v>
      </c>
      <c r="K490">
        <v>0</v>
      </c>
      <c r="L490">
        <v>1</v>
      </c>
      <c r="N490">
        <v>80</v>
      </c>
      <c r="O490">
        <v>15</v>
      </c>
      <c r="P490">
        <v>2</v>
      </c>
      <c r="Q490" t="s">
        <v>37</v>
      </c>
      <c r="R490" t="s">
        <v>19</v>
      </c>
      <c r="S490" t="s">
        <v>20</v>
      </c>
      <c r="T490">
        <v>10</v>
      </c>
      <c r="V490" t="s">
        <v>39</v>
      </c>
    </row>
    <row r="491" spans="1:22">
      <c r="A491" t="s">
        <v>1023</v>
      </c>
      <c r="B491" t="s">
        <v>1024</v>
      </c>
      <c r="C491">
        <v>24</v>
      </c>
      <c r="E491" t="s">
        <v>64</v>
      </c>
      <c r="F491" t="s">
        <v>42</v>
      </c>
      <c r="G491" t="s">
        <v>43</v>
      </c>
      <c r="H491" t="s">
        <v>1059</v>
      </c>
      <c r="I491">
        <v>22000</v>
      </c>
      <c r="J491">
        <v>12</v>
      </c>
      <c r="K491">
        <v>1</v>
      </c>
      <c r="L491">
        <v>1</v>
      </c>
      <c r="N491">
        <v>95</v>
      </c>
      <c r="O491">
        <v>15</v>
      </c>
      <c r="P491">
        <v>3</v>
      </c>
      <c r="Q491" t="s">
        <v>21</v>
      </c>
      <c r="R491" t="s">
        <v>28</v>
      </c>
      <c r="S491" t="s">
        <v>20</v>
      </c>
      <c r="T491">
        <v>20</v>
      </c>
      <c r="U491">
        <v>10</v>
      </c>
      <c r="V491" t="s">
        <v>39</v>
      </c>
    </row>
    <row r="492" spans="1:22">
      <c r="A492" t="s">
        <v>1025</v>
      </c>
      <c r="B492" t="s">
        <v>1026</v>
      </c>
      <c r="C492">
        <v>24</v>
      </c>
      <c r="D492" t="s">
        <v>25</v>
      </c>
      <c r="E492" t="s">
        <v>47</v>
      </c>
      <c r="F492" t="s">
        <v>31</v>
      </c>
      <c r="G492" t="s">
        <v>43</v>
      </c>
      <c r="H492" t="s">
        <v>1060</v>
      </c>
      <c r="I492">
        <v>24000</v>
      </c>
      <c r="J492">
        <v>12</v>
      </c>
      <c r="K492">
        <v>1</v>
      </c>
      <c r="L492">
        <v>4</v>
      </c>
      <c r="M492">
        <v>16000</v>
      </c>
      <c r="N492">
        <v>88</v>
      </c>
      <c r="O492">
        <v>5</v>
      </c>
      <c r="P492">
        <v>5</v>
      </c>
      <c r="R492" t="s">
        <v>38</v>
      </c>
      <c r="S492" t="s">
        <v>20</v>
      </c>
      <c r="U492">
        <v>30</v>
      </c>
      <c r="V492" t="s">
        <v>22</v>
      </c>
    </row>
    <row r="493" spans="1:22">
      <c r="A493" t="s">
        <v>995</v>
      </c>
      <c r="B493" t="s">
        <v>996</v>
      </c>
      <c r="C493">
        <v>24</v>
      </c>
      <c r="D493" t="s">
        <v>46</v>
      </c>
      <c r="E493" t="s">
        <v>73</v>
      </c>
      <c r="F493" t="s">
        <v>18</v>
      </c>
      <c r="G493" t="s">
        <v>43</v>
      </c>
      <c r="H493" t="s">
        <v>1059</v>
      </c>
      <c r="I493">
        <v>28000</v>
      </c>
      <c r="J493">
        <v>12</v>
      </c>
      <c r="K493">
        <v>2</v>
      </c>
      <c r="L493">
        <v>4</v>
      </c>
      <c r="M493">
        <v>16000</v>
      </c>
      <c r="N493">
        <v>95</v>
      </c>
      <c r="O493">
        <v>15</v>
      </c>
      <c r="P493">
        <v>3</v>
      </c>
      <c r="Q493" t="s">
        <v>37</v>
      </c>
      <c r="R493" t="s">
        <v>28</v>
      </c>
      <c r="S493" t="s">
        <v>20</v>
      </c>
      <c r="U493">
        <v>20</v>
      </c>
      <c r="V493" t="s">
        <v>58</v>
      </c>
    </row>
    <row r="494" spans="1:22">
      <c r="A494" t="s">
        <v>1027</v>
      </c>
      <c r="B494" t="s">
        <v>1028</v>
      </c>
      <c r="C494">
        <v>23</v>
      </c>
      <c r="D494" t="s">
        <v>25</v>
      </c>
      <c r="E494" t="s">
        <v>17</v>
      </c>
      <c r="F494" t="s">
        <v>31</v>
      </c>
      <c r="G494" t="s">
        <v>43</v>
      </c>
      <c r="H494" t="s">
        <v>1060</v>
      </c>
      <c r="I494">
        <v>28000</v>
      </c>
      <c r="J494">
        <v>12</v>
      </c>
      <c r="K494">
        <v>2</v>
      </c>
      <c r="L494">
        <v>2</v>
      </c>
      <c r="N494">
        <v>85</v>
      </c>
      <c r="O494">
        <v>10</v>
      </c>
      <c r="P494">
        <v>1</v>
      </c>
      <c r="Q494" t="s">
        <v>37</v>
      </c>
      <c r="R494" t="s">
        <v>19</v>
      </c>
      <c r="S494" t="s">
        <v>20</v>
      </c>
      <c r="T494">
        <v>10</v>
      </c>
      <c r="V494" t="s">
        <v>39</v>
      </c>
    </row>
    <row r="495" spans="1:22">
      <c r="A495" t="s">
        <v>1029</v>
      </c>
      <c r="B495" t="s">
        <v>1030</v>
      </c>
      <c r="C495">
        <v>28</v>
      </c>
      <c r="D495" t="s">
        <v>16</v>
      </c>
      <c r="E495" t="s">
        <v>61</v>
      </c>
      <c r="F495" t="s">
        <v>42</v>
      </c>
      <c r="G495" t="s">
        <v>1045</v>
      </c>
      <c r="H495" t="s">
        <v>1060</v>
      </c>
      <c r="I495">
        <v>77000</v>
      </c>
      <c r="J495">
        <v>12</v>
      </c>
      <c r="K495">
        <v>5</v>
      </c>
      <c r="L495">
        <v>2</v>
      </c>
      <c r="N495">
        <v>95</v>
      </c>
      <c r="O495">
        <v>15</v>
      </c>
      <c r="P495">
        <v>2</v>
      </c>
      <c r="Q495" t="s">
        <v>37</v>
      </c>
      <c r="R495" t="s">
        <v>38</v>
      </c>
      <c r="S495" t="s">
        <v>20</v>
      </c>
      <c r="T495">
        <v>10</v>
      </c>
      <c r="U495">
        <v>20</v>
      </c>
      <c r="V495" t="s">
        <v>39</v>
      </c>
    </row>
    <row r="496" spans="1:22">
      <c r="A496" t="s">
        <v>1031</v>
      </c>
      <c r="B496" t="s">
        <v>1032</v>
      </c>
      <c r="C496">
        <v>25</v>
      </c>
      <c r="D496" t="s">
        <v>34</v>
      </c>
      <c r="E496" t="s">
        <v>50</v>
      </c>
      <c r="F496" t="s">
        <v>31</v>
      </c>
      <c r="G496" t="s">
        <v>43</v>
      </c>
      <c r="H496" t="s">
        <v>1060</v>
      </c>
      <c r="I496">
        <v>24000</v>
      </c>
      <c r="J496">
        <v>12</v>
      </c>
      <c r="K496">
        <v>1</v>
      </c>
      <c r="L496">
        <v>2</v>
      </c>
      <c r="N496">
        <v>85</v>
      </c>
      <c r="O496">
        <v>10</v>
      </c>
      <c r="P496">
        <v>5</v>
      </c>
      <c r="Q496" t="s">
        <v>37</v>
      </c>
      <c r="R496" t="s">
        <v>19</v>
      </c>
      <c r="S496" t="s">
        <v>20</v>
      </c>
      <c r="T496">
        <v>10</v>
      </c>
      <c r="U496">
        <v>30</v>
      </c>
      <c r="V496" t="s">
        <v>39</v>
      </c>
    </row>
    <row r="497" spans="1:22">
      <c r="A497" t="s">
        <v>1033</v>
      </c>
      <c r="B497" t="s">
        <v>1034</v>
      </c>
      <c r="C497">
        <v>25</v>
      </c>
      <c r="D497" t="s">
        <v>25</v>
      </c>
      <c r="E497" t="s">
        <v>47</v>
      </c>
      <c r="F497" t="s">
        <v>18</v>
      </c>
      <c r="G497" t="s">
        <v>43</v>
      </c>
      <c r="H497" t="s">
        <v>1060</v>
      </c>
      <c r="I497">
        <v>19500</v>
      </c>
      <c r="J497">
        <v>12</v>
      </c>
      <c r="K497">
        <v>1</v>
      </c>
      <c r="L497">
        <v>1</v>
      </c>
      <c r="N497">
        <v>80</v>
      </c>
      <c r="O497">
        <v>15</v>
      </c>
      <c r="P497">
        <v>3</v>
      </c>
      <c r="Q497" t="s">
        <v>37</v>
      </c>
      <c r="R497" t="s">
        <v>38</v>
      </c>
      <c r="S497" t="s">
        <v>20</v>
      </c>
      <c r="T497">
        <v>20</v>
      </c>
      <c r="U497">
        <v>20</v>
      </c>
      <c r="V497" t="s">
        <v>39</v>
      </c>
    </row>
    <row r="498" spans="1:22">
      <c r="A498" t="s">
        <v>1035</v>
      </c>
      <c r="B498" t="s">
        <v>1036</v>
      </c>
      <c r="C498">
        <v>24</v>
      </c>
      <c r="D498" t="s">
        <v>25</v>
      </c>
      <c r="E498" t="s">
        <v>17</v>
      </c>
      <c r="F498" t="s">
        <v>27</v>
      </c>
      <c r="G498" t="s">
        <v>43</v>
      </c>
      <c r="H498" t="s">
        <v>1059</v>
      </c>
      <c r="I498">
        <v>28000</v>
      </c>
      <c r="J498">
        <v>12</v>
      </c>
      <c r="K498">
        <v>2</v>
      </c>
      <c r="L498">
        <v>5</v>
      </c>
      <c r="M498">
        <v>20000</v>
      </c>
      <c r="N498">
        <v>95</v>
      </c>
      <c r="O498">
        <v>5</v>
      </c>
      <c r="P498">
        <v>2</v>
      </c>
      <c r="Q498" t="s">
        <v>37</v>
      </c>
      <c r="R498" t="s">
        <v>28</v>
      </c>
      <c r="S498" t="s">
        <v>20</v>
      </c>
      <c r="T498">
        <v>5</v>
      </c>
      <c r="U498">
        <v>10</v>
      </c>
      <c r="V498" t="s">
        <v>58</v>
      </c>
    </row>
    <row r="499" spans="1:22">
      <c r="A499" t="s">
        <v>1037</v>
      </c>
      <c r="B499" t="s">
        <v>1038</v>
      </c>
      <c r="C499">
        <v>24</v>
      </c>
      <c r="E499" t="s">
        <v>17</v>
      </c>
      <c r="F499" t="s">
        <v>18</v>
      </c>
      <c r="G499" t="s">
        <v>43</v>
      </c>
      <c r="H499" t="s">
        <v>1060</v>
      </c>
      <c r="I499">
        <v>19800</v>
      </c>
      <c r="J499">
        <v>12</v>
      </c>
      <c r="K499">
        <v>1</v>
      </c>
      <c r="L499">
        <v>4</v>
      </c>
      <c r="M499">
        <v>16000</v>
      </c>
      <c r="N499">
        <v>85</v>
      </c>
      <c r="O499">
        <v>5</v>
      </c>
      <c r="P499">
        <v>6</v>
      </c>
      <c r="Q499" t="s">
        <v>21</v>
      </c>
      <c r="R499" t="s">
        <v>38</v>
      </c>
      <c r="S499" t="s">
        <v>20</v>
      </c>
      <c r="T499">
        <v>20</v>
      </c>
      <c r="U499">
        <v>30</v>
      </c>
      <c r="V499" t="s">
        <v>22</v>
      </c>
    </row>
    <row r="500" spans="1:22">
      <c r="A500" t="s">
        <v>1039</v>
      </c>
      <c r="B500" t="s">
        <v>1040</v>
      </c>
      <c r="C500">
        <v>23</v>
      </c>
      <c r="D500" t="s">
        <v>34</v>
      </c>
      <c r="E500" t="s">
        <v>17</v>
      </c>
      <c r="F500" t="s">
        <v>66</v>
      </c>
      <c r="G500" t="s">
        <v>43</v>
      </c>
      <c r="H500" t="s">
        <v>1060</v>
      </c>
      <c r="I500">
        <v>28000</v>
      </c>
      <c r="J500">
        <v>12</v>
      </c>
      <c r="K500">
        <v>2</v>
      </c>
      <c r="L500">
        <v>2</v>
      </c>
      <c r="N500">
        <v>85</v>
      </c>
      <c r="O500">
        <v>5</v>
      </c>
      <c r="P500">
        <v>3</v>
      </c>
      <c r="Q500" t="s">
        <v>21</v>
      </c>
      <c r="R500" t="s">
        <v>38</v>
      </c>
      <c r="S500" t="s">
        <v>20</v>
      </c>
      <c r="T500">
        <v>20</v>
      </c>
      <c r="U500">
        <v>20</v>
      </c>
      <c r="V500" t="s">
        <v>39</v>
      </c>
    </row>
    <row r="501" spans="1:22">
      <c r="A501" t="s">
        <v>1041</v>
      </c>
      <c r="B501" t="s">
        <v>1042</v>
      </c>
      <c r="C501">
        <v>24</v>
      </c>
      <c r="D501" t="s">
        <v>25</v>
      </c>
      <c r="E501" t="s">
        <v>50</v>
      </c>
      <c r="F501" t="s">
        <v>18</v>
      </c>
      <c r="G501" t="s">
        <v>43</v>
      </c>
      <c r="H501" t="s">
        <v>1060</v>
      </c>
      <c r="I501">
        <v>19800</v>
      </c>
      <c r="J501">
        <v>12</v>
      </c>
      <c r="K501">
        <v>1</v>
      </c>
      <c r="L501">
        <v>1</v>
      </c>
      <c r="N501">
        <v>88</v>
      </c>
      <c r="O501">
        <v>15</v>
      </c>
      <c r="P501">
        <v>5</v>
      </c>
      <c r="Q501" t="s">
        <v>37</v>
      </c>
      <c r="R501" t="s">
        <v>38</v>
      </c>
      <c r="S501" t="s">
        <v>20</v>
      </c>
      <c r="V501" t="s">
        <v>39</v>
      </c>
    </row>
    <row r="502" spans="1:22">
      <c r="A502" t="s">
        <v>1043</v>
      </c>
      <c r="B502" t="s">
        <v>1044</v>
      </c>
      <c r="C502">
        <v>20</v>
      </c>
      <c r="D502" t="s">
        <v>46</v>
      </c>
      <c r="E502" t="s">
        <v>47</v>
      </c>
      <c r="F502" t="s">
        <v>66</v>
      </c>
      <c r="G502" t="s">
        <v>1046</v>
      </c>
      <c r="H502" t="s">
        <v>1060</v>
      </c>
      <c r="I502">
        <v>20000</v>
      </c>
      <c r="J502">
        <v>12</v>
      </c>
      <c r="K502">
        <v>1</v>
      </c>
      <c r="L502">
        <v>1</v>
      </c>
      <c r="N502">
        <v>95</v>
      </c>
      <c r="O502">
        <v>10</v>
      </c>
      <c r="P502">
        <v>5</v>
      </c>
      <c r="Q502" t="s">
        <v>37</v>
      </c>
      <c r="R502" t="s">
        <v>19</v>
      </c>
      <c r="S502" t="s">
        <v>20</v>
      </c>
      <c r="U502">
        <v>20</v>
      </c>
      <c r="V502"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89870-2E06-4C26-B1E2-81BF32861442}">
  <dimension ref="A1:C7"/>
  <sheetViews>
    <sheetView workbookViewId="0"/>
  </sheetViews>
  <sheetFormatPr defaultRowHeight="14.5"/>
  <cols>
    <col min="1" max="1" width="16.08984375" bestFit="1" customWidth="1"/>
    <col min="3" max="3" width="14.90625" bestFit="1" customWidth="1"/>
  </cols>
  <sheetData>
    <row r="1" spans="1:3">
      <c r="A1" s="6" t="s">
        <v>3</v>
      </c>
      <c r="B1" s="6" t="s">
        <v>12</v>
      </c>
      <c r="C1" s="6" t="s">
        <v>14</v>
      </c>
    </row>
    <row r="2" spans="1:3">
      <c r="A2" s="5" t="s">
        <v>27</v>
      </c>
      <c r="B2" s="5" t="s">
        <v>20</v>
      </c>
      <c r="C2" s="5">
        <v>12</v>
      </c>
    </row>
    <row r="3" spans="1:3">
      <c r="A3" s="5" t="s">
        <v>31</v>
      </c>
      <c r="B3" s="5" t="s">
        <v>33</v>
      </c>
      <c r="C3" s="5">
        <v>13</v>
      </c>
    </row>
    <row r="4" spans="1:3">
      <c r="A4" s="5" t="s">
        <v>42</v>
      </c>
      <c r="B4" s="5" t="s">
        <v>20</v>
      </c>
      <c r="C4" s="5">
        <v>14</v>
      </c>
    </row>
    <row r="5" spans="1:3">
      <c r="A5" s="5" t="s">
        <v>36</v>
      </c>
      <c r="B5" s="5" t="s">
        <v>20</v>
      </c>
      <c r="C5" s="5">
        <v>25</v>
      </c>
    </row>
    <row r="6" spans="1:3">
      <c r="A6" s="5" t="s">
        <v>18</v>
      </c>
      <c r="B6" s="5" t="s">
        <v>20</v>
      </c>
      <c r="C6" s="5">
        <v>10</v>
      </c>
    </row>
    <row r="7" spans="1:3">
      <c r="A7" s="5" t="s">
        <v>66</v>
      </c>
      <c r="B7" s="5" t="s">
        <v>33</v>
      </c>
      <c r="C7" s="5">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F145C-8F3B-4E9E-870D-033C8104AFC2}">
  <sheetPr>
    <tabColor rgb="FF0070C0"/>
  </sheetPr>
  <dimension ref="A1:AI502"/>
  <sheetViews>
    <sheetView zoomScale="79" zoomScaleNormal="175" workbookViewId="0"/>
  </sheetViews>
  <sheetFormatPr defaultRowHeight="14.5"/>
  <cols>
    <col min="1" max="1" width="10" bestFit="1" customWidth="1"/>
    <col min="2" max="2" width="19.90625" bestFit="1" customWidth="1"/>
    <col min="4" max="4" width="9.1796875" customWidth="1"/>
    <col min="5" max="5" width="14.90625" bestFit="1" customWidth="1"/>
    <col min="7" max="7" width="13.26953125" customWidth="1"/>
    <col min="9" max="9" width="10.453125" customWidth="1"/>
    <col min="10" max="10" width="16.26953125" bestFit="1" customWidth="1"/>
    <col min="11" max="11" width="16.26953125" customWidth="1"/>
    <col min="12" max="12" width="13.81640625" customWidth="1"/>
    <col min="13" max="13" width="19.6328125" bestFit="1" customWidth="1"/>
    <col min="14" max="14" width="15.81640625" bestFit="1" customWidth="1"/>
    <col min="15" max="15" width="12.1796875" bestFit="1" customWidth="1"/>
    <col min="16" max="16" width="17.81640625" customWidth="1"/>
    <col min="17" max="17" width="20.90625" bestFit="1" customWidth="1"/>
    <col min="19" max="19" width="13.36328125" bestFit="1" customWidth="1"/>
    <col min="20" max="20" width="15.36328125" customWidth="1"/>
    <col min="21" max="21" width="14.7265625" customWidth="1"/>
    <col min="22" max="22" width="18" customWidth="1"/>
    <col min="23" max="23" width="18.36328125" customWidth="1"/>
    <col min="24" max="24" width="13.54296875" customWidth="1"/>
    <col min="25" max="25" width="19.36328125" bestFit="1" customWidth="1"/>
    <col min="26" max="26" width="17" customWidth="1"/>
    <col min="27" max="27" width="16.36328125" bestFit="1" customWidth="1"/>
    <col min="28" max="28" width="14" bestFit="1" customWidth="1"/>
    <col min="29" max="29" width="18.08984375" bestFit="1" customWidth="1"/>
    <col min="30" max="30" width="120.453125" customWidth="1"/>
    <col min="31" max="31" width="18.90625" bestFit="1" customWidth="1"/>
    <col min="32" max="32" width="16.1796875" customWidth="1"/>
    <col min="33" max="33" width="11.453125" bestFit="1" customWidth="1"/>
    <col min="35" max="35" width="16.08984375" bestFit="1" customWidth="1"/>
  </cols>
  <sheetData>
    <row r="1" spans="1:35">
      <c r="A1" t="s">
        <v>1061</v>
      </c>
      <c r="B1" t="s">
        <v>1062</v>
      </c>
      <c r="C1" t="s">
        <v>0</v>
      </c>
      <c r="D1" s="1" t="s">
        <v>1</v>
      </c>
      <c r="E1" s="3" t="s">
        <v>1068</v>
      </c>
      <c r="F1" t="s">
        <v>2</v>
      </c>
      <c r="G1" t="s">
        <v>3</v>
      </c>
      <c r="H1" t="s">
        <v>4</v>
      </c>
      <c r="I1" s="1" t="s">
        <v>1058</v>
      </c>
      <c r="J1" s="3" t="s">
        <v>1071</v>
      </c>
      <c r="K1" t="s">
        <v>1052</v>
      </c>
      <c r="L1" s="1" t="s">
        <v>1053</v>
      </c>
      <c r="M1" s="3" t="s">
        <v>1069</v>
      </c>
      <c r="N1" s="3" t="s">
        <v>1075</v>
      </c>
      <c r="O1" s="1" t="s">
        <v>1072</v>
      </c>
      <c r="P1" s="3" t="s">
        <v>1073</v>
      </c>
      <c r="Q1" t="s">
        <v>5</v>
      </c>
      <c r="R1" s="1" t="s">
        <v>6</v>
      </c>
      <c r="S1" s="3" t="s">
        <v>1070</v>
      </c>
      <c r="T1" t="s">
        <v>7</v>
      </c>
      <c r="U1" t="s">
        <v>8</v>
      </c>
      <c r="V1" t="s">
        <v>9</v>
      </c>
      <c r="W1" t="s">
        <v>10</v>
      </c>
      <c r="X1" t="s">
        <v>11</v>
      </c>
      <c r="Y1" s="3" t="s">
        <v>1074</v>
      </c>
      <c r="Z1" s="9" t="s">
        <v>13</v>
      </c>
      <c r="AA1" s="3" t="s">
        <v>1076</v>
      </c>
      <c r="AB1" t="s">
        <v>15</v>
      </c>
      <c r="AC1" s="4" t="s">
        <v>1063</v>
      </c>
      <c r="AD1" s="4" t="s">
        <v>1065</v>
      </c>
      <c r="AE1" s="4" t="s">
        <v>1066</v>
      </c>
      <c r="AF1" s="4" t="s">
        <v>1067</v>
      </c>
      <c r="AG1" s="3" t="s">
        <v>1064</v>
      </c>
      <c r="AH1" s="3" t="s">
        <v>12</v>
      </c>
      <c r="AI1" s="7" t="s">
        <v>14</v>
      </c>
    </row>
    <row r="2" spans="1:35">
      <c r="A2" t="s">
        <v>23</v>
      </c>
      <c r="B2" t="s">
        <v>24</v>
      </c>
      <c r="C2">
        <v>44</v>
      </c>
      <c r="D2" t="s">
        <v>25</v>
      </c>
      <c r="E2" t="str">
        <f>IF(OR(Table2[[#This Row],[Gender]]="Male",Table2[[#This Row],[Gender]]="M"),"M",
IF(OR(Table2[[#This Row],[Gender]]="Female",Table2[[#This Row],[Gender]]="F"),"F",""))</f>
        <v>F</v>
      </c>
      <c r="F2" t="s">
        <v>26</v>
      </c>
      <c r="G2" t="s">
        <v>27</v>
      </c>
      <c r="H2" t="s">
        <v>1049</v>
      </c>
      <c r="I2" t="s">
        <v>1060</v>
      </c>
      <c r="J2" t="str">
        <f>IF(ISNUMBER(SEARCH("India",Table2[[#This Row],[Emp_Name]])),"INR",
IF(ISNUMBER(SEARCH("Foreign",Table2[[#This Row],[Emp_Name]])),Table2[[#This Row],[Currency]],Table2[[#This Row],[Currency]]))</f>
        <v>INR</v>
      </c>
      <c r="K2">
        <v>99000</v>
      </c>
      <c r="L2">
        <v>12</v>
      </c>
      <c r="M2">
        <f>IF(Table2[[#This Row],[Num_Month]]&lt;&gt;12,12,Table2[[#This Row],[Num_Month]])</f>
        <v>12</v>
      </c>
      <c r="N2">
        <f>IF(Table2[[#This Row],[Monthly_Salary]]="","",Table2[[#This Row],[Monthly_Salary]]*Table2[[#This Row],[Num_Month_Final]])</f>
        <v>1188000</v>
      </c>
      <c r="O2">
        <v>11</v>
      </c>
      <c r="P2">
        <f>IF(Table2[[#This Row],[Exp_Years]]&lt;0,ABS(Table2[[#This Row],[Exp_Years]]),Table2[[#This Row],[Exp_Years]])</f>
        <v>11</v>
      </c>
      <c r="Q2">
        <v>4</v>
      </c>
      <c r="R2">
        <v>59000</v>
      </c>
      <c r="S2">
        <f>IF(Table2[[#This Row],[Performance_Rating]]&gt;=3,Table2[[#This Row],[Monthly_Salary]]*0.3,"")</f>
        <v>29700</v>
      </c>
      <c r="T2">
        <v>90</v>
      </c>
      <c r="U2">
        <v>15</v>
      </c>
      <c r="V2">
        <v>3</v>
      </c>
      <c r="X2" t="s">
        <v>38</v>
      </c>
      <c r="Y2" t="str">
        <f>IF(Table2[[#This Row],[Work_Mode]]&lt;&gt;"",Table2[[#This Row],[Work_Mode]],
IF(ISNUMBER(SEARCH("India",Table2[[#This Row],[Emp_Name]])),"Office",
IF(ISNUMBER(SEARCH("Foreign",Table2[[#This Row],[Emp_Name]])),"Remote","")))</f>
        <v>Hybrid</v>
      </c>
      <c r="AA2"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2" t="s">
        <v>22</v>
      </c>
      <c r="AC2" t="str">
        <f>IF(COUNTIF(Table2[Emp_ID],Table2[[#This Row],[Emp_ID]])&gt;1,"Duplicate","Unique")</f>
        <v>Unique</v>
      </c>
      <c r="AD2" t="str">
        <f>_xlfn.TEXTJOIN("|",TRUE,Table2[[#This Row],[Emp_ID]:[Salary_Band]])</f>
        <v>ZOM1328|Employee_328_India|44|F|F|Bangalore|Customer Support|Director|INR|INR|99000|12|12|1188000|11|11|4|59000|29700|90|15|3|Hybrid|Hybrid|Medium</v>
      </c>
      <c r="AE2" s="2" t="str">
        <f>IF(COUNTIFS(Table2[Emp_ID],Table2[[#This Row],[Emp_ID]],Table2[Row_Concat],Table2[[#This Row],[Row_Concat]])&gt;1,"Exact Duplicate",
IF(COUNTIF(Table2[Emp_ID],Table2[[#This Row],[Emp_ID]])&gt;1,"Mismatch","Unique"))</f>
        <v>Unique</v>
      </c>
      <c r="AF2">
        <f>ROW()</f>
        <v>2</v>
      </c>
      <c r="AG2" t="str">
        <f>IF(Table2[[#This Row],[Monthly_Salary]]="","Exclude",
IF(Table2[[#This Row],[Row_Status]]="Mismatch","Exclude",
IF(AND(Table2[[#This Row],[Row_Status]]="Exact Duplicate",
COUNTIFS(Table2[Emp_ID],Table2[[#This Row],[Emp_ID]],Table2[Row_Concat],Table2[[#This Row],[Row_Concat]],
Table2[Row_Number],"&lt;"&amp;Table2[[#This Row],[Row_Number]])&gt;=1),"Delete","")))</f>
        <v/>
      </c>
      <c r="AH2" t="str">
        <f>VLOOKUP(Table2[[#This Row],[Department]],Raw_2!A:B,2,0)</f>
        <v>Day</v>
      </c>
      <c r="AI2">
        <f>VLOOKUP(Table2[[#This Row],[Department]],Raw_2!A:C,3,0)</f>
        <v>12</v>
      </c>
    </row>
    <row r="3" spans="1:35">
      <c r="A3" t="s">
        <v>29</v>
      </c>
      <c r="B3" t="s">
        <v>30</v>
      </c>
      <c r="C3">
        <v>24</v>
      </c>
      <c r="D3" t="s">
        <v>25</v>
      </c>
      <c r="E3" t="str">
        <f>IF(OR(Table2[[#This Row],[Gender]]="Male",Table2[[#This Row],[Gender]]="M"),"M",
IF(OR(Table2[[#This Row],[Gender]]="Female",Table2[[#This Row],[Gender]]="F"),"F",""))</f>
        <v>F</v>
      </c>
      <c r="F3" t="s">
        <v>26</v>
      </c>
      <c r="G3" t="s">
        <v>31</v>
      </c>
      <c r="H3" t="s">
        <v>1045</v>
      </c>
      <c r="I3" t="s">
        <v>1060</v>
      </c>
      <c r="J3" t="str">
        <f>IF(ISNUMBER(SEARCH("India",Table2[[#This Row],[Emp_Name]])),"INR",
IF(ISNUMBER(SEARCH("Foreign",Table2[[#This Row],[Emp_Name]])),Table2[[#This Row],[Currency]],Table2[[#This Row],[Currency]]))</f>
        <v>INR</v>
      </c>
      <c r="K3">
        <v>70500</v>
      </c>
      <c r="L3">
        <v>12</v>
      </c>
      <c r="M3">
        <f>IF(Table2[[#This Row],[Num_Month]]&lt;&gt;12,12,Table2[[#This Row],[Num_Month]])</f>
        <v>12</v>
      </c>
      <c r="N3">
        <f>IF(Table2[[#This Row],[Monthly_Salary]]="","",Table2[[#This Row],[Monthly_Salary]]*Table2[[#This Row],[Num_Month_Final]])</f>
        <v>846000</v>
      </c>
      <c r="O3">
        <v>7</v>
      </c>
      <c r="P3">
        <f>IF(Table2[[#This Row],[Exp_Years]]&lt;0,ABS(Table2[[#This Row],[Exp_Years]]),Table2[[#This Row],[Exp_Years]])</f>
        <v>7</v>
      </c>
      <c r="Q3">
        <v>4</v>
      </c>
      <c r="R3">
        <v>10871</v>
      </c>
      <c r="S3">
        <f>IF(Table2[[#This Row],[Performance_Rating]]&gt;=3,Table2[[#This Row],[Monthly_Salary]]*0.3,"")</f>
        <v>21150</v>
      </c>
      <c r="T3">
        <v>80</v>
      </c>
      <c r="U3">
        <v>5</v>
      </c>
      <c r="V3">
        <v>5</v>
      </c>
      <c r="X3" t="s">
        <v>38</v>
      </c>
      <c r="Y3" t="str">
        <f>IF(Table2[[#This Row],[Work_Mode]]&lt;&gt;"",Table2[[#This Row],[Work_Mode]],
IF(ISNUMBER(SEARCH("India",Table2[[#This Row],[Emp_Name]])),"Office",
IF(ISNUMBER(SEARCH("Foreign",Table2[[#This Row],[Emp_Name]])),"Remote","")))</f>
        <v>Hybrid</v>
      </c>
      <c r="Z3">
        <v>5</v>
      </c>
      <c r="AA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3" t="s">
        <v>22</v>
      </c>
      <c r="AC3" t="str">
        <f>IF(COUNTIF(Table2[Emp_ID],Table2[[#This Row],[Emp_ID]])&gt;1,"Duplicate","Unique")</f>
        <v>Unique</v>
      </c>
      <c r="AD3" t="str">
        <f>_xlfn.TEXTJOIN("|",TRUE,Table2[[#This Row],[Emp_ID]:[Salary_Band]])</f>
        <v>ZOM1042|Employee_42_India|24|F|F|Bangalore|Logistics|Lead Analyst|INR|INR|70500|12|12|846000|7|7|4|10871|21150|80|5|5|Hybrid|Hybrid|5|1500|Medium</v>
      </c>
      <c r="AE3" s="2" t="str">
        <f>IF(COUNTIFS(Table2[Emp_ID],Table2[[#This Row],[Emp_ID]],Table2[Row_Concat],Table2[[#This Row],[Row_Concat]])&gt;1,"Exact Duplicate",
IF(COUNTIF(Table2[Emp_ID],Table2[[#This Row],[Emp_ID]])&gt;1,"Mismatch","Unique"))</f>
        <v>Unique</v>
      </c>
      <c r="AF3">
        <f>ROW()</f>
        <v>3</v>
      </c>
      <c r="AG3" t="str">
        <f>IF(Table2[[#This Row],[Monthly_Salary]]="","Exclude",
IF(Table2[[#This Row],[Row_Status]]="Mismatch","Exclude",
IF(AND(Table2[[#This Row],[Row_Status]]="Exact Duplicate",
COUNTIFS(Table2[Emp_ID],Table2[[#This Row],[Emp_ID]],Table2[Row_Concat],Table2[[#This Row],[Row_Concat]],
Table2[Row_Number],"&lt;"&amp;Table2[[#This Row],[Row_Number]])&gt;=1),"Delete","")))</f>
        <v/>
      </c>
      <c r="AH3" t="str">
        <f>VLOOKUP(Table2[[#This Row],[Department]],Raw_2!A:B,2,0)</f>
        <v>Night</v>
      </c>
      <c r="AI3">
        <f>VLOOKUP(Table2[[#This Row],[Department]],Raw_2!A:C,3,0)</f>
        <v>13</v>
      </c>
    </row>
    <row r="4" spans="1:35">
      <c r="A4" t="s">
        <v>40</v>
      </c>
      <c r="B4" t="s">
        <v>41</v>
      </c>
      <c r="C4">
        <v>25</v>
      </c>
      <c r="E4" t="str">
        <f>IF(OR(Table2[[#This Row],[Gender]]="Male",Table2[[#This Row],[Gender]]="M"),"M",
IF(OR(Table2[[#This Row],[Gender]]="Female",Table2[[#This Row],[Gender]]="F"),"F",""))</f>
        <v/>
      </c>
      <c r="F4" t="s">
        <v>17</v>
      </c>
      <c r="G4" t="s">
        <v>42</v>
      </c>
      <c r="H4" t="s">
        <v>51</v>
      </c>
      <c r="I4" t="s">
        <v>1060</v>
      </c>
      <c r="J4" t="str">
        <f>IF(ISNUMBER(SEARCH("India",Table2[[#This Row],[Emp_Name]])),"INR",
IF(ISNUMBER(SEARCH("Foreign",Table2[[#This Row],[Emp_Name]])),Table2[[#This Row],[Currency]],Table2[[#This Row],[Currency]]))</f>
        <v>INR</v>
      </c>
      <c r="K4">
        <v>36000</v>
      </c>
      <c r="L4">
        <v>12</v>
      </c>
      <c r="M4">
        <f>IF(Table2[[#This Row],[Num_Month]]&lt;&gt;12,12,Table2[[#This Row],[Num_Month]])</f>
        <v>12</v>
      </c>
      <c r="N4">
        <f>IF(Table2[[#This Row],[Monthly_Salary]]="","",Table2[[#This Row],[Monthly_Salary]]*Table2[[#This Row],[Num_Month_Final]])</f>
        <v>432000</v>
      </c>
      <c r="O4">
        <v>3</v>
      </c>
      <c r="P4">
        <f>IF(Table2[[#This Row],[Exp_Years]]&lt;0,ABS(Table2[[#This Row],[Exp_Years]]),Table2[[#This Row],[Exp_Years]])</f>
        <v>3</v>
      </c>
      <c r="Q4">
        <v>3</v>
      </c>
      <c r="R4">
        <v>10000</v>
      </c>
      <c r="S4">
        <f>IF(Table2[[#This Row],[Performance_Rating]]&gt;=3,Table2[[#This Row],[Monthly_Salary]]*0.3,"")</f>
        <v>10800</v>
      </c>
      <c r="T4">
        <v>90</v>
      </c>
      <c r="U4">
        <v>5</v>
      </c>
      <c r="V4">
        <v>1</v>
      </c>
      <c r="W4" t="s">
        <v>21</v>
      </c>
      <c r="X4" t="s">
        <v>38</v>
      </c>
      <c r="Y4" t="str">
        <f>IF(Table2[[#This Row],[Work_Mode]]&lt;&gt;"",Table2[[#This Row],[Work_Mode]],
IF(ISNUMBER(SEARCH("India",Table2[[#This Row],[Emp_Name]])),"Office",
IF(ISNUMBER(SEARCH("Foreign",Table2[[#This Row],[Emp_Name]])),"Remote","")))</f>
        <v>Hybrid</v>
      </c>
      <c r="Z4">
        <v>10</v>
      </c>
      <c r="AA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4" t="s">
        <v>22</v>
      </c>
      <c r="AC4" t="str">
        <f>IF(COUNTIF(Table2[Emp_ID],Table2[[#This Row],[Emp_ID]])&gt;1,"Duplicate","Unique")</f>
        <v>Unique</v>
      </c>
      <c r="AD4" t="str">
        <f>_xlfn.TEXTJOIN("|",TRUE,Table2[[#This Row],[Emp_ID]:[Salary_Band]])</f>
        <v>ZOM1377|Employee_377_India|25|Pune|Operations|Senior Analyst|INR|INR|36000|12|12|432000|3|3|3|10000|10800|90|5|1|No|Hybrid|Hybrid|10|3000|Medium</v>
      </c>
      <c r="AE4" s="2" t="str">
        <f>IF(COUNTIFS(Table2[Emp_ID],Table2[[#This Row],[Emp_ID]],Table2[Row_Concat],Table2[[#This Row],[Row_Concat]])&gt;1,"Exact Duplicate",
IF(COUNTIF(Table2[Emp_ID],Table2[[#This Row],[Emp_ID]])&gt;1,"Mismatch","Unique"))</f>
        <v>Unique</v>
      </c>
      <c r="AF4">
        <f>ROW()</f>
        <v>4</v>
      </c>
      <c r="AG4" t="str">
        <f>IF(Table2[[#This Row],[Monthly_Salary]]="","Exclude",
IF(Table2[[#This Row],[Row_Status]]="Mismatch","Exclude",
IF(AND(Table2[[#This Row],[Row_Status]]="Exact Duplicate",
COUNTIFS(Table2[Emp_ID],Table2[[#This Row],[Emp_ID]],Table2[Row_Concat],Table2[[#This Row],[Row_Concat]],
Table2[Row_Number],"&lt;"&amp;Table2[[#This Row],[Row_Number]])&gt;=1),"Delete","")))</f>
        <v/>
      </c>
      <c r="AH4" t="str">
        <f>VLOOKUP(Table2[[#This Row],[Department]],Raw_2!A:B,2,0)</f>
        <v>Day</v>
      </c>
      <c r="AI4">
        <f>VLOOKUP(Table2[[#This Row],[Department]],Raw_2!A:C,3,0)</f>
        <v>14</v>
      </c>
    </row>
    <row r="5" spans="1:35">
      <c r="A5" t="s">
        <v>44</v>
      </c>
      <c r="B5" t="s">
        <v>45</v>
      </c>
      <c r="C5">
        <v>27</v>
      </c>
      <c r="D5" t="s">
        <v>46</v>
      </c>
      <c r="E5" t="str">
        <f>IF(OR(Table2[[#This Row],[Gender]]="Male",Table2[[#This Row],[Gender]]="M"),"M",
IF(OR(Table2[[#This Row],[Gender]]="Female",Table2[[#This Row],[Gender]]="F"),"F",""))</f>
        <v>M</v>
      </c>
      <c r="F5" t="s">
        <v>47</v>
      </c>
      <c r="G5" t="s">
        <v>31</v>
      </c>
      <c r="H5" t="s">
        <v>51</v>
      </c>
      <c r="I5" t="s">
        <v>1060</v>
      </c>
      <c r="J5" t="str">
        <f>IF(ISNUMBER(SEARCH("India",Table2[[#This Row],[Emp_Name]])),"INR",
IF(ISNUMBER(SEARCH("Foreign",Table2[[#This Row],[Emp_Name]])),Table2[[#This Row],[Currency]],Table2[[#This Row],[Currency]]))</f>
        <v>INR</v>
      </c>
      <c r="K5">
        <v>36000</v>
      </c>
      <c r="L5">
        <v>12</v>
      </c>
      <c r="M5">
        <f>IF(Table2[[#This Row],[Num_Month]]&lt;&gt;12,12,Table2[[#This Row],[Num_Month]])</f>
        <v>12</v>
      </c>
      <c r="N5">
        <f>IF(Table2[[#This Row],[Monthly_Salary]]="","",Table2[[#This Row],[Monthly_Salary]]*Table2[[#This Row],[Num_Month_Final]])</f>
        <v>432000</v>
      </c>
      <c r="O5">
        <v>3</v>
      </c>
      <c r="P5">
        <f>IF(Table2[[#This Row],[Exp_Years]]&lt;0,ABS(Table2[[#This Row],[Exp_Years]]),Table2[[#This Row],[Exp_Years]])</f>
        <v>3</v>
      </c>
      <c r="Q5">
        <v>3</v>
      </c>
      <c r="R5">
        <v>8000</v>
      </c>
      <c r="S5">
        <f>IF(Table2[[#This Row],[Performance_Rating]]&gt;=3,Table2[[#This Row],[Monthly_Salary]]*0.3,"")</f>
        <v>10800</v>
      </c>
      <c r="T5">
        <v>80</v>
      </c>
      <c r="U5">
        <v>5</v>
      </c>
      <c r="V5">
        <v>3</v>
      </c>
      <c r="Y5" t="str">
        <f>IF(Table2[[#This Row],[Work_Mode]]&lt;&gt;"",Table2[[#This Row],[Work_Mode]],
IF(ISNUMBER(SEARCH("India",Table2[[#This Row],[Emp_Name]])),"Office",
IF(ISNUMBER(SEARCH("Foreign",Table2[[#This Row],[Emp_Name]])),"Remote","")))</f>
        <v>Office</v>
      </c>
      <c r="Z5">
        <v>10</v>
      </c>
      <c r="AA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5" t="s">
        <v>22</v>
      </c>
      <c r="AC5" t="str">
        <f>IF(COUNTIF(Table2[Emp_ID],Table2[[#This Row],[Emp_ID]])&gt;1,"Duplicate","Unique")</f>
        <v>Unique</v>
      </c>
      <c r="AD5" t="str">
        <f>_xlfn.TEXTJOIN("|",TRUE,Table2[[#This Row],[Emp_ID]:[Salary_Band]])</f>
        <v>ZOM1076|Employee_76_India|27|M|M|Gurugram|Logistics|Senior Analyst|INR|INR|36000|12|12|432000|3|3|3|8000|10800|80|5|3|Office|10|3000|Medium</v>
      </c>
      <c r="AE5" s="2" t="str">
        <f>IF(COUNTIFS(Table2[Emp_ID],Table2[[#This Row],[Emp_ID]],Table2[Row_Concat],Table2[[#This Row],[Row_Concat]])&gt;1,"Exact Duplicate",
IF(COUNTIF(Table2[Emp_ID],Table2[[#This Row],[Emp_ID]])&gt;1,"Mismatch","Unique"))</f>
        <v>Unique</v>
      </c>
      <c r="AF5">
        <f>ROW()</f>
        <v>5</v>
      </c>
      <c r="AG5" t="str">
        <f>IF(Table2[[#This Row],[Monthly_Salary]]="","Exclude",
IF(Table2[[#This Row],[Row_Status]]="Mismatch","Exclude",
IF(AND(Table2[[#This Row],[Row_Status]]="Exact Duplicate",
COUNTIFS(Table2[Emp_ID],Table2[[#This Row],[Emp_ID]],Table2[Row_Concat],Table2[[#This Row],[Row_Concat]],
Table2[Row_Number],"&lt;"&amp;Table2[[#This Row],[Row_Number]])&gt;=1),"Delete","")))</f>
        <v/>
      </c>
      <c r="AH5" t="str">
        <f>VLOOKUP(Table2[[#This Row],[Department]],Raw_2!A:B,2,0)</f>
        <v>Night</v>
      </c>
      <c r="AI5">
        <f>VLOOKUP(Table2[[#This Row],[Department]],Raw_2!A:C,3,0)</f>
        <v>13</v>
      </c>
    </row>
    <row r="6" spans="1:35">
      <c r="A6" t="s">
        <v>48</v>
      </c>
      <c r="B6" t="s">
        <v>49</v>
      </c>
      <c r="C6">
        <v>27</v>
      </c>
      <c r="D6" t="s">
        <v>46</v>
      </c>
      <c r="E6" t="str">
        <f>IF(OR(Table2[[#This Row],[Gender]]="Male",Table2[[#This Row],[Gender]]="M"),"M",
IF(OR(Table2[[#This Row],[Gender]]="Female",Table2[[#This Row],[Gender]]="F"),"F",""))</f>
        <v>M</v>
      </c>
      <c r="F6" t="s">
        <v>50</v>
      </c>
      <c r="G6" t="s">
        <v>31</v>
      </c>
      <c r="H6" t="s">
        <v>51</v>
      </c>
      <c r="I6" t="s">
        <v>1060</v>
      </c>
      <c r="J6" t="str">
        <f>IF(ISNUMBER(SEARCH("India",Table2[[#This Row],[Emp_Name]])),"INR",
IF(ISNUMBER(SEARCH("Foreign",Table2[[#This Row],[Emp_Name]])),Table2[[#This Row],[Currency]],Table2[[#This Row],[Currency]]))</f>
        <v>INR</v>
      </c>
      <c r="K6">
        <v>49000</v>
      </c>
      <c r="L6">
        <v>12</v>
      </c>
      <c r="M6">
        <f>IF(Table2[[#This Row],[Num_Month]]&lt;&gt;12,12,Table2[[#This Row],[Num_Month]])</f>
        <v>12</v>
      </c>
      <c r="N6">
        <f>IF(Table2[[#This Row],[Monthly_Salary]]="","",Table2[[#This Row],[Monthly_Salary]]*Table2[[#This Row],[Num_Month_Final]])</f>
        <v>588000</v>
      </c>
      <c r="O6">
        <v>-4</v>
      </c>
      <c r="P6">
        <f>IF(Table2[[#This Row],[Exp_Years]]&lt;0,ABS(Table2[[#This Row],[Exp_Years]]),Table2[[#This Row],[Exp_Years]])</f>
        <v>4</v>
      </c>
      <c r="Q6">
        <v>2</v>
      </c>
      <c r="R6">
        <v>23300</v>
      </c>
      <c r="S6" t="str">
        <f>IF(Table2[[#This Row],[Performance_Rating]]&gt;=3,Table2[[#This Row],[Monthly_Salary]]*0.3,"")</f>
        <v/>
      </c>
      <c r="T6">
        <v>95</v>
      </c>
      <c r="U6">
        <v>5</v>
      </c>
      <c r="V6">
        <v>3</v>
      </c>
      <c r="W6" t="s">
        <v>37</v>
      </c>
      <c r="X6" t="s">
        <v>38</v>
      </c>
      <c r="Y6" t="str">
        <f>IF(Table2[[#This Row],[Work_Mode]]&lt;&gt;"",Table2[[#This Row],[Work_Mode]],
IF(ISNUMBER(SEARCH("India",Table2[[#This Row],[Emp_Name]])),"Office",
IF(ISNUMBER(SEARCH("Foreign",Table2[[#This Row],[Emp_Name]])),"Remote","")))</f>
        <v>Hybrid</v>
      </c>
      <c r="Z6">
        <v>5</v>
      </c>
      <c r="AA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6" t="s">
        <v>39</v>
      </c>
      <c r="AC6" t="str">
        <f>IF(COUNTIF(Table2[Emp_ID],Table2[[#This Row],[Emp_ID]])&gt;1,"Duplicate","Unique")</f>
        <v>Unique</v>
      </c>
      <c r="AD6" t="str">
        <f>_xlfn.TEXTJOIN("|",TRUE,Table2[[#This Row],[Emp_ID]:[Salary_Band]])</f>
        <v>ZOM1103|Employee_103_India|27|M|M|Delhi|Logistics|Senior Analyst|INR|INR|49000|12|12|588000|-4|4|2|23300|95|5|3|Yes|Hybrid|Hybrid|5|1500|Low</v>
      </c>
      <c r="AE6" s="2" t="str">
        <f>IF(COUNTIFS(Table2[Emp_ID],Table2[[#This Row],[Emp_ID]],Table2[Row_Concat],Table2[[#This Row],[Row_Concat]])&gt;1,"Exact Duplicate",
IF(COUNTIF(Table2[Emp_ID],Table2[[#This Row],[Emp_ID]])&gt;1,"Mismatch","Unique"))</f>
        <v>Unique</v>
      </c>
      <c r="AF6">
        <f>ROW()</f>
        <v>6</v>
      </c>
      <c r="AG6" t="str">
        <f>IF(Table2[[#This Row],[Monthly_Salary]]="","Exclude",
IF(Table2[[#This Row],[Row_Status]]="Mismatch","Exclude",
IF(AND(Table2[[#This Row],[Row_Status]]="Exact Duplicate",
COUNTIFS(Table2[Emp_ID],Table2[[#This Row],[Emp_ID]],Table2[Row_Concat],Table2[[#This Row],[Row_Concat]],
Table2[Row_Number],"&lt;"&amp;Table2[[#This Row],[Row_Number]])&gt;=1),"Delete","")))</f>
        <v/>
      </c>
      <c r="AH6" t="str">
        <f>VLOOKUP(Table2[[#This Row],[Department]],Raw_2!A:B,2,0)</f>
        <v>Night</v>
      </c>
      <c r="AI6">
        <f>VLOOKUP(Table2[[#This Row],[Department]],Raw_2!A:C,3,0)</f>
        <v>13</v>
      </c>
    </row>
    <row r="7" spans="1:35">
      <c r="A7" t="s">
        <v>52</v>
      </c>
      <c r="B7" t="s">
        <v>53</v>
      </c>
      <c r="C7">
        <v>27</v>
      </c>
      <c r="E7" t="str">
        <f>IF(OR(Table2[[#This Row],[Gender]]="Male",Table2[[#This Row],[Gender]]="M"),"M",
IF(OR(Table2[[#This Row],[Gender]]="Female",Table2[[#This Row],[Gender]]="F"),"F",""))</f>
        <v/>
      </c>
      <c r="F7" t="s">
        <v>50</v>
      </c>
      <c r="G7" t="s">
        <v>36</v>
      </c>
      <c r="H7" t="s">
        <v>51</v>
      </c>
      <c r="I7" t="s">
        <v>1060</v>
      </c>
      <c r="J7" t="str">
        <f>IF(ISNUMBER(SEARCH("India",Table2[[#This Row],[Emp_Name]])),"INR",
IF(ISNUMBER(SEARCH("Foreign",Table2[[#This Row],[Emp_Name]])),Table2[[#This Row],[Currency]],Table2[[#This Row],[Currency]]))</f>
        <v>INR</v>
      </c>
      <c r="K7">
        <v>51000</v>
      </c>
      <c r="L7">
        <v>12</v>
      </c>
      <c r="M7">
        <f>IF(Table2[[#This Row],[Num_Month]]&lt;&gt;12,12,Table2[[#This Row],[Num_Month]])</f>
        <v>12</v>
      </c>
      <c r="N7">
        <f>IF(Table2[[#This Row],[Monthly_Salary]]="","",Table2[[#This Row],[Monthly_Salary]]*Table2[[#This Row],[Num_Month_Final]])</f>
        <v>612000</v>
      </c>
      <c r="O7">
        <v>4</v>
      </c>
      <c r="P7">
        <f>IF(Table2[[#This Row],[Exp_Years]]&lt;0,ABS(Table2[[#This Row],[Exp_Years]]),Table2[[#This Row],[Exp_Years]])</f>
        <v>4</v>
      </c>
      <c r="Q7">
        <v>3</v>
      </c>
      <c r="R7">
        <v>10000</v>
      </c>
      <c r="S7">
        <f>IF(Table2[[#This Row],[Performance_Rating]]&gt;=3,Table2[[#This Row],[Monthly_Salary]]*0.3,"")</f>
        <v>15300</v>
      </c>
      <c r="T7">
        <v>88</v>
      </c>
      <c r="U7">
        <v>5</v>
      </c>
      <c r="V7">
        <v>5</v>
      </c>
      <c r="X7" t="s">
        <v>38</v>
      </c>
      <c r="Y7" t="str">
        <f>IF(Table2[[#This Row],[Work_Mode]]&lt;&gt;"",Table2[[#This Row],[Work_Mode]],
IF(ISNUMBER(SEARCH("India",Table2[[#This Row],[Emp_Name]])),"Office",
IF(ISNUMBER(SEARCH("Foreign",Table2[[#This Row],[Emp_Name]])),"Remote","")))</f>
        <v>Hybrid</v>
      </c>
      <c r="AA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7" t="s">
        <v>22</v>
      </c>
      <c r="AC7" t="str">
        <f>IF(COUNTIF(Table2[Emp_ID],Table2[[#This Row],[Emp_ID]])&gt;1,"Duplicate","Unique")</f>
        <v>Unique</v>
      </c>
      <c r="AD7" t="str">
        <f>_xlfn.TEXTJOIN("|",TRUE,Table2[[#This Row],[Emp_ID]:[Salary_Band]])</f>
        <v>ZOM1014|Employee_14_India|27|Delhi|Analytics|Senior Analyst|INR|INR|51000|12|12|612000|4|4|3|10000|15300|88|5|5|Hybrid|Hybrid|0|Medium</v>
      </c>
      <c r="AE7" s="2" t="str">
        <f>IF(COUNTIFS(Table2[Emp_ID],Table2[[#This Row],[Emp_ID]],Table2[Row_Concat],Table2[[#This Row],[Row_Concat]])&gt;1,"Exact Duplicate",
IF(COUNTIF(Table2[Emp_ID],Table2[[#This Row],[Emp_ID]])&gt;1,"Mismatch","Unique"))</f>
        <v>Unique</v>
      </c>
      <c r="AF7">
        <f>ROW()</f>
        <v>7</v>
      </c>
      <c r="AG7" t="str">
        <f>IF(Table2[[#This Row],[Monthly_Salary]]="","Exclude",
IF(Table2[[#This Row],[Row_Status]]="Mismatch","Exclude",
IF(AND(Table2[[#This Row],[Row_Status]]="Exact Duplicate",
COUNTIFS(Table2[Emp_ID],Table2[[#This Row],[Emp_ID]],Table2[Row_Concat],Table2[[#This Row],[Row_Concat]],
Table2[Row_Number],"&lt;"&amp;Table2[[#This Row],[Row_Number]])&gt;=1),"Delete","")))</f>
        <v/>
      </c>
      <c r="AH7" t="str">
        <f>VLOOKUP(Table2[[#This Row],[Department]],Raw_2!A:B,2,0)</f>
        <v>Day</v>
      </c>
      <c r="AI7">
        <f>VLOOKUP(Table2[[#This Row],[Department]],Raw_2!A:C,3,0)</f>
        <v>25</v>
      </c>
    </row>
    <row r="8" spans="1:35">
      <c r="A8" t="s">
        <v>54</v>
      </c>
      <c r="B8" t="s">
        <v>55</v>
      </c>
      <c r="C8">
        <v>26</v>
      </c>
      <c r="D8" t="s">
        <v>25</v>
      </c>
      <c r="E8" t="str">
        <f>IF(OR(Table2[[#This Row],[Gender]]="Male",Table2[[#This Row],[Gender]]="M"),"M",
IF(OR(Table2[[#This Row],[Gender]]="Female",Table2[[#This Row],[Gender]]="F"),"F",""))</f>
        <v>F</v>
      </c>
      <c r="G8" t="s">
        <v>42</v>
      </c>
      <c r="H8" t="s">
        <v>51</v>
      </c>
      <c r="I8" t="s">
        <v>1060</v>
      </c>
      <c r="J8" t="str">
        <f>IF(ISNUMBER(SEARCH("India",Table2[[#This Row],[Emp_Name]])),"INR",
IF(ISNUMBER(SEARCH("Foreign",Table2[[#This Row],[Emp_Name]])),Table2[[#This Row],[Currency]],Table2[[#This Row],[Currency]]))</f>
        <v>INR</v>
      </c>
      <c r="K8">
        <v>42000</v>
      </c>
      <c r="L8">
        <v>12</v>
      </c>
      <c r="M8">
        <f>IF(Table2[[#This Row],[Num_Month]]&lt;&gt;12,12,Table2[[#This Row],[Num_Month]])</f>
        <v>12</v>
      </c>
      <c r="N8">
        <f>IF(Table2[[#This Row],[Monthly_Salary]]="","",Table2[[#This Row],[Monthly_Salary]]*Table2[[#This Row],[Num_Month_Final]])</f>
        <v>504000</v>
      </c>
      <c r="O8">
        <v>3</v>
      </c>
      <c r="P8">
        <f>IF(Table2[[#This Row],[Exp_Years]]&lt;0,ABS(Table2[[#This Row],[Exp_Years]]),Table2[[#This Row],[Exp_Years]])</f>
        <v>3</v>
      </c>
      <c r="Q8">
        <v>1</v>
      </c>
      <c r="R8">
        <v>23400</v>
      </c>
      <c r="S8" t="str">
        <f>IF(Table2[[#This Row],[Performance_Rating]]&gt;=3,Table2[[#This Row],[Monthly_Salary]]*0.3,"")</f>
        <v/>
      </c>
      <c r="T8">
        <v>95</v>
      </c>
      <c r="U8">
        <v>15</v>
      </c>
      <c r="V8">
        <v>5</v>
      </c>
      <c r="W8" t="s">
        <v>21</v>
      </c>
      <c r="X8" t="s">
        <v>38</v>
      </c>
      <c r="Y8" t="str">
        <f>IF(Table2[[#This Row],[Work_Mode]]&lt;&gt;"",Table2[[#This Row],[Work_Mode]],
IF(ISNUMBER(SEARCH("India",Table2[[#This Row],[Emp_Name]])),"Office",
IF(ISNUMBER(SEARCH("Foreign",Table2[[#This Row],[Emp_Name]])),"Remote","")))</f>
        <v>Hybrid</v>
      </c>
      <c r="Z8">
        <v>10</v>
      </c>
      <c r="AA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8" t="s">
        <v>39</v>
      </c>
      <c r="AC8" t="str">
        <f>IF(COUNTIF(Table2[Emp_ID],Table2[[#This Row],[Emp_ID]])&gt;1,"Duplicate","Unique")</f>
        <v>Unique</v>
      </c>
      <c r="AD8" t="str">
        <f>_xlfn.TEXTJOIN("|",TRUE,Table2[[#This Row],[Emp_ID]:[Salary_Band]])</f>
        <v>ZOM1333|Employee_333_India|26|F|F|Operations|Senior Analyst|INR|INR|42000|12|12|504000|3|3|1|23400|95|15|5|No|Hybrid|Hybrid|10|3000|Low</v>
      </c>
      <c r="AE8" s="2" t="str">
        <f>IF(COUNTIFS(Table2[Emp_ID],Table2[[#This Row],[Emp_ID]],Table2[Row_Concat],Table2[[#This Row],[Row_Concat]])&gt;1,"Exact Duplicate",
IF(COUNTIF(Table2[Emp_ID],Table2[[#This Row],[Emp_ID]])&gt;1,"Mismatch","Unique"))</f>
        <v>Unique</v>
      </c>
      <c r="AF8">
        <f>ROW()</f>
        <v>8</v>
      </c>
      <c r="AG8" t="str">
        <f>IF(Table2[[#This Row],[Monthly_Salary]]="","Exclude",
IF(Table2[[#This Row],[Row_Status]]="Mismatch","Exclude",
IF(AND(Table2[[#This Row],[Row_Status]]="Exact Duplicate",
COUNTIFS(Table2[Emp_ID],Table2[[#This Row],[Emp_ID]],Table2[Row_Concat],Table2[[#This Row],[Row_Concat]],
Table2[Row_Number],"&lt;"&amp;Table2[[#This Row],[Row_Number]])&gt;=1),"Delete","")))</f>
        <v/>
      </c>
      <c r="AH8" t="str">
        <f>VLOOKUP(Table2[[#This Row],[Department]],Raw_2!A:B,2,0)</f>
        <v>Day</v>
      </c>
      <c r="AI8">
        <f>VLOOKUP(Table2[[#This Row],[Department]],Raw_2!A:C,3,0)</f>
        <v>14</v>
      </c>
    </row>
    <row r="9" spans="1:35">
      <c r="A9" t="s">
        <v>56</v>
      </c>
      <c r="B9" t="s">
        <v>594</v>
      </c>
      <c r="C9">
        <v>25</v>
      </c>
      <c r="D9" t="s">
        <v>34</v>
      </c>
      <c r="E9" t="str">
        <f>IF(OR(Table2[[#This Row],[Gender]]="Male",Table2[[#This Row],[Gender]]="M"),"M",
IF(OR(Table2[[#This Row],[Gender]]="Female",Table2[[#This Row],[Gender]]="F"),"F",""))</f>
        <v>F</v>
      </c>
      <c r="F9" t="s">
        <v>57</v>
      </c>
      <c r="G9" t="s">
        <v>42</v>
      </c>
      <c r="H9" t="s">
        <v>51</v>
      </c>
      <c r="I9" t="s">
        <v>1059</v>
      </c>
      <c r="J9" t="str">
        <f>IF(ISNUMBER(SEARCH("India",Table2[[#This Row],[Emp_Name]])),"INR",
IF(ISNUMBER(SEARCH("Foreign",Table2[[#This Row],[Emp_Name]])),Table2[[#This Row],[Currency]],Table2[[#This Row],[Currency]]))</f>
        <v>INR</v>
      </c>
      <c r="K9">
        <v>36000</v>
      </c>
      <c r="L9">
        <v>12</v>
      </c>
      <c r="M9">
        <f>IF(Table2[[#This Row],[Num_Month]]&lt;&gt;12,12,Table2[[#This Row],[Num_Month]])</f>
        <v>12</v>
      </c>
      <c r="N9">
        <f>IF(Table2[[#This Row],[Monthly_Salary]]="","",Table2[[#This Row],[Monthly_Salary]]*Table2[[#This Row],[Num_Month_Final]])</f>
        <v>432000</v>
      </c>
      <c r="O9">
        <v>3</v>
      </c>
      <c r="P9">
        <f>IF(Table2[[#This Row],[Exp_Years]]&lt;0,ABS(Table2[[#This Row],[Exp_Years]]),Table2[[#This Row],[Exp_Years]])</f>
        <v>3</v>
      </c>
      <c r="Q9">
        <v>4</v>
      </c>
      <c r="R9">
        <v>15000</v>
      </c>
      <c r="S9">
        <f>IF(Table2[[#This Row],[Performance_Rating]]&gt;=3,Table2[[#This Row],[Monthly_Salary]]*0.3,"")</f>
        <v>10800</v>
      </c>
      <c r="T9">
        <v>80</v>
      </c>
      <c r="U9">
        <v>7</v>
      </c>
      <c r="V9">
        <v>5</v>
      </c>
      <c r="X9" t="s">
        <v>28</v>
      </c>
      <c r="Y9" t="str">
        <f>IF(Table2[[#This Row],[Work_Mode]]&lt;&gt;"",Table2[[#This Row],[Work_Mode]],
IF(ISNUMBER(SEARCH("India",Table2[[#This Row],[Emp_Name]])),"Office",
IF(ISNUMBER(SEARCH("Foreign",Table2[[#This Row],[Emp_Name]])),"Remote","")))</f>
        <v>Remote</v>
      </c>
      <c r="AA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9" t="s">
        <v>58</v>
      </c>
      <c r="AC9" t="str">
        <f>IF(COUNTIF(Table2[Emp_ID],Table2[[#This Row],[Emp_ID]])&gt;1,"Duplicate","Unique")</f>
        <v>Duplicate</v>
      </c>
      <c r="AD9" t="str">
        <f>_xlfn.TEXTJOIN("|",TRUE,Table2[[#This Row],[Emp_ID]:[Salary_Band]])</f>
        <v>ZOM1625|Employee_25_India|25|Female|F|Chennai|Operations|Senior Analyst|USD|INR|36000|12|12|432000|3|3|4|15000|10800|80|7|5|Remote|Remote|0|High</v>
      </c>
      <c r="AE9" s="2" t="str">
        <f>IF(COUNTIFS(Table2[Emp_ID],Table2[[#This Row],[Emp_ID]],Table2[Row_Concat],Table2[[#This Row],[Row_Concat]])&gt;1,"Exact Duplicate",
IF(COUNTIF(Table2[Emp_ID],Table2[[#This Row],[Emp_ID]])&gt;1,"Mismatch","Unique"))</f>
        <v>Exact Duplicate</v>
      </c>
      <c r="AF9">
        <f>ROW()</f>
        <v>9</v>
      </c>
      <c r="AG9" t="str">
        <f>IF(Table2[[#This Row],[Monthly_Salary]]="","Exclude",
IF(Table2[[#This Row],[Row_Status]]="Mismatch","Exclude",
IF(AND(Table2[[#This Row],[Row_Status]]="Exact Duplicate",
COUNTIFS(Table2[Emp_ID],Table2[[#This Row],[Emp_ID]],Table2[Row_Concat],Table2[[#This Row],[Row_Concat]],
Table2[Row_Number],"&lt;"&amp;Table2[[#This Row],[Row_Number]])&gt;=1),"Delete","")))</f>
        <v/>
      </c>
      <c r="AH9" t="str">
        <f>VLOOKUP(Table2[[#This Row],[Department]],Raw_2!A:B,2,0)</f>
        <v>Day</v>
      </c>
      <c r="AI9">
        <f>VLOOKUP(Table2[[#This Row],[Department]],Raw_2!A:C,3,0)</f>
        <v>14</v>
      </c>
    </row>
    <row r="10" spans="1:35">
      <c r="A10" t="s">
        <v>59</v>
      </c>
      <c r="B10" t="s">
        <v>60</v>
      </c>
      <c r="C10">
        <v>26</v>
      </c>
      <c r="E10" t="str">
        <f>IF(OR(Table2[[#This Row],[Gender]]="Male",Table2[[#This Row],[Gender]]="M"),"M",
IF(OR(Table2[[#This Row],[Gender]]="Female",Table2[[#This Row],[Gender]]="F"),"F",""))</f>
        <v/>
      </c>
      <c r="F10" t="s">
        <v>61</v>
      </c>
      <c r="G10" t="s">
        <v>42</v>
      </c>
      <c r="H10" t="s">
        <v>51</v>
      </c>
      <c r="I10" t="s">
        <v>1060</v>
      </c>
      <c r="J10" t="str">
        <f>IF(ISNUMBER(SEARCH("India",Table2[[#This Row],[Emp_Name]])),"INR",
IF(ISNUMBER(SEARCH("Foreign",Table2[[#This Row],[Emp_Name]])),Table2[[#This Row],[Currency]],Table2[[#This Row],[Currency]]))</f>
        <v>INR</v>
      </c>
      <c r="K10">
        <v>42333</v>
      </c>
      <c r="L10">
        <v>12</v>
      </c>
      <c r="M10">
        <f>IF(Table2[[#This Row],[Num_Month]]&lt;&gt;12,12,Table2[[#This Row],[Num_Month]])</f>
        <v>12</v>
      </c>
      <c r="N10">
        <f>IF(Table2[[#This Row],[Monthly_Salary]]="","",Table2[[#This Row],[Monthly_Salary]]*Table2[[#This Row],[Num_Month_Final]])</f>
        <v>507996</v>
      </c>
      <c r="O10">
        <v>3</v>
      </c>
      <c r="P10">
        <f>IF(Table2[[#This Row],[Exp_Years]]&lt;0,ABS(Table2[[#This Row],[Exp_Years]]),Table2[[#This Row],[Exp_Years]])</f>
        <v>3</v>
      </c>
      <c r="Q10">
        <v>4</v>
      </c>
      <c r="R10">
        <v>15000</v>
      </c>
      <c r="S10">
        <f>IF(Table2[[#This Row],[Performance_Rating]]&gt;=3,Table2[[#This Row],[Monthly_Salary]]*0.3,"")</f>
        <v>12699.9</v>
      </c>
      <c r="T10">
        <v>85</v>
      </c>
      <c r="U10">
        <v>10</v>
      </c>
      <c r="V10">
        <v>3</v>
      </c>
      <c r="Y10" t="str">
        <f>IF(Table2[[#This Row],[Work_Mode]]&lt;&gt;"",Table2[[#This Row],[Work_Mode]],
IF(ISNUMBER(SEARCH("India",Table2[[#This Row],[Emp_Name]])),"Office",
IF(ISNUMBER(SEARCH("Foreign",Table2[[#This Row],[Emp_Name]])),"Remote","")))</f>
        <v>Office</v>
      </c>
      <c r="Z10">
        <v>5</v>
      </c>
      <c r="AA1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10" t="s">
        <v>22</v>
      </c>
      <c r="AC10" t="str">
        <f>IF(COUNTIF(Table2[Emp_ID],Table2[[#This Row],[Emp_ID]])&gt;1,"Duplicate","Unique")</f>
        <v>Unique</v>
      </c>
      <c r="AD10" t="str">
        <f>_xlfn.TEXTJOIN("|",TRUE,Table2[[#This Row],[Emp_ID]:[Salary_Band]])</f>
        <v>ZOM1005|Employee_5_India|26|Hyderabad|Operations|Senior Analyst|INR|INR|42333|12|12|507996|3|3|4|15000|12699.9|85|10|3|Office|5|1500|Medium</v>
      </c>
      <c r="AE10" s="2" t="str">
        <f>IF(COUNTIFS(Table2[Emp_ID],Table2[[#This Row],[Emp_ID]],Table2[Row_Concat],Table2[[#This Row],[Row_Concat]])&gt;1,"Exact Duplicate",
IF(COUNTIF(Table2[Emp_ID],Table2[[#This Row],[Emp_ID]])&gt;1,"Mismatch","Unique"))</f>
        <v>Unique</v>
      </c>
      <c r="AF10">
        <f>ROW()</f>
        <v>10</v>
      </c>
      <c r="AG10" t="str">
        <f>IF(Table2[[#This Row],[Monthly_Salary]]="","Exclude",
IF(Table2[[#This Row],[Row_Status]]="Mismatch","Exclude",
IF(AND(Table2[[#This Row],[Row_Status]]="Exact Duplicate",
COUNTIFS(Table2[Emp_ID],Table2[[#This Row],[Emp_ID]],Table2[Row_Concat],Table2[[#This Row],[Row_Concat]],
Table2[Row_Number],"&lt;"&amp;Table2[[#This Row],[Row_Number]])&gt;=1),"Delete","")))</f>
        <v/>
      </c>
      <c r="AH10" t="str">
        <f>VLOOKUP(Table2[[#This Row],[Department]],Raw_2!A:B,2,0)</f>
        <v>Day</v>
      </c>
      <c r="AI10">
        <f>VLOOKUP(Table2[[#This Row],[Department]],Raw_2!A:C,3,0)</f>
        <v>14</v>
      </c>
    </row>
    <row r="11" spans="1:35">
      <c r="A11" t="s">
        <v>62</v>
      </c>
      <c r="B11" t="s">
        <v>63</v>
      </c>
      <c r="C11">
        <v>26</v>
      </c>
      <c r="D11" t="s">
        <v>25</v>
      </c>
      <c r="E11" t="str">
        <f>IF(OR(Table2[[#This Row],[Gender]]="Male",Table2[[#This Row],[Gender]]="M"),"M",
IF(OR(Table2[[#This Row],[Gender]]="Female",Table2[[#This Row],[Gender]]="F"),"F",""))</f>
        <v>F</v>
      </c>
      <c r="F11" t="s">
        <v>64</v>
      </c>
      <c r="G11" t="s">
        <v>31</v>
      </c>
      <c r="H11" t="s">
        <v>51</v>
      </c>
      <c r="I11" t="s">
        <v>1060</v>
      </c>
      <c r="J11" t="str">
        <f>IF(ISNUMBER(SEARCH("India",Table2[[#This Row],[Emp_Name]])),"INR",
IF(ISNUMBER(SEARCH("Foreign",Table2[[#This Row],[Emp_Name]])),Table2[[#This Row],[Currency]],Table2[[#This Row],[Currency]]))</f>
        <v>INR</v>
      </c>
      <c r="K11">
        <v>48000</v>
      </c>
      <c r="L11">
        <v>12</v>
      </c>
      <c r="M11">
        <f>IF(Table2[[#This Row],[Num_Month]]&lt;&gt;12,12,Table2[[#This Row],[Num_Month]])</f>
        <v>12</v>
      </c>
      <c r="N11">
        <f>IF(Table2[[#This Row],[Monthly_Salary]]="","",Table2[[#This Row],[Monthly_Salary]]*Table2[[#This Row],[Num_Month_Final]])</f>
        <v>576000</v>
      </c>
      <c r="O11">
        <v>4</v>
      </c>
      <c r="P11">
        <f>IF(Table2[[#This Row],[Exp_Years]]&lt;0,ABS(Table2[[#This Row],[Exp_Years]]),Table2[[#This Row],[Exp_Years]])</f>
        <v>4</v>
      </c>
      <c r="Q11">
        <v>1</v>
      </c>
      <c r="R11">
        <v>24000</v>
      </c>
      <c r="S11" t="str">
        <f>IF(Table2[[#This Row],[Performance_Rating]]&gt;=3,Table2[[#This Row],[Monthly_Salary]]*0.3,"")</f>
        <v/>
      </c>
      <c r="T11">
        <v>88</v>
      </c>
      <c r="U11">
        <v>7</v>
      </c>
      <c r="V11">
        <v>1</v>
      </c>
      <c r="W11" t="s">
        <v>21</v>
      </c>
      <c r="X11" t="s">
        <v>19</v>
      </c>
      <c r="Y11" t="str">
        <f>IF(Table2[[#This Row],[Work_Mode]]&lt;&gt;"",Table2[[#This Row],[Work_Mode]],
IF(ISNUMBER(SEARCH("India",Table2[[#This Row],[Emp_Name]])),"Office",
IF(ISNUMBER(SEARCH("Foreign",Table2[[#This Row],[Emp_Name]])),"Remote","")))</f>
        <v>Office</v>
      </c>
      <c r="AA1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1" t="s">
        <v>39</v>
      </c>
      <c r="AC11" t="str">
        <f>IF(COUNTIF(Table2[Emp_ID],Table2[[#This Row],[Emp_ID]])&gt;1,"Duplicate","Unique")</f>
        <v>Unique</v>
      </c>
      <c r="AD11" t="str">
        <f>_xlfn.TEXTJOIN("|",TRUE,Table2[[#This Row],[Emp_ID]:[Salary_Band]])</f>
        <v>ZOM1570|Employee_570_India|26|F|F|Mumbai|Logistics|Senior Analyst|INR|INR|48000|12|12|576000|4|4|1|24000|88|7|1|No|Office|Office|0|Low</v>
      </c>
      <c r="AE11" s="2" t="str">
        <f>IF(COUNTIFS(Table2[Emp_ID],Table2[[#This Row],[Emp_ID]],Table2[Row_Concat],Table2[[#This Row],[Row_Concat]])&gt;1,"Exact Duplicate",
IF(COUNTIF(Table2[Emp_ID],Table2[[#This Row],[Emp_ID]])&gt;1,"Mismatch","Unique"))</f>
        <v>Unique</v>
      </c>
      <c r="AF11">
        <f>ROW()</f>
        <v>11</v>
      </c>
      <c r="AG11" t="str">
        <f>IF(Table2[[#This Row],[Monthly_Salary]]="","Exclude",
IF(Table2[[#This Row],[Row_Status]]="Mismatch","Exclude",
IF(AND(Table2[[#This Row],[Row_Status]]="Exact Duplicate",
COUNTIFS(Table2[Emp_ID],Table2[[#This Row],[Emp_ID]],Table2[Row_Concat],Table2[[#This Row],[Row_Concat]],
Table2[Row_Number],"&lt;"&amp;Table2[[#This Row],[Row_Number]])&gt;=1),"Delete","")))</f>
        <v/>
      </c>
      <c r="AH11" t="str">
        <f>VLOOKUP(Table2[[#This Row],[Department]],Raw_2!A:B,2,0)</f>
        <v>Night</v>
      </c>
      <c r="AI11">
        <f>VLOOKUP(Table2[[#This Row],[Department]],Raw_2!A:C,3,0)</f>
        <v>13</v>
      </c>
    </row>
    <row r="12" spans="1:35">
      <c r="A12" t="s">
        <v>67</v>
      </c>
      <c r="B12" t="s">
        <v>68</v>
      </c>
      <c r="C12">
        <v>26</v>
      </c>
      <c r="D12" t="s">
        <v>25</v>
      </c>
      <c r="E12" t="str">
        <f>IF(OR(Table2[[#This Row],[Gender]]="Male",Table2[[#This Row],[Gender]]="M"),"M",
IF(OR(Table2[[#This Row],[Gender]]="Female",Table2[[#This Row],[Gender]]="F"),"F",""))</f>
        <v>F</v>
      </c>
      <c r="F12" t="s">
        <v>65</v>
      </c>
      <c r="G12" t="s">
        <v>27</v>
      </c>
      <c r="H12" t="s">
        <v>51</v>
      </c>
      <c r="I12" t="s">
        <v>1060</v>
      </c>
      <c r="J12" t="str">
        <f>IF(ISNUMBER(SEARCH("India",Table2[[#This Row],[Emp_Name]])),"INR",
IF(ISNUMBER(SEARCH("Foreign",Table2[[#This Row],[Emp_Name]])),Table2[[#This Row],[Currency]],Table2[[#This Row],[Currency]]))</f>
        <v>INR</v>
      </c>
      <c r="K12">
        <v>48000</v>
      </c>
      <c r="L12">
        <v>13</v>
      </c>
      <c r="M12">
        <f>IF(Table2[[#This Row],[Num_Month]]&lt;&gt;12,12,Table2[[#This Row],[Num_Month]])</f>
        <v>12</v>
      </c>
      <c r="N12">
        <f>IF(Table2[[#This Row],[Monthly_Salary]]="","",Table2[[#This Row],[Monthly_Salary]]*Table2[[#This Row],[Num_Month_Final]])</f>
        <v>576000</v>
      </c>
      <c r="O12">
        <v>4</v>
      </c>
      <c r="P12">
        <f>IF(Table2[[#This Row],[Exp_Years]]&lt;0,ABS(Table2[[#This Row],[Exp_Years]]),Table2[[#This Row],[Exp_Years]])</f>
        <v>4</v>
      </c>
      <c r="Q12">
        <v>4</v>
      </c>
      <c r="R12">
        <v>15000</v>
      </c>
      <c r="S12">
        <f>IF(Table2[[#This Row],[Performance_Rating]]&gt;=3,Table2[[#This Row],[Monthly_Salary]]*0.3,"")</f>
        <v>14400</v>
      </c>
      <c r="T12">
        <v>90</v>
      </c>
      <c r="U12">
        <v>10</v>
      </c>
      <c r="V12">
        <v>1</v>
      </c>
      <c r="W12" t="s">
        <v>37</v>
      </c>
      <c r="X12" t="s">
        <v>38</v>
      </c>
      <c r="Y12" t="str">
        <f>IF(Table2[[#This Row],[Work_Mode]]&lt;&gt;"",Table2[[#This Row],[Work_Mode]],
IF(ISNUMBER(SEARCH("India",Table2[[#This Row],[Emp_Name]])),"Office",
IF(ISNUMBER(SEARCH("Foreign",Table2[[#This Row],[Emp_Name]])),"Remote","")))</f>
        <v>Hybrid</v>
      </c>
      <c r="Z12">
        <v>5</v>
      </c>
      <c r="AA1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12" t="s">
        <v>22</v>
      </c>
      <c r="AC12" t="str">
        <f>IF(COUNTIF(Table2[Emp_ID],Table2[[#This Row],[Emp_ID]])&gt;1,"Duplicate","Unique")</f>
        <v>Unique</v>
      </c>
      <c r="AD12" t="str">
        <f>_xlfn.TEXTJOIN("|",TRUE,Table2[[#This Row],[Emp_ID]:[Salary_Band]])</f>
        <v>ZOM1142|Employee_142_India|26|F|F|Kolkata|Customer Support|Senior Analyst|INR|INR|48000|13|12|576000|4|4|4|15000|14400|90|10|1|Yes|Hybrid|Hybrid|5|1500|Medium</v>
      </c>
      <c r="AE12" s="2" t="str">
        <f>IF(COUNTIFS(Table2[Emp_ID],Table2[[#This Row],[Emp_ID]],Table2[Row_Concat],Table2[[#This Row],[Row_Concat]])&gt;1,"Exact Duplicate",
IF(COUNTIF(Table2[Emp_ID],Table2[[#This Row],[Emp_ID]])&gt;1,"Mismatch","Unique"))</f>
        <v>Unique</v>
      </c>
      <c r="AF12">
        <f>ROW()</f>
        <v>12</v>
      </c>
      <c r="AG12" t="str">
        <f>IF(Table2[[#This Row],[Monthly_Salary]]="","Exclude",
IF(Table2[[#This Row],[Row_Status]]="Mismatch","Exclude",
IF(AND(Table2[[#This Row],[Row_Status]]="Exact Duplicate",
COUNTIFS(Table2[Emp_ID],Table2[[#This Row],[Emp_ID]],Table2[Row_Concat],Table2[[#This Row],[Row_Concat]],
Table2[Row_Number],"&lt;"&amp;Table2[[#This Row],[Row_Number]])&gt;=1),"Delete","")))</f>
        <v/>
      </c>
      <c r="AH12" t="str">
        <f>VLOOKUP(Table2[[#This Row],[Department]],Raw_2!A:B,2,0)</f>
        <v>Day</v>
      </c>
      <c r="AI12">
        <f>VLOOKUP(Table2[[#This Row],[Department]],Raw_2!A:C,3,0)</f>
        <v>12</v>
      </c>
    </row>
    <row r="13" spans="1:35">
      <c r="A13" t="s">
        <v>69</v>
      </c>
      <c r="B13" t="s">
        <v>70</v>
      </c>
      <c r="C13">
        <v>26</v>
      </c>
      <c r="D13" t="s">
        <v>34</v>
      </c>
      <c r="E13" t="str">
        <f>IF(OR(Table2[[#This Row],[Gender]]="Male",Table2[[#This Row],[Gender]]="M"),"M",
IF(OR(Table2[[#This Row],[Gender]]="Female",Table2[[#This Row],[Gender]]="F"),"F",""))</f>
        <v>F</v>
      </c>
      <c r="F13" t="s">
        <v>35</v>
      </c>
      <c r="G13" t="s">
        <v>27</v>
      </c>
      <c r="H13" t="s">
        <v>51</v>
      </c>
      <c r="I13" t="s">
        <v>1060</v>
      </c>
      <c r="J13" t="str">
        <f>IF(ISNUMBER(SEARCH("India",Table2[[#This Row],[Emp_Name]])),"INR",
IF(ISNUMBER(SEARCH("Foreign",Table2[[#This Row],[Emp_Name]])),Table2[[#This Row],[Currency]],Table2[[#This Row],[Currency]]))</f>
        <v>INR</v>
      </c>
      <c r="K13">
        <v>31000</v>
      </c>
      <c r="L13">
        <v>12</v>
      </c>
      <c r="M13">
        <f>IF(Table2[[#This Row],[Num_Month]]&lt;&gt;12,12,Table2[[#This Row],[Num_Month]])</f>
        <v>12</v>
      </c>
      <c r="N13">
        <f>IF(Table2[[#This Row],[Monthly_Salary]]="","",Table2[[#This Row],[Monthly_Salary]]*Table2[[#This Row],[Num_Month_Final]])</f>
        <v>372000</v>
      </c>
      <c r="O13">
        <v>2</v>
      </c>
      <c r="P13">
        <f>IF(Table2[[#This Row],[Exp_Years]]&lt;0,ABS(Table2[[#This Row],[Exp_Years]]),Table2[[#This Row],[Exp_Years]])</f>
        <v>2</v>
      </c>
      <c r="Q13">
        <v>5</v>
      </c>
      <c r="R13">
        <v>19000</v>
      </c>
      <c r="S13">
        <f>IF(Table2[[#This Row],[Performance_Rating]]&gt;=3,Table2[[#This Row],[Monthly_Salary]]*0.3,"")</f>
        <v>9300</v>
      </c>
      <c r="T13">
        <v>85</v>
      </c>
      <c r="U13">
        <v>7</v>
      </c>
      <c r="V13">
        <v>5</v>
      </c>
      <c r="X13" t="s">
        <v>38</v>
      </c>
      <c r="Y13" t="str">
        <f>IF(Table2[[#This Row],[Work_Mode]]&lt;&gt;"",Table2[[#This Row],[Work_Mode]],
IF(ISNUMBER(SEARCH("India",Table2[[#This Row],[Emp_Name]])),"Office",
IF(ISNUMBER(SEARCH("Foreign",Table2[[#This Row],[Emp_Name]])),"Remote","")))</f>
        <v>Hybrid</v>
      </c>
      <c r="Z13">
        <v>20</v>
      </c>
      <c r="AA1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13" t="s">
        <v>58</v>
      </c>
      <c r="AC13" t="str">
        <f>IF(COUNTIF(Table2[Emp_ID],Table2[[#This Row],[Emp_ID]])&gt;1,"Duplicate","Unique")</f>
        <v>Unique</v>
      </c>
      <c r="AD13" t="str">
        <f>_xlfn.TEXTJOIN("|",TRUE,Table2[[#This Row],[Emp_ID]:[Salary_Band]])</f>
        <v>ZOM1507|Employee_507_India|26|Female|F|Noida|Customer Support|Senior Analyst|INR|INR|31000|12|12|372000|2|2|5|19000|9300|85|7|5|Hybrid|Hybrid|20|6000|High</v>
      </c>
      <c r="AE13" s="2" t="str">
        <f>IF(COUNTIFS(Table2[Emp_ID],Table2[[#This Row],[Emp_ID]],Table2[Row_Concat],Table2[[#This Row],[Row_Concat]])&gt;1,"Exact Duplicate",
IF(COUNTIF(Table2[Emp_ID],Table2[[#This Row],[Emp_ID]])&gt;1,"Mismatch","Unique"))</f>
        <v>Unique</v>
      </c>
      <c r="AF13">
        <f>ROW()</f>
        <v>13</v>
      </c>
      <c r="AG13" t="str">
        <f>IF(Table2[[#This Row],[Monthly_Salary]]="","Exclude",
IF(Table2[[#This Row],[Row_Status]]="Mismatch","Exclude",
IF(AND(Table2[[#This Row],[Row_Status]]="Exact Duplicate",
COUNTIFS(Table2[Emp_ID],Table2[[#This Row],[Emp_ID]],Table2[Row_Concat],Table2[[#This Row],[Row_Concat]],
Table2[Row_Number],"&lt;"&amp;Table2[[#This Row],[Row_Number]])&gt;=1),"Delete","")))</f>
        <v/>
      </c>
      <c r="AH13" t="str">
        <f>VLOOKUP(Table2[[#This Row],[Department]],Raw_2!A:B,2,0)</f>
        <v>Day</v>
      </c>
      <c r="AI13">
        <f>VLOOKUP(Table2[[#This Row],[Department]],Raw_2!A:C,3,0)</f>
        <v>12</v>
      </c>
    </row>
    <row r="14" spans="1:35">
      <c r="A14" t="s">
        <v>71</v>
      </c>
      <c r="B14" t="s">
        <v>72</v>
      </c>
      <c r="C14">
        <v>27</v>
      </c>
      <c r="E14" t="str">
        <f>IF(OR(Table2[[#This Row],[Gender]]="Male",Table2[[#This Row],[Gender]]="M"),"M",
IF(OR(Table2[[#This Row],[Gender]]="Female",Table2[[#This Row],[Gender]]="F"),"F",""))</f>
        <v/>
      </c>
      <c r="F14" t="s">
        <v>73</v>
      </c>
      <c r="G14" t="s">
        <v>42</v>
      </c>
      <c r="H14" t="s">
        <v>51</v>
      </c>
      <c r="I14" t="s">
        <v>1060</v>
      </c>
      <c r="J14" t="str">
        <f>IF(ISNUMBER(SEARCH("India",Table2[[#This Row],[Emp_Name]])),"INR",
IF(ISNUMBER(SEARCH("Foreign",Table2[[#This Row],[Emp_Name]])),Table2[[#This Row],[Currency]],Table2[[#This Row],[Currency]]))</f>
        <v>INR</v>
      </c>
      <c r="K14">
        <v>35000</v>
      </c>
      <c r="L14">
        <v>12</v>
      </c>
      <c r="M14">
        <f>IF(Table2[[#This Row],[Num_Month]]&lt;&gt;12,12,Table2[[#This Row],[Num_Month]])</f>
        <v>12</v>
      </c>
      <c r="N14">
        <f>IF(Table2[[#This Row],[Monthly_Salary]]="","",Table2[[#This Row],[Monthly_Salary]]*Table2[[#This Row],[Num_Month_Final]])</f>
        <v>420000</v>
      </c>
      <c r="O14">
        <v>3</v>
      </c>
      <c r="P14">
        <f>IF(Table2[[#This Row],[Exp_Years]]&lt;0,ABS(Table2[[#This Row],[Exp_Years]]),Table2[[#This Row],[Exp_Years]])</f>
        <v>3</v>
      </c>
      <c r="Q14">
        <v>1</v>
      </c>
      <c r="S14" t="str">
        <f>IF(Table2[[#This Row],[Performance_Rating]]&gt;=3,Table2[[#This Row],[Monthly_Salary]]*0.3,"")</f>
        <v/>
      </c>
      <c r="T14">
        <v>90</v>
      </c>
      <c r="U14">
        <v>5</v>
      </c>
      <c r="V14">
        <v>3</v>
      </c>
      <c r="W14" t="s">
        <v>21</v>
      </c>
      <c r="X14" t="s">
        <v>38</v>
      </c>
      <c r="Y14" t="str">
        <f>IF(Table2[[#This Row],[Work_Mode]]&lt;&gt;"",Table2[[#This Row],[Work_Mode]],
IF(ISNUMBER(SEARCH("India",Table2[[#This Row],[Emp_Name]])),"Office",
IF(ISNUMBER(SEARCH("Foreign",Table2[[#This Row],[Emp_Name]])),"Remote","")))</f>
        <v>Hybrid</v>
      </c>
      <c r="AA1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4" t="s">
        <v>39</v>
      </c>
      <c r="AC14" t="str">
        <f>IF(COUNTIF(Table2[Emp_ID],Table2[[#This Row],[Emp_ID]])&gt;1,"Duplicate","Unique")</f>
        <v>Unique</v>
      </c>
      <c r="AD14" t="str">
        <f>_xlfn.TEXTJOIN("|",TRUE,Table2[[#This Row],[Emp_ID]:[Salary_Band]])</f>
        <v>ZOM1068|Employee_68_India|27|Indore|Operations|Senior Analyst|INR|INR|35000|12|12|420000|3|3|1|90|5|3|No|Hybrid|Hybrid|0|Low</v>
      </c>
      <c r="AE14" s="2" t="str">
        <f>IF(COUNTIFS(Table2[Emp_ID],Table2[[#This Row],[Emp_ID]],Table2[Row_Concat],Table2[[#This Row],[Row_Concat]])&gt;1,"Exact Duplicate",
IF(COUNTIF(Table2[Emp_ID],Table2[[#This Row],[Emp_ID]])&gt;1,"Mismatch","Unique"))</f>
        <v>Unique</v>
      </c>
      <c r="AF14">
        <f>ROW()</f>
        <v>14</v>
      </c>
      <c r="AG14" t="str">
        <f>IF(Table2[[#This Row],[Monthly_Salary]]="","Exclude",
IF(Table2[[#This Row],[Row_Status]]="Mismatch","Exclude",
IF(AND(Table2[[#This Row],[Row_Status]]="Exact Duplicate",
COUNTIFS(Table2[Emp_ID],Table2[[#This Row],[Emp_ID]],Table2[Row_Concat],Table2[[#This Row],[Row_Concat]],
Table2[Row_Number],"&lt;"&amp;Table2[[#This Row],[Row_Number]])&gt;=1),"Delete","")))</f>
        <v/>
      </c>
      <c r="AH14" t="str">
        <f>VLOOKUP(Table2[[#This Row],[Department]],Raw_2!A:B,2,0)</f>
        <v>Day</v>
      </c>
      <c r="AI14">
        <f>VLOOKUP(Table2[[#This Row],[Department]],Raw_2!A:C,3,0)</f>
        <v>14</v>
      </c>
    </row>
    <row r="15" spans="1:35">
      <c r="A15" t="s">
        <v>74</v>
      </c>
      <c r="B15" t="s">
        <v>75</v>
      </c>
      <c r="C15">
        <v>25</v>
      </c>
      <c r="D15" t="s">
        <v>25</v>
      </c>
      <c r="E15" t="str">
        <f>IF(OR(Table2[[#This Row],[Gender]]="Male",Table2[[#This Row],[Gender]]="M"),"M",
IF(OR(Table2[[#This Row],[Gender]]="Female",Table2[[#This Row],[Gender]]="F"),"F",""))</f>
        <v>F</v>
      </c>
      <c r="F15" t="s">
        <v>65</v>
      </c>
      <c r="G15" t="s">
        <v>18</v>
      </c>
      <c r="H15" t="s">
        <v>51</v>
      </c>
      <c r="I15" t="s">
        <v>1060</v>
      </c>
      <c r="J15" t="str">
        <f>IF(ISNUMBER(SEARCH("India",Table2[[#This Row],[Emp_Name]])),"INR",
IF(ISNUMBER(SEARCH("Foreign",Table2[[#This Row],[Emp_Name]])),Table2[[#This Row],[Currency]],Table2[[#This Row],[Currency]]))</f>
        <v>INR</v>
      </c>
      <c r="K15">
        <v>38000</v>
      </c>
      <c r="L15">
        <v>12</v>
      </c>
      <c r="M15">
        <f>IF(Table2[[#This Row],[Num_Month]]&lt;&gt;12,12,Table2[[#This Row],[Num_Month]])</f>
        <v>12</v>
      </c>
      <c r="N15">
        <f>IF(Table2[[#This Row],[Monthly_Salary]]="","",Table2[[#This Row],[Monthly_Salary]]*Table2[[#This Row],[Num_Month_Final]])</f>
        <v>456000</v>
      </c>
      <c r="O15">
        <v>3</v>
      </c>
      <c r="P15">
        <f>IF(Table2[[#This Row],[Exp_Years]]&lt;0,ABS(Table2[[#This Row],[Exp_Years]]),Table2[[#This Row],[Exp_Years]])</f>
        <v>3</v>
      </c>
      <c r="Q15">
        <v>5</v>
      </c>
      <c r="R15">
        <v>24000</v>
      </c>
      <c r="S15">
        <f>IF(Table2[[#This Row],[Performance_Rating]]&gt;=3,Table2[[#This Row],[Monthly_Salary]]*0.3,"")</f>
        <v>11400</v>
      </c>
      <c r="T15">
        <v>90</v>
      </c>
      <c r="U15">
        <v>15</v>
      </c>
      <c r="V15">
        <v>5</v>
      </c>
      <c r="X15" t="s">
        <v>38</v>
      </c>
      <c r="Y15" t="str">
        <f>IF(Table2[[#This Row],[Work_Mode]]&lt;&gt;"",Table2[[#This Row],[Work_Mode]],
IF(ISNUMBER(SEARCH("India",Table2[[#This Row],[Emp_Name]])),"Office",
IF(ISNUMBER(SEARCH("Foreign",Table2[[#This Row],[Emp_Name]])),"Remote","")))</f>
        <v>Hybrid</v>
      </c>
      <c r="AA1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5" t="s">
        <v>58</v>
      </c>
      <c r="AC15" t="str">
        <f>IF(COUNTIF(Table2[Emp_ID],Table2[[#This Row],[Emp_ID]])&gt;1,"Duplicate","Unique")</f>
        <v>Unique</v>
      </c>
      <c r="AD15" t="str">
        <f>_xlfn.TEXTJOIN("|",TRUE,Table2[[#This Row],[Emp_ID]:[Salary_Band]])</f>
        <v>ZOM1372|Employee_372_India|25|F|F|Kolkata|HR|Senior Analyst|INR|INR|38000|12|12|456000|3|3|5|24000|11400|90|15|5|Hybrid|Hybrid|0|High</v>
      </c>
      <c r="AE15" s="2" t="str">
        <f>IF(COUNTIFS(Table2[Emp_ID],Table2[[#This Row],[Emp_ID]],Table2[Row_Concat],Table2[[#This Row],[Row_Concat]])&gt;1,"Exact Duplicate",
IF(COUNTIF(Table2[Emp_ID],Table2[[#This Row],[Emp_ID]])&gt;1,"Mismatch","Unique"))</f>
        <v>Unique</v>
      </c>
      <c r="AF15">
        <f>ROW()</f>
        <v>15</v>
      </c>
      <c r="AG15" t="str">
        <f>IF(Table2[[#This Row],[Monthly_Salary]]="","Exclude",
IF(Table2[[#This Row],[Row_Status]]="Mismatch","Exclude",
IF(AND(Table2[[#This Row],[Row_Status]]="Exact Duplicate",
COUNTIFS(Table2[Emp_ID],Table2[[#This Row],[Emp_ID]],Table2[Row_Concat],Table2[[#This Row],[Row_Concat]],
Table2[Row_Number],"&lt;"&amp;Table2[[#This Row],[Row_Number]])&gt;=1),"Delete","")))</f>
        <v/>
      </c>
      <c r="AH15" t="str">
        <f>VLOOKUP(Table2[[#This Row],[Department]],Raw_2!A:B,2,0)</f>
        <v>Day</v>
      </c>
      <c r="AI15">
        <f>VLOOKUP(Table2[[#This Row],[Department]],Raw_2!A:C,3,0)</f>
        <v>10</v>
      </c>
    </row>
    <row r="16" spans="1:35">
      <c r="A16" t="s">
        <v>76</v>
      </c>
      <c r="B16" t="s">
        <v>77</v>
      </c>
      <c r="C16">
        <v>26</v>
      </c>
      <c r="E16" t="str">
        <f>IF(OR(Table2[[#This Row],[Gender]]="Male",Table2[[#This Row],[Gender]]="M"),"M",
IF(OR(Table2[[#This Row],[Gender]]="Female",Table2[[#This Row],[Gender]]="F"),"F",""))</f>
        <v/>
      </c>
      <c r="F16" t="s">
        <v>47</v>
      </c>
      <c r="G16" t="s">
        <v>36</v>
      </c>
      <c r="H16" t="s">
        <v>51</v>
      </c>
      <c r="I16" t="s">
        <v>1060</v>
      </c>
      <c r="J16" t="str">
        <f>IF(ISNUMBER(SEARCH("India",Table2[[#This Row],[Emp_Name]])),"INR",
IF(ISNUMBER(SEARCH("Foreign",Table2[[#This Row],[Emp_Name]])),Table2[[#This Row],[Currency]],Table2[[#This Row],[Currency]]))</f>
        <v>INR</v>
      </c>
      <c r="K16">
        <v>48000</v>
      </c>
      <c r="L16">
        <v>12</v>
      </c>
      <c r="M16">
        <f>IF(Table2[[#This Row],[Num_Month]]&lt;&gt;12,12,Table2[[#This Row],[Num_Month]])</f>
        <v>12</v>
      </c>
      <c r="N16">
        <f>IF(Table2[[#This Row],[Monthly_Salary]]="","",Table2[[#This Row],[Monthly_Salary]]*Table2[[#This Row],[Num_Month_Final]])</f>
        <v>576000</v>
      </c>
      <c r="O16">
        <v>4</v>
      </c>
      <c r="P16">
        <f>IF(Table2[[#This Row],[Exp_Years]]&lt;0,ABS(Table2[[#This Row],[Exp_Years]]),Table2[[#This Row],[Exp_Years]])</f>
        <v>4</v>
      </c>
      <c r="Q16">
        <v>4</v>
      </c>
      <c r="R16">
        <v>15000</v>
      </c>
      <c r="S16">
        <f>IF(Table2[[#This Row],[Performance_Rating]]&gt;=3,Table2[[#This Row],[Monthly_Salary]]*0.3,"")</f>
        <v>14400</v>
      </c>
      <c r="T16">
        <v>90</v>
      </c>
      <c r="U16">
        <v>15</v>
      </c>
      <c r="V16">
        <v>1</v>
      </c>
      <c r="W16" t="s">
        <v>37</v>
      </c>
      <c r="X16" t="s">
        <v>38</v>
      </c>
      <c r="Y16" t="str">
        <f>IF(Table2[[#This Row],[Work_Mode]]&lt;&gt;"",Table2[[#This Row],[Work_Mode]],
IF(ISNUMBER(SEARCH("India",Table2[[#This Row],[Emp_Name]])),"Office",
IF(ISNUMBER(SEARCH("Foreign",Table2[[#This Row],[Emp_Name]])),"Remote","")))</f>
        <v>Hybrid</v>
      </c>
      <c r="Z16">
        <v>20</v>
      </c>
      <c r="AA1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16" t="s">
        <v>58</v>
      </c>
      <c r="AC16" t="str">
        <f>IF(COUNTIF(Table2[Emp_ID],Table2[[#This Row],[Emp_ID]])&gt;1,"Duplicate","Unique")</f>
        <v>Unique</v>
      </c>
      <c r="AD16" t="str">
        <f>_xlfn.TEXTJOIN("|",TRUE,Table2[[#This Row],[Emp_ID]:[Salary_Band]])</f>
        <v>ZOM1451|Employee_451_India|26|Gurugram|Analytics|Senior Analyst|INR|INR|48000|12|12|576000|4|4|4|15000|14400|90|15|1|Yes|Hybrid|Hybrid|20|6000|High</v>
      </c>
      <c r="AE16" s="2" t="str">
        <f>IF(COUNTIFS(Table2[Emp_ID],Table2[[#This Row],[Emp_ID]],Table2[Row_Concat],Table2[[#This Row],[Row_Concat]])&gt;1,"Exact Duplicate",
IF(COUNTIF(Table2[Emp_ID],Table2[[#This Row],[Emp_ID]])&gt;1,"Mismatch","Unique"))</f>
        <v>Unique</v>
      </c>
      <c r="AF16">
        <f>ROW()</f>
        <v>16</v>
      </c>
      <c r="AG16" t="str">
        <f>IF(Table2[[#This Row],[Monthly_Salary]]="","Exclude",
IF(Table2[[#This Row],[Row_Status]]="Mismatch","Exclude",
IF(AND(Table2[[#This Row],[Row_Status]]="Exact Duplicate",
COUNTIFS(Table2[Emp_ID],Table2[[#This Row],[Emp_ID]],Table2[Row_Concat],Table2[[#This Row],[Row_Concat]],
Table2[Row_Number],"&lt;"&amp;Table2[[#This Row],[Row_Number]])&gt;=1),"Delete","")))</f>
        <v/>
      </c>
      <c r="AH16" t="str">
        <f>VLOOKUP(Table2[[#This Row],[Department]],Raw_2!A:B,2,0)</f>
        <v>Day</v>
      </c>
      <c r="AI16">
        <f>VLOOKUP(Table2[[#This Row],[Department]],Raw_2!A:C,3,0)</f>
        <v>25</v>
      </c>
    </row>
    <row r="17" spans="1:35">
      <c r="A17" t="s">
        <v>78</v>
      </c>
      <c r="B17" t="s">
        <v>79</v>
      </c>
      <c r="C17">
        <v>45</v>
      </c>
      <c r="D17" t="s">
        <v>34</v>
      </c>
      <c r="E17" t="str">
        <f>IF(OR(Table2[[#This Row],[Gender]]="Male",Table2[[#This Row],[Gender]]="M"),"M",
IF(OR(Table2[[#This Row],[Gender]]="Female",Table2[[#This Row],[Gender]]="F"),"F",""))</f>
        <v>F</v>
      </c>
      <c r="F17" t="s">
        <v>26</v>
      </c>
      <c r="G17" t="s">
        <v>36</v>
      </c>
      <c r="H17" t="s">
        <v>1049</v>
      </c>
      <c r="I17" t="s">
        <v>1059</v>
      </c>
      <c r="J17" t="str">
        <f>IF(ISNUMBER(SEARCH("India",Table2[[#This Row],[Emp_Name]])),"INR",
IF(ISNUMBER(SEARCH("Foreign",Table2[[#This Row],[Emp_Name]])),Table2[[#This Row],[Currency]],Table2[[#This Row],[Currency]]))</f>
        <v>INR</v>
      </c>
      <c r="K17">
        <v>110000</v>
      </c>
      <c r="L17">
        <v>12</v>
      </c>
      <c r="M17">
        <f>IF(Table2[[#This Row],[Num_Month]]&lt;&gt;12,12,Table2[[#This Row],[Num_Month]])</f>
        <v>12</v>
      </c>
      <c r="N17">
        <f>IF(Table2[[#This Row],[Monthly_Salary]]="","",Table2[[#This Row],[Monthly_Salary]]*Table2[[#This Row],[Num_Month_Final]])</f>
        <v>1320000</v>
      </c>
      <c r="O17">
        <v>10</v>
      </c>
      <c r="P17">
        <f>IF(Table2[[#This Row],[Exp_Years]]&lt;0,ABS(Table2[[#This Row],[Exp_Years]]),Table2[[#This Row],[Exp_Years]])</f>
        <v>10</v>
      </c>
      <c r="Q17">
        <v>2</v>
      </c>
      <c r="S17" t="str">
        <f>IF(Table2[[#This Row],[Performance_Rating]]&gt;=3,Table2[[#This Row],[Monthly_Salary]]*0.3,"")</f>
        <v/>
      </c>
      <c r="T17">
        <v>88</v>
      </c>
      <c r="U17">
        <v>7</v>
      </c>
      <c r="V17">
        <v>5</v>
      </c>
      <c r="W17" t="s">
        <v>37</v>
      </c>
      <c r="X17" t="s">
        <v>19</v>
      </c>
      <c r="Y17" t="str">
        <f>IF(Table2[[#This Row],[Work_Mode]]&lt;&gt;"",Table2[[#This Row],[Work_Mode]],
IF(ISNUMBER(SEARCH("India",Table2[[#This Row],[Emp_Name]])),"Office",
IF(ISNUMBER(SEARCH("Foreign",Table2[[#This Row],[Emp_Name]])),"Remote","")))</f>
        <v>Office</v>
      </c>
      <c r="AA17"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17" t="s">
        <v>39</v>
      </c>
      <c r="AC17" t="str">
        <f>IF(COUNTIF(Table2[Emp_ID],Table2[[#This Row],[Emp_ID]])&gt;1,"Duplicate","Unique")</f>
        <v>Unique</v>
      </c>
      <c r="AD17" t="str">
        <f>_xlfn.TEXTJOIN("|",TRUE,Table2[[#This Row],[Emp_ID]:[Salary_Band]])</f>
        <v>ZOM1206|Employee_206_India|45|Female|F|Bangalore|Analytics|Director|USD|INR|110000|12|12|1320000|10|10|2|88|7|5|Yes|Office|Office|Low</v>
      </c>
      <c r="AE17" s="2" t="str">
        <f>IF(COUNTIFS(Table2[Emp_ID],Table2[[#This Row],[Emp_ID]],Table2[Row_Concat],Table2[[#This Row],[Row_Concat]])&gt;1,"Exact Duplicate",
IF(COUNTIF(Table2[Emp_ID],Table2[[#This Row],[Emp_ID]])&gt;1,"Mismatch","Unique"))</f>
        <v>Unique</v>
      </c>
      <c r="AF17">
        <f>ROW()</f>
        <v>17</v>
      </c>
      <c r="AG17" t="str">
        <f>IF(Table2[[#This Row],[Monthly_Salary]]="","Exclude",
IF(Table2[[#This Row],[Row_Status]]="Mismatch","Exclude",
IF(AND(Table2[[#This Row],[Row_Status]]="Exact Duplicate",
COUNTIFS(Table2[Emp_ID],Table2[[#This Row],[Emp_ID]],Table2[Row_Concat],Table2[[#This Row],[Row_Concat]],
Table2[Row_Number],"&lt;"&amp;Table2[[#This Row],[Row_Number]])&gt;=1),"Delete","")))</f>
        <v/>
      </c>
      <c r="AH17" t="str">
        <f>VLOOKUP(Table2[[#This Row],[Department]],Raw_2!A:B,2,0)</f>
        <v>Day</v>
      </c>
      <c r="AI17">
        <f>VLOOKUP(Table2[[#This Row],[Department]],Raw_2!A:C,3,0)</f>
        <v>25</v>
      </c>
    </row>
    <row r="18" spans="1:35">
      <c r="A18" t="s">
        <v>80</v>
      </c>
      <c r="B18" t="s">
        <v>81</v>
      </c>
      <c r="C18">
        <v>45</v>
      </c>
      <c r="D18" t="s">
        <v>25</v>
      </c>
      <c r="E18" t="str">
        <f>IF(OR(Table2[[#This Row],[Gender]]="Male",Table2[[#This Row],[Gender]]="M"),"M",
IF(OR(Table2[[#This Row],[Gender]]="Female",Table2[[#This Row],[Gender]]="F"),"F",""))</f>
        <v>F</v>
      </c>
      <c r="F18" t="s">
        <v>57</v>
      </c>
      <c r="G18" t="s">
        <v>66</v>
      </c>
      <c r="H18" t="s">
        <v>1049</v>
      </c>
      <c r="I18" t="s">
        <v>1060</v>
      </c>
      <c r="J18" t="str">
        <f>IF(ISNUMBER(SEARCH("India",Table2[[#This Row],[Emp_Name]])),"INR",
IF(ISNUMBER(SEARCH("Foreign",Table2[[#This Row],[Emp_Name]])),Table2[[#This Row],[Currency]],Table2[[#This Row],[Currency]]))</f>
        <v>INR</v>
      </c>
      <c r="K18">
        <v>120000</v>
      </c>
      <c r="L18">
        <v>12</v>
      </c>
      <c r="M18">
        <f>IF(Table2[[#This Row],[Num_Month]]&lt;&gt;12,12,Table2[[#This Row],[Num_Month]])</f>
        <v>12</v>
      </c>
      <c r="N18">
        <f>IF(Table2[[#This Row],[Monthly_Salary]]="","",Table2[[#This Row],[Monthly_Salary]]*Table2[[#This Row],[Num_Month_Final]])</f>
        <v>1440000</v>
      </c>
      <c r="O18">
        <v>12</v>
      </c>
      <c r="P18">
        <f>IF(Table2[[#This Row],[Exp_Years]]&lt;0,ABS(Table2[[#This Row],[Exp_Years]]),Table2[[#This Row],[Exp_Years]])</f>
        <v>12</v>
      </c>
      <c r="Q18">
        <v>2</v>
      </c>
      <c r="S18" t="str">
        <f>IF(Table2[[#This Row],[Performance_Rating]]&gt;=3,Table2[[#This Row],[Monthly_Salary]]*0.3,"")</f>
        <v/>
      </c>
      <c r="T18">
        <v>80</v>
      </c>
      <c r="U18">
        <v>5</v>
      </c>
      <c r="V18">
        <v>3</v>
      </c>
      <c r="X18" t="s">
        <v>38</v>
      </c>
      <c r="Y18" t="str">
        <f>IF(Table2[[#This Row],[Work_Mode]]&lt;&gt;"",Table2[[#This Row],[Work_Mode]],
IF(ISNUMBER(SEARCH("India",Table2[[#This Row],[Emp_Name]])),"Office",
IF(ISNUMBER(SEARCH("Foreign",Table2[[#This Row],[Emp_Name]])),"Remote","")))</f>
        <v>Hybrid</v>
      </c>
      <c r="AA18"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18" t="s">
        <v>39</v>
      </c>
      <c r="AC18" t="str">
        <f>IF(COUNTIF(Table2[Emp_ID],Table2[[#This Row],[Emp_ID]])&gt;1,"Duplicate","Unique")</f>
        <v>Unique</v>
      </c>
      <c r="AD18" t="str">
        <f>_xlfn.TEXTJOIN("|",TRUE,Table2[[#This Row],[Emp_ID]:[Salary_Band]])</f>
        <v>ZOM1318|Employee_318_India|45|F|F|Chennai|Finance|Director|INR|INR|120000|12|12|1440000|12|12|2|80|5|3|Hybrid|Hybrid|Low</v>
      </c>
      <c r="AE18" s="2" t="str">
        <f>IF(COUNTIFS(Table2[Emp_ID],Table2[[#This Row],[Emp_ID]],Table2[Row_Concat],Table2[[#This Row],[Row_Concat]])&gt;1,"Exact Duplicate",
IF(COUNTIF(Table2[Emp_ID],Table2[[#This Row],[Emp_ID]])&gt;1,"Mismatch","Unique"))</f>
        <v>Unique</v>
      </c>
      <c r="AF18">
        <f>ROW()</f>
        <v>18</v>
      </c>
      <c r="AG18" t="str">
        <f>IF(Table2[[#This Row],[Monthly_Salary]]="","Exclude",
IF(Table2[[#This Row],[Row_Status]]="Mismatch","Exclude",
IF(AND(Table2[[#This Row],[Row_Status]]="Exact Duplicate",
COUNTIFS(Table2[Emp_ID],Table2[[#This Row],[Emp_ID]],Table2[Row_Concat],Table2[[#This Row],[Row_Concat]],
Table2[Row_Number],"&lt;"&amp;Table2[[#This Row],[Row_Number]])&gt;=1),"Delete","")))</f>
        <v/>
      </c>
      <c r="AH18" t="str">
        <f>VLOOKUP(Table2[[#This Row],[Department]],Raw_2!A:B,2,0)</f>
        <v>Night</v>
      </c>
      <c r="AI18">
        <f>VLOOKUP(Table2[[#This Row],[Department]],Raw_2!A:C,3,0)</f>
        <v>20</v>
      </c>
    </row>
    <row r="19" spans="1:35">
      <c r="A19" t="s">
        <v>83</v>
      </c>
      <c r="B19" t="s">
        <v>84</v>
      </c>
      <c r="C19">
        <v>37</v>
      </c>
      <c r="D19" t="s">
        <v>25</v>
      </c>
      <c r="E19" t="str">
        <f>IF(OR(Table2[[#This Row],[Gender]]="Male",Table2[[#This Row],[Gender]]="M"),"M",
IF(OR(Table2[[#This Row],[Gender]]="Female",Table2[[#This Row],[Gender]]="F"),"F",""))</f>
        <v>F</v>
      </c>
      <c r="F19" t="s">
        <v>47</v>
      </c>
      <c r="G19" t="s">
        <v>36</v>
      </c>
      <c r="H19" t="s">
        <v>32</v>
      </c>
      <c r="I19" t="s">
        <v>1060</v>
      </c>
      <c r="J19" t="str">
        <f>IF(ISNUMBER(SEARCH("India",Table2[[#This Row],[Emp_Name]])),"INR",
IF(ISNUMBER(SEARCH("Foreign",Table2[[#This Row],[Emp_Name]])),Table2[[#This Row],[Currency]],Table2[[#This Row],[Currency]]))</f>
        <v>INR</v>
      </c>
      <c r="K19">
        <v>90000</v>
      </c>
      <c r="L19">
        <v>12</v>
      </c>
      <c r="M19">
        <f>IF(Table2[[#This Row],[Num_Month]]&lt;&gt;12,12,Table2[[#This Row],[Num_Month]])</f>
        <v>12</v>
      </c>
      <c r="N19">
        <f>IF(Table2[[#This Row],[Monthly_Salary]]="","",Table2[[#This Row],[Monthly_Salary]]*Table2[[#This Row],[Num_Month_Final]])</f>
        <v>1080000</v>
      </c>
      <c r="O19">
        <v>12</v>
      </c>
      <c r="P19">
        <f>IF(Table2[[#This Row],[Exp_Years]]&lt;0,ABS(Table2[[#This Row],[Exp_Years]]),Table2[[#This Row],[Exp_Years]])</f>
        <v>12</v>
      </c>
      <c r="Q19">
        <v>4</v>
      </c>
      <c r="R19">
        <v>47000</v>
      </c>
      <c r="S19">
        <f>IF(Table2[[#This Row],[Performance_Rating]]&gt;=3,Table2[[#This Row],[Monthly_Salary]]*0.3,"")</f>
        <v>27000</v>
      </c>
      <c r="T19">
        <v>85</v>
      </c>
      <c r="U19">
        <v>7</v>
      </c>
      <c r="V19">
        <v>3</v>
      </c>
      <c r="W19" t="s">
        <v>37</v>
      </c>
      <c r="X19" t="s">
        <v>38</v>
      </c>
      <c r="Y19" t="str">
        <f>IF(Table2[[#This Row],[Work_Mode]]&lt;&gt;"",Table2[[#This Row],[Work_Mode]],
IF(ISNUMBER(SEARCH("India",Table2[[#This Row],[Emp_Name]])),"Office",
IF(ISNUMBER(SEARCH("Foreign",Table2[[#This Row],[Emp_Name]])),"Remote","")))</f>
        <v>Hybrid</v>
      </c>
      <c r="Z19">
        <v>5</v>
      </c>
      <c r="AA1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1750</v>
      </c>
      <c r="AB19" t="s">
        <v>58</v>
      </c>
      <c r="AC19" t="str">
        <f>IF(COUNTIF(Table2[Emp_ID],Table2[[#This Row],[Emp_ID]])&gt;1,"Duplicate","Unique")</f>
        <v>Unique</v>
      </c>
      <c r="AD19" t="str">
        <f>_xlfn.TEXTJOIN("|",TRUE,Table2[[#This Row],[Emp_ID]:[Salary_Band]])</f>
        <v>ZOM1212|Employee_212_India|37|F|F|Gurugram|Analytics|Senior Manager|INR|INR|90000|12|12|1080000|12|12|4|47000|27000|85|7|3|Yes|Hybrid|Hybrid|5|1750|High</v>
      </c>
      <c r="AE19" s="2" t="str">
        <f>IF(COUNTIFS(Table2[Emp_ID],Table2[[#This Row],[Emp_ID]],Table2[Row_Concat],Table2[[#This Row],[Row_Concat]])&gt;1,"Exact Duplicate",
IF(COUNTIF(Table2[Emp_ID],Table2[[#This Row],[Emp_ID]])&gt;1,"Mismatch","Unique"))</f>
        <v>Unique</v>
      </c>
      <c r="AF19">
        <f>ROW()</f>
        <v>19</v>
      </c>
      <c r="AG19" t="str">
        <f>IF(Table2[[#This Row],[Monthly_Salary]]="","Exclude",
IF(Table2[[#This Row],[Row_Status]]="Mismatch","Exclude",
IF(AND(Table2[[#This Row],[Row_Status]]="Exact Duplicate",
COUNTIFS(Table2[Emp_ID],Table2[[#This Row],[Emp_ID]],Table2[Row_Concat],Table2[[#This Row],[Row_Concat]],
Table2[Row_Number],"&lt;"&amp;Table2[[#This Row],[Row_Number]])&gt;=1),"Delete","")))</f>
        <v/>
      </c>
      <c r="AH19" t="str">
        <f>VLOOKUP(Table2[[#This Row],[Department]],Raw_2!A:B,2,0)</f>
        <v>Day</v>
      </c>
      <c r="AI19">
        <f>VLOOKUP(Table2[[#This Row],[Department]],Raw_2!A:C,3,0)</f>
        <v>25</v>
      </c>
    </row>
    <row r="20" spans="1:35">
      <c r="A20" t="s">
        <v>85</v>
      </c>
      <c r="B20" t="s">
        <v>86</v>
      </c>
      <c r="C20">
        <v>41</v>
      </c>
      <c r="D20" t="s">
        <v>25</v>
      </c>
      <c r="E20" t="str">
        <f>IF(OR(Table2[[#This Row],[Gender]]="Male",Table2[[#This Row],[Gender]]="M"),"M",
IF(OR(Table2[[#This Row],[Gender]]="Female",Table2[[#This Row],[Gender]]="F"),"F",""))</f>
        <v>F</v>
      </c>
      <c r="F20" t="s">
        <v>73</v>
      </c>
      <c r="G20" t="s">
        <v>66</v>
      </c>
      <c r="H20" t="s">
        <v>1049</v>
      </c>
      <c r="I20" t="s">
        <v>1060</v>
      </c>
      <c r="J20" t="str">
        <f>IF(ISNUMBER(SEARCH("India",Table2[[#This Row],[Emp_Name]])),"INR",
IF(ISNUMBER(SEARCH("Foreign",Table2[[#This Row],[Emp_Name]])),Table2[[#This Row],[Currency]],Table2[[#This Row],[Currency]]))</f>
        <v>INR</v>
      </c>
      <c r="K20">
        <v>123000</v>
      </c>
      <c r="L20">
        <v>12</v>
      </c>
      <c r="M20">
        <f>IF(Table2[[#This Row],[Num_Month]]&lt;&gt;12,12,Table2[[#This Row],[Num_Month]])</f>
        <v>12</v>
      </c>
      <c r="N20">
        <f>IF(Table2[[#This Row],[Monthly_Salary]]="","",Table2[[#This Row],[Monthly_Salary]]*Table2[[#This Row],[Num_Month_Final]])</f>
        <v>1476000</v>
      </c>
      <c r="O20">
        <v>13</v>
      </c>
      <c r="P20">
        <f>IF(Table2[[#This Row],[Exp_Years]]&lt;0,ABS(Table2[[#This Row],[Exp_Years]]),Table2[[#This Row],[Exp_Years]])</f>
        <v>13</v>
      </c>
      <c r="Q20">
        <v>3</v>
      </c>
      <c r="R20">
        <v>54000</v>
      </c>
      <c r="S20">
        <f>IF(Table2[[#This Row],[Performance_Rating]]&gt;=3,Table2[[#This Row],[Monthly_Salary]]*0.3,"")</f>
        <v>36900</v>
      </c>
      <c r="T20">
        <v>95</v>
      </c>
      <c r="U20">
        <v>15</v>
      </c>
      <c r="V20">
        <v>2</v>
      </c>
      <c r="W20" t="s">
        <v>37</v>
      </c>
      <c r="X20" t="s">
        <v>19</v>
      </c>
      <c r="Y20" t="str">
        <f>IF(Table2[[#This Row],[Work_Mode]]&lt;&gt;"",Table2[[#This Row],[Work_Mode]],
IF(ISNUMBER(SEARCH("India",Table2[[#This Row],[Emp_Name]])),"Office",
IF(ISNUMBER(SEARCH("Foreign",Table2[[#This Row],[Emp_Name]])),"Remote","")))</f>
        <v>Office</v>
      </c>
      <c r="Z20">
        <v>10</v>
      </c>
      <c r="AA20"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20" t="s">
        <v>22</v>
      </c>
      <c r="AC20" t="str">
        <f>IF(COUNTIF(Table2[Emp_ID],Table2[[#This Row],[Emp_ID]])&gt;1,"Duplicate","Unique")</f>
        <v>Unique</v>
      </c>
      <c r="AD20" t="str">
        <f>_xlfn.TEXTJOIN("|",TRUE,Table2[[#This Row],[Emp_ID]:[Salary_Band]])</f>
        <v>ZOM1255|Employee_255_India|41|F|F|Indore|Finance|Director|INR|INR|123000|12|12|1476000|13|13|3|54000|36900|95|15|2|Yes|Office|Office|10|Medium</v>
      </c>
      <c r="AE20" s="2" t="str">
        <f>IF(COUNTIFS(Table2[Emp_ID],Table2[[#This Row],[Emp_ID]],Table2[Row_Concat],Table2[[#This Row],[Row_Concat]])&gt;1,"Exact Duplicate",
IF(COUNTIF(Table2[Emp_ID],Table2[[#This Row],[Emp_ID]])&gt;1,"Mismatch","Unique"))</f>
        <v>Unique</v>
      </c>
      <c r="AF20">
        <f>ROW()</f>
        <v>20</v>
      </c>
      <c r="AG20" t="str">
        <f>IF(Table2[[#This Row],[Monthly_Salary]]="","Exclude",
IF(Table2[[#This Row],[Row_Status]]="Mismatch","Exclude",
IF(AND(Table2[[#This Row],[Row_Status]]="Exact Duplicate",
COUNTIFS(Table2[Emp_ID],Table2[[#This Row],[Emp_ID]],Table2[Row_Concat],Table2[[#This Row],[Row_Concat]],
Table2[Row_Number],"&lt;"&amp;Table2[[#This Row],[Row_Number]])&gt;=1),"Delete","")))</f>
        <v/>
      </c>
      <c r="AH20" t="str">
        <f>VLOOKUP(Table2[[#This Row],[Department]],Raw_2!A:B,2,0)</f>
        <v>Night</v>
      </c>
      <c r="AI20">
        <f>VLOOKUP(Table2[[#This Row],[Department]],Raw_2!A:C,3,0)</f>
        <v>20</v>
      </c>
    </row>
    <row r="21" spans="1:35">
      <c r="A21" t="s">
        <v>87</v>
      </c>
      <c r="B21" t="s">
        <v>88</v>
      </c>
      <c r="C21">
        <v>26</v>
      </c>
      <c r="D21" t="s">
        <v>34</v>
      </c>
      <c r="E21" t="str">
        <f>IF(OR(Table2[[#This Row],[Gender]]="Male",Table2[[#This Row],[Gender]]="M"),"M",
IF(OR(Table2[[#This Row],[Gender]]="Female",Table2[[#This Row],[Gender]]="F"),"F",""))</f>
        <v>F</v>
      </c>
      <c r="G21" t="s">
        <v>42</v>
      </c>
      <c r="H21" t="s">
        <v>51</v>
      </c>
      <c r="I21" t="s">
        <v>1060</v>
      </c>
      <c r="J21" t="str">
        <f>IF(ISNUMBER(SEARCH("India",Table2[[#This Row],[Emp_Name]])),"INR",
IF(ISNUMBER(SEARCH("Foreign",Table2[[#This Row],[Emp_Name]])),Table2[[#This Row],[Currency]],Table2[[#This Row],[Currency]]))</f>
        <v>INR</v>
      </c>
      <c r="K21">
        <v>48000</v>
      </c>
      <c r="L21">
        <v>12</v>
      </c>
      <c r="M21">
        <f>IF(Table2[[#This Row],[Num_Month]]&lt;&gt;12,12,Table2[[#This Row],[Num_Month]])</f>
        <v>12</v>
      </c>
      <c r="N21">
        <f>IF(Table2[[#This Row],[Monthly_Salary]]="","",Table2[[#This Row],[Monthly_Salary]]*Table2[[#This Row],[Num_Month_Final]])</f>
        <v>576000</v>
      </c>
      <c r="O21">
        <v>4</v>
      </c>
      <c r="P21">
        <f>IF(Table2[[#This Row],[Exp_Years]]&lt;0,ABS(Table2[[#This Row],[Exp_Years]]),Table2[[#This Row],[Exp_Years]])</f>
        <v>4</v>
      </c>
      <c r="Q21">
        <v>1</v>
      </c>
      <c r="S21" t="str">
        <f>IF(Table2[[#This Row],[Performance_Rating]]&gt;=3,Table2[[#This Row],[Monthly_Salary]]*0.3,"")</f>
        <v/>
      </c>
      <c r="T21">
        <v>88</v>
      </c>
      <c r="U21">
        <v>15</v>
      </c>
      <c r="V21">
        <v>2</v>
      </c>
      <c r="X21" t="s">
        <v>38</v>
      </c>
      <c r="Y21" t="str">
        <f>IF(Table2[[#This Row],[Work_Mode]]&lt;&gt;"",Table2[[#This Row],[Work_Mode]],
IF(ISNUMBER(SEARCH("India",Table2[[#This Row],[Emp_Name]])),"Office",
IF(ISNUMBER(SEARCH("Foreign",Table2[[#This Row],[Emp_Name]])),"Remote","")))</f>
        <v>Hybrid</v>
      </c>
      <c r="Z21">
        <v>20</v>
      </c>
      <c r="AA2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21" t="s">
        <v>39</v>
      </c>
      <c r="AC21" t="str">
        <f>IF(COUNTIF(Table2[Emp_ID],Table2[[#This Row],[Emp_ID]])&gt;1,"Duplicate","Unique")</f>
        <v>Unique</v>
      </c>
      <c r="AD21" t="str">
        <f>_xlfn.TEXTJOIN("|",TRUE,Table2[[#This Row],[Emp_ID]:[Salary_Band]])</f>
        <v>ZOM1390|Employee_390_India|26|Female|F|Operations|Senior Analyst|INR|INR|48000|12|12|576000|4|4|1|88|15|2|Hybrid|Hybrid|20|6000|Low</v>
      </c>
      <c r="AE21" s="2" t="str">
        <f>IF(COUNTIFS(Table2[Emp_ID],Table2[[#This Row],[Emp_ID]],Table2[Row_Concat],Table2[[#This Row],[Row_Concat]])&gt;1,"Exact Duplicate",
IF(COUNTIF(Table2[Emp_ID],Table2[[#This Row],[Emp_ID]])&gt;1,"Mismatch","Unique"))</f>
        <v>Unique</v>
      </c>
      <c r="AF21">
        <f>ROW()</f>
        <v>21</v>
      </c>
      <c r="AG21" t="str">
        <f>IF(Table2[[#This Row],[Monthly_Salary]]="","Exclude",
IF(Table2[[#This Row],[Row_Status]]="Mismatch","Exclude",
IF(AND(Table2[[#This Row],[Row_Status]]="Exact Duplicate",
COUNTIFS(Table2[Emp_ID],Table2[[#This Row],[Emp_ID]],Table2[Row_Concat],Table2[[#This Row],[Row_Concat]],
Table2[Row_Number],"&lt;"&amp;Table2[[#This Row],[Row_Number]])&gt;=1),"Delete","")))</f>
        <v/>
      </c>
      <c r="AH21" t="str">
        <f>VLOOKUP(Table2[[#This Row],[Department]],Raw_2!A:B,2,0)</f>
        <v>Day</v>
      </c>
      <c r="AI21">
        <f>VLOOKUP(Table2[[#This Row],[Department]],Raw_2!A:C,3,0)</f>
        <v>14</v>
      </c>
    </row>
    <row r="22" spans="1:35">
      <c r="A22" t="s">
        <v>89</v>
      </c>
      <c r="B22" t="s">
        <v>90</v>
      </c>
      <c r="C22">
        <v>26</v>
      </c>
      <c r="D22" t="s">
        <v>34</v>
      </c>
      <c r="E22" t="str">
        <f>IF(OR(Table2[[#This Row],[Gender]]="Male",Table2[[#This Row],[Gender]]="M"),"M",
IF(OR(Table2[[#This Row],[Gender]]="Female",Table2[[#This Row],[Gender]]="F"),"F",""))</f>
        <v>F</v>
      </c>
      <c r="F22" t="s">
        <v>61</v>
      </c>
      <c r="G22" t="s">
        <v>36</v>
      </c>
      <c r="H22" t="s">
        <v>51</v>
      </c>
      <c r="I22" t="s">
        <v>1060</v>
      </c>
      <c r="J22" t="str">
        <f>IF(ISNUMBER(SEARCH("India",Table2[[#This Row],[Emp_Name]])),"INR",
IF(ISNUMBER(SEARCH("Foreign",Table2[[#This Row],[Emp_Name]])),Table2[[#This Row],[Currency]],Table2[[#This Row],[Currency]]))</f>
        <v>INR</v>
      </c>
      <c r="K22">
        <v>32000</v>
      </c>
      <c r="L22">
        <v>15</v>
      </c>
      <c r="M22">
        <f>IF(Table2[[#This Row],[Num_Month]]&lt;&gt;12,12,Table2[[#This Row],[Num_Month]])</f>
        <v>12</v>
      </c>
      <c r="N22">
        <f>IF(Table2[[#This Row],[Monthly_Salary]]="","",Table2[[#This Row],[Monthly_Salary]]*Table2[[#This Row],[Num_Month_Final]])</f>
        <v>384000</v>
      </c>
      <c r="O22">
        <v>2</v>
      </c>
      <c r="P22">
        <f>IF(Table2[[#This Row],[Exp_Years]]&lt;0,ABS(Table2[[#This Row],[Exp_Years]]),Table2[[#This Row],[Exp_Years]])</f>
        <v>2</v>
      </c>
      <c r="Q22">
        <v>4</v>
      </c>
      <c r="R22">
        <v>15000</v>
      </c>
      <c r="S22">
        <f>IF(Table2[[#This Row],[Performance_Rating]]&gt;=3,Table2[[#This Row],[Monthly_Salary]]*0.3,"")</f>
        <v>9600</v>
      </c>
      <c r="T22">
        <v>88</v>
      </c>
      <c r="U22">
        <v>10</v>
      </c>
      <c r="V22">
        <v>5</v>
      </c>
      <c r="X22" t="s">
        <v>19</v>
      </c>
      <c r="Y22" t="str">
        <f>IF(Table2[[#This Row],[Work_Mode]]&lt;&gt;"",Table2[[#This Row],[Work_Mode]],
IF(ISNUMBER(SEARCH("India",Table2[[#This Row],[Emp_Name]])),"Office",
IF(ISNUMBER(SEARCH("Foreign",Table2[[#This Row],[Emp_Name]])),"Remote","")))</f>
        <v>Office</v>
      </c>
      <c r="AA2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2" t="s">
        <v>22</v>
      </c>
      <c r="AC22" t="str">
        <f>IF(COUNTIF(Table2[Emp_ID],Table2[[#This Row],[Emp_ID]])&gt;1,"Duplicate","Unique")</f>
        <v>Unique</v>
      </c>
      <c r="AD22" t="str">
        <f>_xlfn.TEXTJOIN("|",TRUE,Table2[[#This Row],[Emp_ID]:[Salary_Band]])</f>
        <v>ZOM1234|Employee_234_India|26|Female|F|Hyderabad|Analytics|Senior Analyst|INR|INR|32000|15|12|384000|2|2|4|15000|9600|88|10|5|Office|Office|0|Medium</v>
      </c>
      <c r="AE22" s="2" t="str">
        <f>IF(COUNTIFS(Table2[Emp_ID],Table2[[#This Row],[Emp_ID]],Table2[Row_Concat],Table2[[#This Row],[Row_Concat]])&gt;1,"Exact Duplicate",
IF(COUNTIF(Table2[Emp_ID],Table2[[#This Row],[Emp_ID]])&gt;1,"Mismatch","Unique"))</f>
        <v>Unique</v>
      </c>
      <c r="AF22">
        <f>ROW()</f>
        <v>22</v>
      </c>
      <c r="AG22" t="str">
        <f>IF(Table2[[#This Row],[Monthly_Salary]]="","Exclude",
IF(Table2[[#This Row],[Row_Status]]="Mismatch","Exclude",
IF(AND(Table2[[#This Row],[Row_Status]]="Exact Duplicate",
COUNTIFS(Table2[Emp_ID],Table2[[#This Row],[Emp_ID]],Table2[Row_Concat],Table2[[#This Row],[Row_Concat]],
Table2[Row_Number],"&lt;"&amp;Table2[[#This Row],[Row_Number]])&gt;=1),"Delete","")))</f>
        <v/>
      </c>
      <c r="AH22" t="str">
        <f>VLOOKUP(Table2[[#This Row],[Department]],Raw_2!A:B,2,0)</f>
        <v>Day</v>
      </c>
      <c r="AI22">
        <f>VLOOKUP(Table2[[#This Row],[Department]],Raw_2!A:C,3,0)</f>
        <v>25</v>
      </c>
    </row>
    <row r="23" spans="1:35">
      <c r="A23" t="s">
        <v>91</v>
      </c>
      <c r="B23" t="s">
        <v>92</v>
      </c>
      <c r="C23">
        <v>34</v>
      </c>
      <c r="D23" t="s">
        <v>16</v>
      </c>
      <c r="E23" t="str">
        <f>IF(OR(Table2[[#This Row],[Gender]]="Male",Table2[[#This Row],[Gender]]="M"),"M",
IF(OR(Table2[[#This Row],[Gender]]="Female",Table2[[#This Row],[Gender]]="F"),"F",""))</f>
        <v>M</v>
      </c>
      <c r="F23" t="s">
        <v>61</v>
      </c>
      <c r="G23" t="s">
        <v>31</v>
      </c>
      <c r="H23" t="s">
        <v>82</v>
      </c>
      <c r="I23" t="s">
        <v>1060</v>
      </c>
      <c r="J23" t="str">
        <f>IF(ISNUMBER(SEARCH("India",Table2[[#This Row],[Emp_Name]])),"INR",
IF(ISNUMBER(SEARCH("Foreign",Table2[[#This Row],[Emp_Name]])),Table2[[#This Row],[Currency]],Table2[[#This Row],[Currency]]))</f>
        <v>INR</v>
      </c>
      <c r="K23">
        <v>79000</v>
      </c>
      <c r="L23">
        <v>12</v>
      </c>
      <c r="M23">
        <f>IF(Table2[[#This Row],[Num_Month]]&lt;&gt;12,12,Table2[[#This Row],[Num_Month]])</f>
        <v>12</v>
      </c>
      <c r="N23">
        <f>IF(Table2[[#This Row],[Monthly_Salary]]="","",Table2[[#This Row],[Monthly_Salary]]*Table2[[#This Row],[Num_Month_Final]])</f>
        <v>948000</v>
      </c>
      <c r="O23">
        <v>6</v>
      </c>
      <c r="P23">
        <f>IF(Table2[[#This Row],[Exp_Years]]&lt;0,ABS(Table2[[#This Row],[Exp_Years]]),Table2[[#This Row],[Exp_Years]])</f>
        <v>6</v>
      </c>
      <c r="Q23">
        <v>5</v>
      </c>
      <c r="R23">
        <v>32000</v>
      </c>
      <c r="S23">
        <f>IF(Table2[[#This Row],[Performance_Rating]]&gt;=3,Table2[[#This Row],[Monthly_Salary]]*0.3,"")</f>
        <v>23700</v>
      </c>
      <c r="T23">
        <v>85</v>
      </c>
      <c r="U23">
        <v>10</v>
      </c>
      <c r="V23">
        <v>3</v>
      </c>
      <c r="W23" t="s">
        <v>37</v>
      </c>
      <c r="X23" t="s">
        <v>38</v>
      </c>
      <c r="Y23" t="str">
        <f>IF(Table2[[#This Row],[Work_Mode]]&lt;&gt;"",Table2[[#This Row],[Work_Mode]],
IF(ISNUMBER(SEARCH("India",Table2[[#This Row],[Emp_Name]])),"Office",
IF(ISNUMBER(SEARCH("Foreign",Table2[[#This Row],[Emp_Name]])),"Remote","")))</f>
        <v>Hybrid</v>
      </c>
      <c r="Z23">
        <v>10</v>
      </c>
      <c r="AA2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3500</v>
      </c>
      <c r="AB23" t="s">
        <v>58</v>
      </c>
      <c r="AC23" t="str">
        <f>IF(COUNTIF(Table2[Emp_ID],Table2[[#This Row],[Emp_ID]])&gt;1,"Duplicate","Unique")</f>
        <v>Unique</v>
      </c>
      <c r="AD23" t="str">
        <f>_xlfn.TEXTJOIN("|",TRUE,Table2[[#This Row],[Emp_ID]:[Salary_Band]])</f>
        <v>ZOM1385|Employee_385_India|34|Male|M|Hyderabad|Logistics|Manager|INR|INR|79000|12|12|948000|6|6|5|32000|23700|85|10|3|Yes|Hybrid|Hybrid|10|3500|High</v>
      </c>
      <c r="AE23" s="2" t="str">
        <f>IF(COUNTIFS(Table2[Emp_ID],Table2[[#This Row],[Emp_ID]],Table2[Row_Concat],Table2[[#This Row],[Row_Concat]])&gt;1,"Exact Duplicate",
IF(COUNTIF(Table2[Emp_ID],Table2[[#This Row],[Emp_ID]])&gt;1,"Mismatch","Unique"))</f>
        <v>Unique</v>
      </c>
      <c r="AF23">
        <f>ROW()</f>
        <v>23</v>
      </c>
      <c r="AG23" t="str">
        <f>IF(Table2[[#This Row],[Monthly_Salary]]="","Exclude",
IF(Table2[[#This Row],[Row_Status]]="Mismatch","Exclude",
IF(AND(Table2[[#This Row],[Row_Status]]="Exact Duplicate",
COUNTIFS(Table2[Emp_ID],Table2[[#This Row],[Emp_ID]],Table2[Row_Concat],Table2[[#This Row],[Row_Concat]],
Table2[Row_Number],"&lt;"&amp;Table2[[#This Row],[Row_Number]])&gt;=1),"Delete","")))</f>
        <v/>
      </c>
      <c r="AH23" t="str">
        <f>VLOOKUP(Table2[[#This Row],[Department]],Raw_2!A:B,2,0)</f>
        <v>Night</v>
      </c>
      <c r="AI23">
        <f>VLOOKUP(Table2[[#This Row],[Department]],Raw_2!A:C,3,0)</f>
        <v>13</v>
      </c>
    </row>
    <row r="24" spans="1:35">
      <c r="A24" t="s">
        <v>93</v>
      </c>
      <c r="B24" t="s">
        <v>94</v>
      </c>
      <c r="C24">
        <v>44</v>
      </c>
      <c r="D24" t="s">
        <v>25</v>
      </c>
      <c r="E24" t="str">
        <f>IF(OR(Table2[[#This Row],[Gender]]="Male",Table2[[#This Row],[Gender]]="M"),"M",
IF(OR(Table2[[#This Row],[Gender]]="Female",Table2[[#This Row],[Gender]]="F"),"F",""))</f>
        <v>F</v>
      </c>
      <c r="F24" t="s">
        <v>65</v>
      </c>
      <c r="G24" t="s">
        <v>27</v>
      </c>
      <c r="H24" t="s">
        <v>1049</v>
      </c>
      <c r="I24" t="s">
        <v>1060</v>
      </c>
      <c r="J24" t="str">
        <f>IF(ISNUMBER(SEARCH("India",Table2[[#This Row],[Emp_Name]])),"INR",
IF(ISNUMBER(SEARCH("Foreign",Table2[[#This Row],[Emp_Name]])),Table2[[#This Row],[Currency]],Table2[[#This Row],[Currency]]))</f>
        <v>INR</v>
      </c>
      <c r="K24">
        <v>120000</v>
      </c>
      <c r="L24">
        <v>12</v>
      </c>
      <c r="M24">
        <f>IF(Table2[[#This Row],[Num_Month]]&lt;&gt;12,12,Table2[[#This Row],[Num_Month]])</f>
        <v>12</v>
      </c>
      <c r="N24">
        <f>IF(Table2[[#This Row],[Monthly_Salary]]="","",Table2[[#This Row],[Monthly_Salary]]*Table2[[#This Row],[Num_Month_Final]])</f>
        <v>1440000</v>
      </c>
      <c r="O24">
        <v>10</v>
      </c>
      <c r="P24">
        <f>IF(Table2[[#This Row],[Exp_Years]]&lt;0,ABS(Table2[[#This Row],[Exp_Years]]),Table2[[#This Row],[Exp_Years]])</f>
        <v>10</v>
      </c>
      <c r="Q24">
        <v>4</v>
      </c>
      <c r="R24">
        <v>54000</v>
      </c>
      <c r="S24">
        <f>IF(Table2[[#This Row],[Performance_Rating]]&gt;=3,Table2[[#This Row],[Monthly_Salary]]*0.3,"")</f>
        <v>36000</v>
      </c>
      <c r="T24">
        <v>85</v>
      </c>
      <c r="U24">
        <v>7</v>
      </c>
      <c r="V24">
        <v>3</v>
      </c>
      <c r="W24" t="s">
        <v>21</v>
      </c>
      <c r="X24" t="s">
        <v>38</v>
      </c>
      <c r="Y24" t="str">
        <f>IF(Table2[[#This Row],[Work_Mode]]&lt;&gt;"",Table2[[#This Row],[Work_Mode]],
IF(ISNUMBER(SEARCH("India",Table2[[#This Row],[Emp_Name]])),"Office",
IF(ISNUMBER(SEARCH("Foreign",Table2[[#This Row],[Emp_Name]])),"Remote","")))</f>
        <v>Hybrid</v>
      </c>
      <c r="AA24"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24" t="s">
        <v>58</v>
      </c>
      <c r="AC24" t="str">
        <f>IF(COUNTIF(Table2[Emp_ID],Table2[[#This Row],[Emp_ID]])&gt;1,"Duplicate","Unique")</f>
        <v>Unique</v>
      </c>
      <c r="AD24" t="str">
        <f>_xlfn.TEXTJOIN("|",TRUE,Table2[[#This Row],[Emp_ID]:[Salary_Band]])</f>
        <v>ZOM1058|Employee_58_India|44|F|F|Kolkata|Customer Support|Director|INR|INR|120000|12|12|1440000|10|10|4|54000|36000|85|7|3|No|Hybrid|Hybrid|High</v>
      </c>
      <c r="AE24" s="2" t="str">
        <f>IF(COUNTIFS(Table2[Emp_ID],Table2[[#This Row],[Emp_ID]],Table2[Row_Concat],Table2[[#This Row],[Row_Concat]])&gt;1,"Exact Duplicate",
IF(COUNTIF(Table2[Emp_ID],Table2[[#This Row],[Emp_ID]])&gt;1,"Mismatch","Unique"))</f>
        <v>Unique</v>
      </c>
      <c r="AF24">
        <f>ROW()</f>
        <v>24</v>
      </c>
      <c r="AG24" t="str">
        <f>IF(Table2[[#This Row],[Monthly_Salary]]="","Exclude",
IF(Table2[[#This Row],[Row_Status]]="Mismatch","Exclude",
IF(AND(Table2[[#This Row],[Row_Status]]="Exact Duplicate",
COUNTIFS(Table2[Emp_ID],Table2[[#This Row],[Emp_ID]],Table2[Row_Concat],Table2[[#This Row],[Row_Concat]],
Table2[Row_Number],"&lt;"&amp;Table2[[#This Row],[Row_Number]])&gt;=1),"Delete","")))</f>
        <v/>
      </c>
      <c r="AH24" t="str">
        <f>VLOOKUP(Table2[[#This Row],[Department]],Raw_2!A:B,2,0)</f>
        <v>Day</v>
      </c>
      <c r="AI24">
        <f>VLOOKUP(Table2[[#This Row],[Department]],Raw_2!A:C,3,0)</f>
        <v>12</v>
      </c>
    </row>
    <row r="25" spans="1:35">
      <c r="A25" t="s">
        <v>95</v>
      </c>
      <c r="B25" t="s">
        <v>96</v>
      </c>
      <c r="C25">
        <v>27</v>
      </c>
      <c r="D25" t="s">
        <v>25</v>
      </c>
      <c r="E25" t="str">
        <f>IF(OR(Table2[[#This Row],[Gender]]="Male",Table2[[#This Row],[Gender]]="M"),"M",
IF(OR(Table2[[#This Row],[Gender]]="Female",Table2[[#This Row],[Gender]]="F"),"F",""))</f>
        <v>F</v>
      </c>
      <c r="F25" t="s">
        <v>50</v>
      </c>
      <c r="G25" t="s">
        <v>31</v>
      </c>
      <c r="H25" t="s">
        <v>51</v>
      </c>
      <c r="I25" t="s">
        <v>1060</v>
      </c>
      <c r="J25" t="str">
        <f>IF(ISNUMBER(SEARCH("India",Table2[[#This Row],[Emp_Name]])),"INR",
IF(ISNUMBER(SEARCH("Foreign",Table2[[#This Row],[Emp_Name]])),Table2[[#This Row],[Currency]],Table2[[#This Row],[Currency]]))</f>
        <v>INR</v>
      </c>
      <c r="K25">
        <v>38000</v>
      </c>
      <c r="L25">
        <v>12</v>
      </c>
      <c r="M25">
        <f>IF(Table2[[#This Row],[Num_Month]]&lt;&gt;12,12,Table2[[#This Row],[Num_Month]])</f>
        <v>12</v>
      </c>
      <c r="N25">
        <f>IF(Table2[[#This Row],[Monthly_Salary]]="","",Table2[[#This Row],[Monthly_Salary]]*Table2[[#This Row],[Num_Month_Final]])</f>
        <v>456000</v>
      </c>
      <c r="O25">
        <v>3</v>
      </c>
      <c r="P25">
        <f>IF(Table2[[#This Row],[Exp_Years]]&lt;0,ABS(Table2[[#This Row],[Exp_Years]]),Table2[[#This Row],[Exp_Years]])</f>
        <v>3</v>
      </c>
      <c r="Q25">
        <v>1</v>
      </c>
      <c r="S25" t="str">
        <f>IF(Table2[[#This Row],[Performance_Rating]]&gt;=3,Table2[[#This Row],[Monthly_Salary]]*0.3,"")</f>
        <v/>
      </c>
      <c r="T25">
        <v>88</v>
      </c>
      <c r="U25">
        <v>15</v>
      </c>
      <c r="V25">
        <v>2</v>
      </c>
      <c r="W25" t="s">
        <v>37</v>
      </c>
      <c r="X25" t="s">
        <v>19</v>
      </c>
      <c r="Y25" t="str">
        <f>IF(Table2[[#This Row],[Work_Mode]]&lt;&gt;"",Table2[[#This Row],[Work_Mode]],
IF(ISNUMBER(SEARCH("India",Table2[[#This Row],[Emp_Name]])),"Office",
IF(ISNUMBER(SEARCH("Foreign",Table2[[#This Row],[Emp_Name]])),"Remote","")))</f>
        <v>Office</v>
      </c>
      <c r="Z25">
        <v>20</v>
      </c>
      <c r="AA2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25" t="s">
        <v>39</v>
      </c>
      <c r="AC25" t="str">
        <f>IF(COUNTIF(Table2[Emp_ID],Table2[[#This Row],[Emp_ID]])&gt;1,"Duplicate","Unique")</f>
        <v>Unique</v>
      </c>
      <c r="AD25" t="str">
        <f>_xlfn.TEXTJOIN("|",TRUE,Table2[[#This Row],[Emp_ID]:[Salary_Band]])</f>
        <v>ZOM1073|Employee_73_India|27|F|F|Delhi|Logistics|Senior Analyst|INR|INR|38000|12|12|456000|3|3|1|88|15|2|Yes|Office|Office|20|6000|Low</v>
      </c>
      <c r="AE25" s="2" t="str">
        <f>IF(COUNTIFS(Table2[Emp_ID],Table2[[#This Row],[Emp_ID]],Table2[Row_Concat],Table2[[#This Row],[Row_Concat]])&gt;1,"Exact Duplicate",
IF(COUNTIF(Table2[Emp_ID],Table2[[#This Row],[Emp_ID]])&gt;1,"Mismatch","Unique"))</f>
        <v>Unique</v>
      </c>
      <c r="AF25">
        <f>ROW()</f>
        <v>25</v>
      </c>
      <c r="AG25" t="str">
        <f>IF(Table2[[#This Row],[Monthly_Salary]]="","Exclude",
IF(Table2[[#This Row],[Row_Status]]="Mismatch","Exclude",
IF(AND(Table2[[#This Row],[Row_Status]]="Exact Duplicate",
COUNTIFS(Table2[Emp_ID],Table2[[#This Row],[Emp_ID]],Table2[Row_Concat],Table2[[#This Row],[Row_Concat]],
Table2[Row_Number],"&lt;"&amp;Table2[[#This Row],[Row_Number]])&gt;=1),"Delete","")))</f>
        <v/>
      </c>
      <c r="AH25" t="str">
        <f>VLOOKUP(Table2[[#This Row],[Department]],Raw_2!A:B,2,0)</f>
        <v>Night</v>
      </c>
      <c r="AI25">
        <f>VLOOKUP(Table2[[#This Row],[Department]],Raw_2!A:C,3,0)</f>
        <v>13</v>
      </c>
    </row>
    <row r="26" spans="1:35">
      <c r="A26" t="s">
        <v>97</v>
      </c>
      <c r="B26" t="s">
        <v>98</v>
      </c>
      <c r="C26">
        <v>27</v>
      </c>
      <c r="D26" t="s">
        <v>16</v>
      </c>
      <c r="E26" t="str">
        <f>IF(OR(Table2[[#This Row],[Gender]]="Male",Table2[[#This Row],[Gender]]="M"),"M",
IF(OR(Table2[[#This Row],[Gender]]="Female",Table2[[#This Row],[Gender]]="F"),"F",""))</f>
        <v>M</v>
      </c>
      <c r="F26" t="s">
        <v>17</v>
      </c>
      <c r="G26" t="s">
        <v>36</v>
      </c>
      <c r="H26" t="s">
        <v>1045</v>
      </c>
      <c r="I26" t="s">
        <v>1060</v>
      </c>
      <c r="J26" t="str">
        <f>IF(ISNUMBER(SEARCH("India",Table2[[#This Row],[Emp_Name]])),"INR",
IF(ISNUMBER(SEARCH("Foreign",Table2[[#This Row],[Emp_Name]])),Table2[[#This Row],[Currency]],Table2[[#This Row],[Currency]]))</f>
        <v>INR</v>
      </c>
      <c r="K26">
        <v>78000</v>
      </c>
      <c r="L26">
        <v>12</v>
      </c>
      <c r="M26">
        <f>IF(Table2[[#This Row],[Num_Month]]&lt;&gt;12,12,Table2[[#This Row],[Num_Month]])</f>
        <v>12</v>
      </c>
      <c r="N26">
        <f>IF(Table2[[#This Row],[Monthly_Salary]]="","",Table2[[#This Row],[Monthly_Salary]]*Table2[[#This Row],[Num_Month_Final]])</f>
        <v>936000</v>
      </c>
      <c r="O26">
        <v>6</v>
      </c>
      <c r="P26">
        <f>IF(Table2[[#This Row],[Exp_Years]]&lt;0,ABS(Table2[[#This Row],[Exp_Years]]),Table2[[#This Row],[Exp_Years]])</f>
        <v>6</v>
      </c>
      <c r="Q26">
        <v>3</v>
      </c>
      <c r="R26">
        <v>11000</v>
      </c>
      <c r="S26">
        <f>IF(Table2[[#This Row],[Performance_Rating]]&gt;=3,Table2[[#This Row],[Monthly_Salary]]*0.3,"")</f>
        <v>23400</v>
      </c>
      <c r="T26">
        <v>88</v>
      </c>
      <c r="U26">
        <v>15</v>
      </c>
      <c r="V26">
        <v>1</v>
      </c>
      <c r="X26" t="s">
        <v>19</v>
      </c>
      <c r="Y26" t="str">
        <f>IF(Table2[[#This Row],[Work_Mode]]&lt;&gt;"",Table2[[#This Row],[Work_Mode]],
IF(ISNUMBER(SEARCH("India",Table2[[#This Row],[Emp_Name]])),"Office",
IF(ISNUMBER(SEARCH("Foreign",Table2[[#This Row],[Emp_Name]])),"Remote","")))</f>
        <v>Office</v>
      </c>
      <c r="Z26">
        <v>10</v>
      </c>
      <c r="AA2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26" t="s">
        <v>22</v>
      </c>
      <c r="AC26" t="str">
        <f>IF(COUNTIF(Table2[Emp_ID],Table2[[#This Row],[Emp_ID]])&gt;1,"Duplicate","Unique")</f>
        <v>Unique</v>
      </c>
      <c r="AD26" t="str">
        <f>_xlfn.TEXTJOIN("|",TRUE,Table2[[#This Row],[Emp_ID]:[Salary_Band]])</f>
        <v>ZOM1360|Employee_360_India|27|Male|M|Pune|Analytics|Lead Analyst|INR|INR|78000|12|12|936000|6|6|3|11000|23400|88|15|1|Office|Office|10|3000|Medium</v>
      </c>
      <c r="AE26" s="2" t="str">
        <f>IF(COUNTIFS(Table2[Emp_ID],Table2[[#This Row],[Emp_ID]],Table2[Row_Concat],Table2[[#This Row],[Row_Concat]])&gt;1,"Exact Duplicate",
IF(COUNTIF(Table2[Emp_ID],Table2[[#This Row],[Emp_ID]])&gt;1,"Mismatch","Unique"))</f>
        <v>Unique</v>
      </c>
      <c r="AF26">
        <f>ROW()</f>
        <v>26</v>
      </c>
      <c r="AG26" t="str">
        <f>IF(Table2[[#This Row],[Monthly_Salary]]="","Exclude",
IF(Table2[[#This Row],[Row_Status]]="Mismatch","Exclude",
IF(AND(Table2[[#This Row],[Row_Status]]="Exact Duplicate",
COUNTIFS(Table2[Emp_ID],Table2[[#This Row],[Emp_ID]],Table2[Row_Concat],Table2[[#This Row],[Row_Concat]],
Table2[Row_Number],"&lt;"&amp;Table2[[#This Row],[Row_Number]])&gt;=1),"Delete","")))</f>
        <v/>
      </c>
      <c r="AH26" t="str">
        <f>VLOOKUP(Table2[[#This Row],[Department]],Raw_2!A:B,2,0)</f>
        <v>Day</v>
      </c>
      <c r="AI26">
        <f>VLOOKUP(Table2[[#This Row],[Department]],Raw_2!A:C,3,0)</f>
        <v>25</v>
      </c>
    </row>
    <row r="27" spans="1:35">
      <c r="A27" t="s">
        <v>99</v>
      </c>
      <c r="B27" t="s">
        <v>100</v>
      </c>
      <c r="C27">
        <v>27</v>
      </c>
      <c r="D27" t="s">
        <v>25</v>
      </c>
      <c r="E27" t="str">
        <f>IF(OR(Table2[[#This Row],[Gender]]="Male",Table2[[#This Row],[Gender]]="M"),"M",
IF(OR(Table2[[#This Row],[Gender]]="Female",Table2[[#This Row],[Gender]]="F"),"F",""))</f>
        <v>F</v>
      </c>
      <c r="F27" t="s">
        <v>65</v>
      </c>
      <c r="G27" t="s">
        <v>27</v>
      </c>
      <c r="H27" t="s">
        <v>51</v>
      </c>
      <c r="I27" t="s">
        <v>1060</v>
      </c>
      <c r="J27" t="str">
        <f>IF(ISNUMBER(SEARCH("India",Table2[[#This Row],[Emp_Name]])),"INR",
IF(ISNUMBER(SEARCH("Foreign",Table2[[#This Row],[Emp_Name]])),Table2[[#This Row],[Currency]],Table2[[#This Row],[Currency]]))</f>
        <v>INR</v>
      </c>
      <c r="K27">
        <v>38000</v>
      </c>
      <c r="L27">
        <v>12</v>
      </c>
      <c r="M27">
        <f>IF(Table2[[#This Row],[Num_Month]]&lt;&gt;12,12,Table2[[#This Row],[Num_Month]])</f>
        <v>12</v>
      </c>
      <c r="N27">
        <f>IF(Table2[[#This Row],[Monthly_Salary]]="","",Table2[[#This Row],[Monthly_Salary]]*Table2[[#This Row],[Num_Month_Final]])</f>
        <v>456000</v>
      </c>
      <c r="O27">
        <v>3</v>
      </c>
      <c r="P27">
        <f>IF(Table2[[#This Row],[Exp_Years]]&lt;0,ABS(Table2[[#This Row],[Exp_Years]]),Table2[[#This Row],[Exp_Years]])</f>
        <v>3</v>
      </c>
      <c r="Q27">
        <v>1</v>
      </c>
      <c r="S27" t="str">
        <f>IF(Table2[[#This Row],[Performance_Rating]]&gt;=3,Table2[[#This Row],[Monthly_Salary]]*0.3,"")</f>
        <v/>
      </c>
      <c r="T27">
        <v>80</v>
      </c>
      <c r="U27">
        <v>10</v>
      </c>
      <c r="V27">
        <v>5</v>
      </c>
      <c r="W27" t="s">
        <v>21</v>
      </c>
      <c r="X27" t="s">
        <v>38</v>
      </c>
      <c r="Y27" t="str">
        <f>IF(Table2[[#This Row],[Work_Mode]]&lt;&gt;"",Table2[[#This Row],[Work_Mode]],
IF(ISNUMBER(SEARCH("India",Table2[[#This Row],[Emp_Name]])),"Office",
IF(ISNUMBER(SEARCH("Foreign",Table2[[#This Row],[Emp_Name]])),"Remote","")))</f>
        <v>Hybrid</v>
      </c>
      <c r="Z27">
        <v>10</v>
      </c>
      <c r="AA2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27" t="s">
        <v>39</v>
      </c>
      <c r="AC27" t="str">
        <f>IF(COUNTIF(Table2[Emp_ID],Table2[[#This Row],[Emp_ID]])&gt;1,"Duplicate","Unique")</f>
        <v>Unique</v>
      </c>
      <c r="AD27" t="str">
        <f>_xlfn.TEXTJOIN("|",TRUE,Table2[[#This Row],[Emp_ID]:[Salary_Band]])</f>
        <v>ZOM1051|Employee_51_India|27|F|F|Kolkata|Customer Support|Senior Analyst|INR|INR|38000|12|12|456000|3|3|1|80|10|5|No|Hybrid|Hybrid|10|3000|Low</v>
      </c>
      <c r="AE27" s="2" t="str">
        <f>IF(COUNTIFS(Table2[Emp_ID],Table2[[#This Row],[Emp_ID]],Table2[Row_Concat],Table2[[#This Row],[Row_Concat]])&gt;1,"Exact Duplicate",
IF(COUNTIF(Table2[Emp_ID],Table2[[#This Row],[Emp_ID]])&gt;1,"Mismatch","Unique"))</f>
        <v>Unique</v>
      </c>
      <c r="AF27">
        <f>ROW()</f>
        <v>27</v>
      </c>
      <c r="AG27" t="str">
        <f>IF(Table2[[#This Row],[Monthly_Salary]]="","Exclude",
IF(Table2[[#This Row],[Row_Status]]="Mismatch","Exclude",
IF(AND(Table2[[#This Row],[Row_Status]]="Exact Duplicate",
COUNTIFS(Table2[Emp_ID],Table2[[#This Row],[Emp_ID]],Table2[Row_Concat],Table2[[#This Row],[Row_Concat]],
Table2[Row_Number],"&lt;"&amp;Table2[[#This Row],[Row_Number]])&gt;=1),"Delete","")))</f>
        <v/>
      </c>
      <c r="AH27" t="str">
        <f>VLOOKUP(Table2[[#This Row],[Department]],Raw_2!A:B,2,0)</f>
        <v>Day</v>
      </c>
      <c r="AI27">
        <f>VLOOKUP(Table2[[#This Row],[Department]],Raw_2!A:C,3,0)</f>
        <v>12</v>
      </c>
    </row>
    <row r="28" spans="1:35">
      <c r="A28" t="s">
        <v>101</v>
      </c>
      <c r="B28" t="s">
        <v>102</v>
      </c>
      <c r="C28">
        <v>45</v>
      </c>
      <c r="E28" t="str">
        <f>IF(OR(Table2[[#This Row],[Gender]]="Male",Table2[[#This Row],[Gender]]="M"),"M",
IF(OR(Table2[[#This Row],[Gender]]="Female",Table2[[#This Row],[Gender]]="F"),"F",""))</f>
        <v/>
      </c>
      <c r="F28" t="s">
        <v>73</v>
      </c>
      <c r="G28" t="s">
        <v>27</v>
      </c>
      <c r="H28" t="s">
        <v>1049</v>
      </c>
      <c r="I28" t="s">
        <v>1060</v>
      </c>
      <c r="J28" t="str">
        <f>IF(ISNUMBER(SEARCH("India",Table2[[#This Row],[Emp_Name]])),"INR",
IF(ISNUMBER(SEARCH("Foreign",Table2[[#This Row],[Emp_Name]])),Table2[[#This Row],[Currency]],Table2[[#This Row],[Currency]]))</f>
        <v>INR</v>
      </c>
      <c r="K28">
        <v>110000</v>
      </c>
      <c r="L28">
        <v>12</v>
      </c>
      <c r="M28">
        <f>IF(Table2[[#This Row],[Num_Month]]&lt;&gt;12,12,Table2[[#This Row],[Num_Month]])</f>
        <v>12</v>
      </c>
      <c r="N28">
        <f>IF(Table2[[#This Row],[Monthly_Salary]]="","",Table2[[#This Row],[Monthly_Salary]]*Table2[[#This Row],[Num_Month_Final]])</f>
        <v>1320000</v>
      </c>
      <c r="O28">
        <v>10</v>
      </c>
      <c r="P28">
        <f>IF(Table2[[#This Row],[Exp_Years]]&lt;0,ABS(Table2[[#This Row],[Exp_Years]]),Table2[[#This Row],[Exp_Years]])</f>
        <v>10</v>
      </c>
      <c r="Q28">
        <v>1</v>
      </c>
      <c r="S28" t="str">
        <f>IF(Table2[[#This Row],[Performance_Rating]]&gt;=3,Table2[[#This Row],[Monthly_Salary]]*0.3,"")</f>
        <v/>
      </c>
      <c r="T28">
        <v>90</v>
      </c>
      <c r="U28">
        <v>10</v>
      </c>
      <c r="V28">
        <v>1</v>
      </c>
      <c r="W28" t="s">
        <v>21</v>
      </c>
      <c r="X28" t="s">
        <v>19</v>
      </c>
      <c r="Y28" t="str">
        <f>IF(Table2[[#This Row],[Work_Mode]]&lt;&gt;"",Table2[[#This Row],[Work_Mode]],
IF(ISNUMBER(SEARCH("India",Table2[[#This Row],[Emp_Name]])),"Office",
IF(ISNUMBER(SEARCH("Foreign",Table2[[#This Row],[Emp_Name]])),"Remote","")))</f>
        <v>Office</v>
      </c>
      <c r="AA28"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28" t="s">
        <v>39</v>
      </c>
      <c r="AC28" t="str">
        <f>IF(COUNTIF(Table2[Emp_ID],Table2[[#This Row],[Emp_ID]])&gt;1,"Duplicate","Unique")</f>
        <v>Unique</v>
      </c>
      <c r="AD28" t="str">
        <f>_xlfn.TEXTJOIN("|",TRUE,Table2[[#This Row],[Emp_ID]:[Salary_Band]])</f>
        <v>ZOM1459|Employee_459_India|45|Indore|Customer Support|Director|INR|INR|110000|12|12|1320000|10|10|1|90|10|1|No|Office|Office|Low</v>
      </c>
      <c r="AE28" s="2" t="str">
        <f>IF(COUNTIFS(Table2[Emp_ID],Table2[[#This Row],[Emp_ID]],Table2[Row_Concat],Table2[[#This Row],[Row_Concat]])&gt;1,"Exact Duplicate",
IF(COUNTIF(Table2[Emp_ID],Table2[[#This Row],[Emp_ID]])&gt;1,"Mismatch","Unique"))</f>
        <v>Unique</v>
      </c>
      <c r="AF28">
        <f>ROW()</f>
        <v>28</v>
      </c>
      <c r="AG28" t="str">
        <f>IF(Table2[[#This Row],[Monthly_Salary]]="","Exclude",
IF(Table2[[#This Row],[Row_Status]]="Mismatch","Exclude",
IF(AND(Table2[[#This Row],[Row_Status]]="Exact Duplicate",
COUNTIFS(Table2[Emp_ID],Table2[[#This Row],[Emp_ID]],Table2[Row_Concat],Table2[[#This Row],[Row_Concat]],
Table2[Row_Number],"&lt;"&amp;Table2[[#This Row],[Row_Number]])&gt;=1),"Delete","")))</f>
        <v/>
      </c>
      <c r="AH28" t="str">
        <f>VLOOKUP(Table2[[#This Row],[Department]],Raw_2!A:B,2,0)</f>
        <v>Day</v>
      </c>
      <c r="AI28">
        <f>VLOOKUP(Table2[[#This Row],[Department]],Raw_2!A:C,3,0)</f>
        <v>12</v>
      </c>
    </row>
    <row r="29" spans="1:35">
      <c r="A29" t="s">
        <v>103</v>
      </c>
      <c r="B29" t="s">
        <v>104</v>
      </c>
      <c r="C29">
        <v>38</v>
      </c>
      <c r="D29" t="s">
        <v>46</v>
      </c>
      <c r="E29" t="str">
        <f>IF(OR(Table2[[#This Row],[Gender]]="Male",Table2[[#This Row],[Gender]]="M"),"M",
IF(OR(Table2[[#This Row],[Gender]]="Female",Table2[[#This Row],[Gender]]="F"),"F",""))</f>
        <v>M</v>
      </c>
      <c r="F29" t="s">
        <v>65</v>
      </c>
      <c r="G29" t="s">
        <v>66</v>
      </c>
      <c r="H29" t="s">
        <v>32</v>
      </c>
      <c r="I29" t="s">
        <v>1059</v>
      </c>
      <c r="J29" t="str">
        <f>IF(ISNUMBER(SEARCH("India",Table2[[#This Row],[Emp_Name]])),"INR",
IF(ISNUMBER(SEARCH("Foreign",Table2[[#This Row],[Emp_Name]])),Table2[[#This Row],[Currency]],Table2[[#This Row],[Currency]]))</f>
        <v>INR</v>
      </c>
      <c r="K29">
        <v>91600</v>
      </c>
      <c r="L29">
        <v>12</v>
      </c>
      <c r="M29">
        <f>IF(Table2[[#This Row],[Num_Month]]&lt;&gt;12,12,Table2[[#This Row],[Num_Month]])</f>
        <v>12</v>
      </c>
      <c r="N29">
        <f>IF(Table2[[#This Row],[Monthly_Salary]]="","",Table2[[#This Row],[Monthly_Salary]]*Table2[[#This Row],[Num_Month_Final]])</f>
        <v>1099200</v>
      </c>
      <c r="O29">
        <v>12</v>
      </c>
      <c r="P29">
        <f>IF(Table2[[#This Row],[Exp_Years]]&lt;0,ABS(Table2[[#This Row],[Exp_Years]]),Table2[[#This Row],[Exp_Years]])</f>
        <v>12</v>
      </c>
      <c r="Q29">
        <v>4</v>
      </c>
      <c r="R29">
        <v>43000</v>
      </c>
      <c r="S29">
        <f>IF(Table2[[#This Row],[Performance_Rating]]&gt;=3,Table2[[#This Row],[Monthly_Salary]]*0.3,"")</f>
        <v>27480</v>
      </c>
      <c r="T29">
        <v>90</v>
      </c>
      <c r="U29">
        <v>5</v>
      </c>
      <c r="V29">
        <v>5</v>
      </c>
      <c r="W29" t="s">
        <v>37</v>
      </c>
      <c r="X29" t="s">
        <v>19</v>
      </c>
      <c r="Y29" t="str">
        <f>IF(Table2[[#This Row],[Work_Mode]]&lt;&gt;"",Table2[[#This Row],[Work_Mode]],
IF(ISNUMBER(SEARCH("India",Table2[[#This Row],[Emp_Name]])),"Office",
IF(ISNUMBER(SEARCH("Foreign",Table2[[#This Row],[Emp_Name]])),"Remote","")))</f>
        <v>Office</v>
      </c>
      <c r="Z29">
        <v>20</v>
      </c>
      <c r="AA2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7000</v>
      </c>
      <c r="AB29" t="s">
        <v>22</v>
      </c>
      <c r="AC29" t="str">
        <f>IF(COUNTIF(Table2[Emp_ID],Table2[[#This Row],[Emp_ID]])&gt;1,"Duplicate","Unique")</f>
        <v>Unique</v>
      </c>
      <c r="AD29" t="str">
        <f>_xlfn.TEXTJOIN("|",TRUE,Table2[[#This Row],[Emp_ID]:[Salary_Band]])</f>
        <v>ZOM1278|Employee_278_India|38|M|M|Kolkata|Finance|Senior Manager|USD|INR|91600|12|12|1099200|12|12|4|43000|27480|90|5|5|Yes|Office|Office|20|7000|Medium</v>
      </c>
      <c r="AE29" s="2" t="str">
        <f>IF(COUNTIFS(Table2[Emp_ID],Table2[[#This Row],[Emp_ID]],Table2[Row_Concat],Table2[[#This Row],[Row_Concat]])&gt;1,"Exact Duplicate",
IF(COUNTIF(Table2[Emp_ID],Table2[[#This Row],[Emp_ID]])&gt;1,"Mismatch","Unique"))</f>
        <v>Unique</v>
      </c>
      <c r="AF29">
        <f>ROW()</f>
        <v>29</v>
      </c>
      <c r="AG29" t="str">
        <f>IF(Table2[[#This Row],[Monthly_Salary]]="","Exclude",
IF(Table2[[#This Row],[Row_Status]]="Mismatch","Exclude",
IF(AND(Table2[[#This Row],[Row_Status]]="Exact Duplicate",
COUNTIFS(Table2[Emp_ID],Table2[[#This Row],[Emp_ID]],Table2[Row_Concat],Table2[[#This Row],[Row_Concat]],
Table2[Row_Number],"&lt;"&amp;Table2[[#This Row],[Row_Number]])&gt;=1),"Delete","")))</f>
        <v/>
      </c>
      <c r="AH29" t="str">
        <f>VLOOKUP(Table2[[#This Row],[Department]],Raw_2!A:B,2,0)</f>
        <v>Night</v>
      </c>
      <c r="AI29">
        <f>VLOOKUP(Table2[[#This Row],[Department]],Raw_2!A:C,3,0)</f>
        <v>20</v>
      </c>
    </row>
    <row r="30" spans="1:35">
      <c r="A30" t="s">
        <v>105</v>
      </c>
      <c r="B30" t="s">
        <v>106</v>
      </c>
      <c r="C30">
        <v>26</v>
      </c>
      <c r="D30" t="s">
        <v>25</v>
      </c>
      <c r="E30" t="str">
        <f>IF(OR(Table2[[#This Row],[Gender]]="Male",Table2[[#This Row],[Gender]]="M"),"M",
IF(OR(Table2[[#This Row],[Gender]]="Female",Table2[[#This Row],[Gender]]="F"),"F",""))</f>
        <v>F</v>
      </c>
      <c r="F30" t="s">
        <v>35</v>
      </c>
      <c r="G30" t="s">
        <v>31</v>
      </c>
      <c r="H30" t="s">
        <v>51</v>
      </c>
      <c r="I30" t="s">
        <v>1060</v>
      </c>
      <c r="J30" t="str">
        <f>IF(ISNUMBER(SEARCH("India",Table2[[#This Row],[Emp_Name]])),"INR",
IF(ISNUMBER(SEARCH("Foreign",Table2[[#This Row],[Emp_Name]])),Table2[[#This Row],[Currency]],Table2[[#This Row],[Currency]]))</f>
        <v>INR</v>
      </c>
      <c r="K30">
        <v>42500</v>
      </c>
      <c r="L30">
        <v>12</v>
      </c>
      <c r="M30">
        <f>IF(Table2[[#This Row],[Num_Month]]&lt;&gt;12,12,Table2[[#This Row],[Num_Month]])</f>
        <v>12</v>
      </c>
      <c r="N30">
        <f>IF(Table2[[#This Row],[Monthly_Salary]]="","",Table2[[#This Row],[Monthly_Salary]]*Table2[[#This Row],[Num_Month_Final]])</f>
        <v>510000</v>
      </c>
      <c r="O30">
        <v>3</v>
      </c>
      <c r="P30">
        <f>IF(Table2[[#This Row],[Exp_Years]]&lt;0,ABS(Table2[[#This Row],[Exp_Years]]),Table2[[#This Row],[Exp_Years]])</f>
        <v>3</v>
      </c>
      <c r="Q30">
        <v>2</v>
      </c>
      <c r="S30" t="str">
        <f>IF(Table2[[#This Row],[Performance_Rating]]&gt;=3,Table2[[#This Row],[Monthly_Salary]]*0.3,"")</f>
        <v/>
      </c>
      <c r="T30">
        <v>80</v>
      </c>
      <c r="U30">
        <v>10</v>
      </c>
      <c r="V30">
        <v>1</v>
      </c>
      <c r="W30" t="s">
        <v>37</v>
      </c>
      <c r="X30" t="s">
        <v>19</v>
      </c>
      <c r="Y30" t="str">
        <f>IF(Table2[[#This Row],[Work_Mode]]&lt;&gt;"",Table2[[#This Row],[Work_Mode]],
IF(ISNUMBER(SEARCH("India",Table2[[#This Row],[Emp_Name]])),"Office",
IF(ISNUMBER(SEARCH("Foreign",Table2[[#This Row],[Emp_Name]])),"Remote","")))</f>
        <v>Office</v>
      </c>
      <c r="Z30">
        <v>5</v>
      </c>
      <c r="AA3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30" t="s">
        <v>39</v>
      </c>
      <c r="AC30" t="str">
        <f>IF(COUNTIF(Table2[Emp_ID],Table2[[#This Row],[Emp_ID]])&gt;1,"Duplicate","Unique")</f>
        <v>Unique</v>
      </c>
      <c r="AD30" t="str">
        <f>_xlfn.TEXTJOIN("|",TRUE,Table2[[#This Row],[Emp_ID]:[Salary_Band]])</f>
        <v>ZOM1572|Employee_572_India|26|F|F|Noida|Logistics|Senior Analyst|INR|INR|42500|12|12|510000|3|3|2|80|10|1|Yes|Office|Office|5|1500|Low</v>
      </c>
      <c r="AE30" s="2" t="str">
        <f>IF(COUNTIFS(Table2[Emp_ID],Table2[[#This Row],[Emp_ID]],Table2[Row_Concat],Table2[[#This Row],[Row_Concat]])&gt;1,"Exact Duplicate",
IF(COUNTIF(Table2[Emp_ID],Table2[[#This Row],[Emp_ID]])&gt;1,"Mismatch","Unique"))</f>
        <v>Unique</v>
      </c>
      <c r="AF30">
        <f>ROW()</f>
        <v>30</v>
      </c>
      <c r="AG30" t="str">
        <f>IF(Table2[[#This Row],[Monthly_Salary]]="","Exclude",
IF(Table2[[#This Row],[Row_Status]]="Mismatch","Exclude",
IF(AND(Table2[[#This Row],[Row_Status]]="Exact Duplicate",
COUNTIFS(Table2[Emp_ID],Table2[[#This Row],[Emp_ID]],Table2[Row_Concat],Table2[[#This Row],[Row_Concat]],
Table2[Row_Number],"&lt;"&amp;Table2[[#This Row],[Row_Number]])&gt;=1),"Delete","")))</f>
        <v/>
      </c>
      <c r="AH30" t="str">
        <f>VLOOKUP(Table2[[#This Row],[Department]],Raw_2!A:B,2,0)</f>
        <v>Night</v>
      </c>
      <c r="AI30">
        <f>VLOOKUP(Table2[[#This Row],[Department]],Raw_2!A:C,3,0)</f>
        <v>13</v>
      </c>
    </row>
    <row r="31" spans="1:35">
      <c r="A31" t="s">
        <v>107</v>
      </c>
      <c r="B31" t="s">
        <v>108</v>
      </c>
      <c r="C31">
        <v>36</v>
      </c>
      <c r="D31" t="s">
        <v>34</v>
      </c>
      <c r="E31" t="str">
        <f>IF(OR(Table2[[#This Row],[Gender]]="Male",Table2[[#This Row],[Gender]]="M"),"M",
IF(OR(Table2[[#This Row],[Gender]]="Female",Table2[[#This Row],[Gender]]="F"),"F",""))</f>
        <v>F</v>
      </c>
      <c r="F31" t="s">
        <v>17</v>
      </c>
      <c r="G31" t="s">
        <v>66</v>
      </c>
      <c r="H31" t="s">
        <v>32</v>
      </c>
      <c r="I31" t="s">
        <v>1060</v>
      </c>
      <c r="J31" t="str">
        <f>IF(ISNUMBER(SEARCH("India",Table2[[#This Row],[Emp_Name]])),"INR",
IF(ISNUMBER(SEARCH("Foreign",Table2[[#This Row],[Emp_Name]])),Table2[[#This Row],[Currency]],Table2[[#This Row],[Currency]]))</f>
        <v>INR</v>
      </c>
      <c r="K31">
        <v>91700</v>
      </c>
      <c r="L31">
        <v>12</v>
      </c>
      <c r="M31">
        <f>IF(Table2[[#This Row],[Num_Month]]&lt;&gt;12,12,Table2[[#This Row],[Num_Month]])</f>
        <v>12</v>
      </c>
      <c r="N31">
        <f>IF(Table2[[#This Row],[Monthly_Salary]]="","",Table2[[#This Row],[Monthly_Salary]]*Table2[[#This Row],[Num_Month_Final]])</f>
        <v>1100400</v>
      </c>
      <c r="O31">
        <v>12</v>
      </c>
      <c r="P31">
        <f>IF(Table2[[#This Row],[Exp_Years]]&lt;0,ABS(Table2[[#This Row],[Exp_Years]]),Table2[[#This Row],[Exp_Years]])</f>
        <v>12</v>
      </c>
      <c r="Q31">
        <v>2</v>
      </c>
      <c r="S31" t="str">
        <f>IF(Table2[[#This Row],[Performance_Rating]]&gt;=3,Table2[[#This Row],[Monthly_Salary]]*0.3,"")</f>
        <v/>
      </c>
      <c r="T31">
        <v>88</v>
      </c>
      <c r="U31">
        <v>7</v>
      </c>
      <c r="V31">
        <v>5</v>
      </c>
      <c r="W31" t="s">
        <v>21</v>
      </c>
      <c r="X31" t="s">
        <v>38</v>
      </c>
      <c r="Y31" t="str">
        <f>IF(Table2[[#This Row],[Work_Mode]]&lt;&gt;"",Table2[[#This Row],[Work_Mode]],
IF(ISNUMBER(SEARCH("India",Table2[[#This Row],[Emp_Name]])),"Office",
IF(ISNUMBER(SEARCH("Foreign",Table2[[#This Row],[Emp_Name]])),"Remote","")))</f>
        <v>Hybrid</v>
      </c>
      <c r="Z31">
        <v>20</v>
      </c>
      <c r="AA3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7000</v>
      </c>
      <c r="AB31" t="s">
        <v>39</v>
      </c>
      <c r="AC31" t="str">
        <f>IF(COUNTIF(Table2[Emp_ID],Table2[[#This Row],[Emp_ID]])&gt;1,"Duplicate","Unique")</f>
        <v>Unique</v>
      </c>
      <c r="AD31" t="str">
        <f>_xlfn.TEXTJOIN("|",TRUE,Table2[[#This Row],[Emp_ID]:[Salary_Band]])</f>
        <v>ZOM1529|Employee_529_India|36|Female|F|Pune|Finance|Senior Manager|INR|INR|91700|12|12|1100400|12|12|2|88|7|5|No|Hybrid|Hybrid|20|7000|Low</v>
      </c>
      <c r="AE31" s="2" t="str">
        <f>IF(COUNTIFS(Table2[Emp_ID],Table2[[#This Row],[Emp_ID]],Table2[Row_Concat],Table2[[#This Row],[Row_Concat]])&gt;1,"Exact Duplicate",
IF(COUNTIF(Table2[Emp_ID],Table2[[#This Row],[Emp_ID]])&gt;1,"Mismatch","Unique"))</f>
        <v>Unique</v>
      </c>
      <c r="AF31">
        <f>ROW()</f>
        <v>31</v>
      </c>
      <c r="AG31" t="str">
        <f>IF(Table2[[#This Row],[Monthly_Salary]]="","Exclude",
IF(Table2[[#This Row],[Row_Status]]="Mismatch","Exclude",
IF(AND(Table2[[#This Row],[Row_Status]]="Exact Duplicate",
COUNTIFS(Table2[Emp_ID],Table2[[#This Row],[Emp_ID]],Table2[Row_Concat],Table2[[#This Row],[Row_Concat]],
Table2[Row_Number],"&lt;"&amp;Table2[[#This Row],[Row_Number]])&gt;=1),"Delete","")))</f>
        <v/>
      </c>
      <c r="AH31" t="str">
        <f>VLOOKUP(Table2[[#This Row],[Department]],Raw_2!A:B,2,0)</f>
        <v>Night</v>
      </c>
      <c r="AI31">
        <f>VLOOKUP(Table2[[#This Row],[Department]],Raw_2!A:C,3,0)</f>
        <v>20</v>
      </c>
    </row>
    <row r="32" spans="1:35">
      <c r="A32" t="s">
        <v>109</v>
      </c>
      <c r="B32" t="s">
        <v>110</v>
      </c>
      <c r="C32">
        <v>25</v>
      </c>
      <c r="D32" t="s">
        <v>16</v>
      </c>
      <c r="E32" t="str">
        <f>IF(OR(Table2[[#This Row],[Gender]]="Male",Table2[[#This Row],[Gender]]="M"),"M",
IF(OR(Table2[[#This Row],[Gender]]="Female",Table2[[#This Row],[Gender]]="F"),"F",""))</f>
        <v>M</v>
      </c>
      <c r="G32" t="s">
        <v>42</v>
      </c>
      <c r="H32" t="s">
        <v>51</v>
      </c>
      <c r="I32" t="s">
        <v>1059</v>
      </c>
      <c r="J32" t="str">
        <f>IF(ISNUMBER(SEARCH("India",Table2[[#This Row],[Emp_Name]])),"INR",
IF(ISNUMBER(SEARCH("Foreign",Table2[[#This Row],[Emp_Name]])),Table2[[#This Row],[Currency]],Table2[[#This Row],[Currency]]))</f>
        <v>USD</v>
      </c>
      <c r="K32">
        <v>31000</v>
      </c>
      <c r="L32">
        <v>12</v>
      </c>
      <c r="M32">
        <f>IF(Table2[[#This Row],[Num_Month]]&lt;&gt;12,12,Table2[[#This Row],[Num_Month]])</f>
        <v>12</v>
      </c>
      <c r="N32">
        <f>IF(Table2[[#This Row],[Monthly_Salary]]="","",Table2[[#This Row],[Monthly_Salary]]*Table2[[#This Row],[Num_Month_Final]])</f>
        <v>372000</v>
      </c>
      <c r="O32">
        <v>2</v>
      </c>
      <c r="P32">
        <f>IF(Table2[[#This Row],[Exp_Years]]&lt;0,ABS(Table2[[#This Row],[Exp_Years]]),Table2[[#This Row],[Exp_Years]])</f>
        <v>2</v>
      </c>
      <c r="Q32">
        <v>2</v>
      </c>
      <c r="S32" t="str">
        <f>IF(Table2[[#This Row],[Performance_Rating]]&gt;=3,Table2[[#This Row],[Monthly_Salary]]*0.3,"")</f>
        <v/>
      </c>
      <c r="T32">
        <v>80</v>
      </c>
      <c r="U32">
        <v>10</v>
      </c>
      <c r="V32">
        <v>3</v>
      </c>
      <c r="W32" t="s">
        <v>37</v>
      </c>
      <c r="X32" t="s">
        <v>28</v>
      </c>
      <c r="Y32" t="str">
        <f>IF(Table2[[#This Row],[Work_Mode]]&lt;&gt;"",Table2[[#This Row],[Work_Mode]],
IF(ISNUMBER(SEARCH("India",Table2[[#This Row],[Emp_Name]])),"Office",
IF(ISNUMBER(SEARCH("Foreign",Table2[[#This Row],[Emp_Name]])),"Remote","")))</f>
        <v>Remote</v>
      </c>
      <c r="AA3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2" t="s">
        <v>39</v>
      </c>
      <c r="AC32" t="str">
        <f>IF(COUNTIF(Table2[Emp_ID],Table2[[#This Row],[Emp_ID]])&gt;1,"Duplicate","Unique")</f>
        <v>Unique</v>
      </c>
      <c r="AD32" t="str">
        <f>_xlfn.TEXTJOIN("|",TRUE,Table2[[#This Row],[Emp_ID]:[Salary_Band]])</f>
        <v>ZOM1609|Employee_9_Foreign|25|Male|M|Operations|Senior Analyst|USD|USD|31000|12|12|372000|2|2|2|80|10|3|Yes|Remote|Remote|0|Low</v>
      </c>
      <c r="AE32" s="2" t="str">
        <f>IF(COUNTIFS(Table2[Emp_ID],Table2[[#This Row],[Emp_ID]],Table2[Row_Concat],Table2[[#This Row],[Row_Concat]])&gt;1,"Exact Duplicate",
IF(COUNTIF(Table2[Emp_ID],Table2[[#This Row],[Emp_ID]])&gt;1,"Mismatch","Unique"))</f>
        <v>Unique</v>
      </c>
      <c r="AF32">
        <f>ROW()</f>
        <v>32</v>
      </c>
      <c r="AG32" t="str">
        <f>IF(Table2[[#This Row],[Monthly_Salary]]="","Exclude",
IF(Table2[[#This Row],[Row_Status]]="Mismatch","Exclude",
IF(AND(Table2[[#This Row],[Row_Status]]="Exact Duplicate",
COUNTIFS(Table2[Emp_ID],Table2[[#This Row],[Emp_ID]],Table2[Row_Concat],Table2[[#This Row],[Row_Concat]],
Table2[Row_Number],"&lt;"&amp;Table2[[#This Row],[Row_Number]])&gt;=1),"Delete","")))</f>
        <v/>
      </c>
      <c r="AH32" t="str">
        <f>VLOOKUP(Table2[[#This Row],[Department]],Raw_2!A:B,2,0)</f>
        <v>Day</v>
      </c>
      <c r="AI32">
        <f>VLOOKUP(Table2[[#This Row],[Department]],Raw_2!A:C,3,0)</f>
        <v>14</v>
      </c>
    </row>
    <row r="33" spans="1:35">
      <c r="A33" t="s">
        <v>111</v>
      </c>
      <c r="B33" t="s">
        <v>112</v>
      </c>
      <c r="C33">
        <v>25</v>
      </c>
      <c r="D33" t="s">
        <v>16</v>
      </c>
      <c r="E33" t="str">
        <f>IF(OR(Table2[[#This Row],[Gender]]="Male",Table2[[#This Row],[Gender]]="M"),"M",
IF(OR(Table2[[#This Row],[Gender]]="Female",Table2[[#This Row],[Gender]]="F"),"F",""))</f>
        <v>M</v>
      </c>
      <c r="F33" t="s">
        <v>50</v>
      </c>
      <c r="G33" t="s">
        <v>36</v>
      </c>
      <c r="H33" t="s">
        <v>51</v>
      </c>
      <c r="I33" t="s">
        <v>1060</v>
      </c>
      <c r="J33" t="str">
        <f>IF(ISNUMBER(SEARCH("India",Table2[[#This Row],[Emp_Name]])),"INR",
IF(ISNUMBER(SEARCH("Foreign",Table2[[#This Row],[Emp_Name]])),Table2[[#This Row],[Currency]],Table2[[#This Row],[Currency]]))</f>
        <v>INR</v>
      </c>
      <c r="K33">
        <v>33000</v>
      </c>
      <c r="L33">
        <v>12</v>
      </c>
      <c r="M33">
        <f>IF(Table2[[#This Row],[Num_Month]]&lt;&gt;12,12,Table2[[#This Row],[Num_Month]])</f>
        <v>12</v>
      </c>
      <c r="N33">
        <f>IF(Table2[[#This Row],[Monthly_Salary]]="","",Table2[[#This Row],[Monthly_Salary]]*Table2[[#This Row],[Num_Month_Final]])</f>
        <v>396000</v>
      </c>
      <c r="O33">
        <v>2</v>
      </c>
      <c r="P33">
        <f>IF(Table2[[#This Row],[Exp_Years]]&lt;0,ABS(Table2[[#This Row],[Exp_Years]]),Table2[[#This Row],[Exp_Years]])</f>
        <v>2</v>
      </c>
      <c r="Q33">
        <v>1</v>
      </c>
      <c r="S33" t="str">
        <f>IF(Table2[[#This Row],[Performance_Rating]]&gt;=3,Table2[[#This Row],[Monthly_Salary]]*0.3,"")</f>
        <v/>
      </c>
      <c r="T33">
        <v>85</v>
      </c>
      <c r="U33">
        <v>5</v>
      </c>
      <c r="V33">
        <v>1</v>
      </c>
      <c r="X33" t="s">
        <v>19</v>
      </c>
      <c r="Y33" t="str">
        <f>IF(Table2[[#This Row],[Work_Mode]]&lt;&gt;"",Table2[[#This Row],[Work_Mode]],
IF(ISNUMBER(SEARCH("India",Table2[[#This Row],[Emp_Name]])),"Office",
IF(ISNUMBER(SEARCH("Foreign",Table2[[#This Row],[Emp_Name]])),"Remote","")))</f>
        <v>Office</v>
      </c>
      <c r="Z33">
        <v>20</v>
      </c>
      <c r="AA3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33" t="s">
        <v>39</v>
      </c>
      <c r="AC33" t="str">
        <f>IF(COUNTIF(Table2[Emp_ID],Table2[[#This Row],[Emp_ID]])&gt;1,"Duplicate","Unique")</f>
        <v>Unique</v>
      </c>
      <c r="AD33" t="str">
        <f>_xlfn.TEXTJOIN("|",TRUE,Table2[[#This Row],[Emp_ID]:[Salary_Band]])</f>
        <v>ZOM1339|Employee_339_India|25|Male|M|Delhi|Analytics|Senior Analyst|INR|INR|33000|12|12|396000|2|2|1|85|5|1|Office|Office|20|6000|Low</v>
      </c>
      <c r="AE33" s="2" t="str">
        <f>IF(COUNTIFS(Table2[Emp_ID],Table2[[#This Row],[Emp_ID]],Table2[Row_Concat],Table2[[#This Row],[Row_Concat]])&gt;1,"Exact Duplicate",
IF(COUNTIF(Table2[Emp_ID],Table2[[#This Row],[Emp_ID]])&gt;1,"Mismatch","Unique"))</f>
        <v>Unique</v>
      </c>
      <c r="AF33">
        <f>ROW()</f>
        <v>33</v>
      </c>
      <c r="AG33" t="str">
        <f>IF(Table2[[#This Row],[Monthly_Salary]]="","Exclude",
IF(Table2[[#This Row],[Row_Status]]="Mismatch","Exclude",
IF(AND(Table2[[#This Row],[Row_Status]]="Exact Duplicate",
COUNTIFS(Table2[Emp_ID],Table2[[#This Row],[Emp_ID]],Table2[Row_Concat],Table2[[#This Row],[Row_Concat]],
Table2[Row_Number],"&lt;"&amp;Table2[[#This Row],[Row_Number]])&gt;=1),"Delete","")))</f>
        <v/>
      </c>
      <c r="AH33" t="str">
        <f>VLOOKUP(Table2[[#This Row],[Department]],Raw_2!A:B,2,0)</f>
        <v>Day</v>
      </c>
      <c r="AI33">
        <f>VLOOKUP(Table2[[#This Row],[Department]],Raw_2!A:C,3,0)</f>
        <v>25</v>
      </c>
    </row>
    <row r="34" spans="1:35">
      <c r="A34" t="s">
        <v>115</v>
      </c>
      <c r="B34" t="s">
        <v>116</v>
      </c>
      <c r="C34">
        <v>25</v>
      </c>
      <c r="D34" t="s">
        <v>25</v>
      </c>
      <c r="E34" t="str">
        <f>IF(OR(Table2[[#This Row],[Gender]]="Male",Table2[[#This Row],[Gender]]="M"),"M",
IF(OR(Table2[[#This Row],[Gender]]="Female",Table2[[#This Row],[Gender]]="F"),"F",""))</f>
        <v>F</v>
      </c>
      <c r="F34" t="s">
        <v>61</v>
      </c>
      <c r="G34" t="s">
        <v>66</v>
      </c>
      <c r="H34" t="s">
        <v>51</v>
      </c>
      <c r="I34" t="s">
        <v>1060</v>
      </c>
      <c r="J34" t="str">
        <f>IF(ISNUMBER(SEARCH("India",Table2[[#This Row],[Emp_Name]])),"INR",
IF(ISNUMBER(SEARCH("Foreign",Table2[[#This Row],[Emp_Name]])),Table2[[#This Row],[Currency]],Table2[[#This Row],[Currency]]))</f>
        <v>INR</v>
      </c>
      <c r="K34">
        <v>45000</v>
      </c>
      <c r="L34">
        <v>12</v>
      </c>
      <c r="M34">
        <f>IF(Table2[[#This Row],[Num_Month]]&lt;&gt;12,12,Table2[[#This Row],[Num_Month]])</f>
        <v>12</v>
      </c>
      <c r="N34">
        <f>IF(Table2[[#This Row],[Monthly_Salary]]="","",Table2[[#This Row],[Monthly_Salary]]*Table2[[#This Row],[Num_Month_Final]])</f>
        <v>540000</v>
      </c>
      <c r="O34">
        <v>4</v>
      </c>
      <c r="P34">
        <f>IF(Table2[[#This Row],[Exp_Years]]&lt;0,ABS(Table2[[#This Row],[Exp_Years]]),Table2[[#This Row],[Exp_Years]])</f>
        <v>4</v>
      </c>
      <c r="Q34">
        <v>1</v>
      </c>
      <c r="S34" t="str">
        <f>IF(Table2[[#This Row],[Performance_Rating]]&gt;=3,Table2[[#This Row],[Monthly_Salary]]*0.3,"")</f>
        <v/>
      </c>
      <c r="T34">
        <v>95</v>
      </c>
      <c r="U34">
        <v>15</v>
      </c>
      <c r="V34">
        <v>1</v>
      </c>
      <c r="X34" t="s">
        <v>38</v>
      </c>
      <c r="Y34" t="str">
        <f>IF(Table2[[#This Row],[Work_Mode]]&lt;&gt;"",Table2[[#This Row],[Work_Mode]],
IF(ISNUMBER(SEARCH("India",Table2[[#This Row],[Emp_Name]])),"Office",
IF(ISNUMBER(SEARCH("Foreign",Table2[[#This Row],[Emp_Name]])),"Remote","")))</f>
        <v>Hybrid</v>
      </c>
      <c r="Z34">
        <v>10</v>
      </c>
      <c r="AA3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34" t="s">
        <v>39</v>
      </c>
      <c r="AC34" t="str">
        <f>IF(COUNTIF(Table2[Emp_ID],Table2[[#This Row],[Emp_ID]])&gt;1,"Duplicate","Unique")</f>
        <v>Unique</v>
      </c>
      <c r="AD34" t="str">
        <f>_xlfn.TEXTJOIN("|",TRUE,Table2[[#This Row],[Emp_ID]:[Salary_Band]])</f>
        <v>ZOM1597|Employee_597_India|25|F|F|Hyderabad|Finance|Senior Analyst|INR|INR|45000|12|12|540000|4|4|1|95|15|1|Hybrid|Hybrid|10|3000|Low</v>
      </c>
      <c r="AE34" s="2" t="str">
        <f>IF(COUNTIFS(Table2[Emp_ID],Table2[[#This Row],[Emp_ID]],Table2[Row_Concat],Table2[[#This Row],[Row_Concat]])&gt;1,"Exact Duplicate",
IF(COUNTIF(Table2[Emp_ID],Table2[[#This Row],[Emp_ID]])&gt;1,"Mismatch","Unique"))</f>
        <v>Unique</v>
      </c>
      <c r="AF34">
        <f>ROW()</f>
        <v>34</v>
      </c>
      <c r="AG34" t="str">
        <f>IF(Table2[[#This Row],[Monthly_Salary]]="","Exclude",
IF(Table2[[#This Row],[Row_Status]]="Mismatch","Exclude",
IF(AND(Table2[[#This Row],[Row_Status]]="Exact Duplicate",
COUNTIFS(Table2[Emp_ID],Table2[[#This Row],[Emp_ID]],Table2[Row_Concat],Table2[[#This Row],[Row_Concat]],
Table2[Row_Number],"&lt;"&amp;Table2[[#This Row],[Row_Number]])&gt;=1),"Delete","")))</f>
        <v/>
      </c>
      <c r="AH34" t="str">
        <f>VLOOKUP(Table2[[#This Row],[Department]],Raw_2!A:B,2,0)</f>
        <v>Night</v>
      </c>
      <c r="AI34">
        <f>VLOOKUP(Table2[[#This Row],[Department]],Raw_2!A:C,3,0)</f>
        <v>20</v>
      </c>
    </row>
    <row r="35" spans="1:35">
      <c r="A35" t="s">
        <v>117</v>
      </c>
      <c r="B35" t="s">
        <v>118</v>
      </c>
      <c r="C35">
        <v>27</v>
      </c>
      <c r="D35" t="s">
        <v>46</v>
      </c>
      <c r="E35" t="str">
        <f>IF(OR(Table2[[#This Row],[Gender]]="Male",Table2[[#This Row],[Gender]]="M"),"M",
IF(OR(Table2[[#This Row],[Gender]]="Female",Table2[[#This Row],[Gender]]="F"),"F",""))</f>
        <v>M</v>
      </c>
      <c r="F35" t="s">
        <v>35</v>
      </c>
      <c r="G35" t="s">
        <v>36</v>
      </c>
      <c r="H35" t="s">
        <v>51</v>
      </c>
      <c r="I35" t="s">
        <v>1060</v>
      </c>
      <c r="J35" t="str">
        <f>IF(ISNUMBER(SEARCH("India",Table2[[#This Row],[Emp_Name]])),"INR",
IF(ISNUMBER(SEARCH("Foreign",Table2[[#This Row],[Emp_Name]])),Table2[[#This Row],[Currency]],Table2[[#This Row],[Currency]]))</f>
        <v>INR</v>
      </c>
      <c r="K35">
        <v>43000</v>
      </c>
      <c r="L35">
        <v>12</v>
      </c>
      <c r="M35">
        <f>IF(Table2[[#This Row],[Num_Month]]&lt;&gt;12,12,Table2[[#This Row],[Num_Month]])</f>
        <v>12</v>
      </c>
      <c r="N35">
        <f>IF(Table2[[#This Row],[Monthly_Salary]]="","",Table2[[#This Row],[Monthly_Salary]]*Table2[[#This Row],[Num_Month_Final]])</f>
        <v>516000</v>
      </c>
      <c r="O35">
        <v>3</v>
      </c>
      <c r="P35">
        <f>IF(Table2[[#This Row],[Exp_Years]]&lt;0,ABS(Table2[[#This Row],[Exp_Years]]),Table2[[#This Row],[Exp_Years]])</f>
        <v>3</v>
      </c>
      <c r="Q35">
        <v>1</v>
      </c>
      <c r="S35" t="str">
        <f>IF(Table2[[#This Row],[Performance_Rating]]&gt;=3,Table2[[#This Row],[Monthly_Salary]]*0.3,"")</f>
        <v/>
      </c>
      <c r="T35">
        <v>88</v>
      </c>
      <c r="U35">
        <v>15</v>
      </c>
      <c r="V35">
        <v>1</v>
      </c>
      <c r="W35" t="s">
        <v>21</v>
      </c>
      <c r="X35" t="s">
        <v>38</v>
      </c>
      <c r="Y35" t="str">
        <f>IF(Table2[[#This Row],[Work_Mode]]&lt;&gt;"",Table2[[#This Row],[Work_Mode]],
IF(ISNUMBER(SEARCH("India",Table2[[#This Row],[Emp_Name]])),"Office",
IF(ISNUMBER(SEARCH("Foreign",Table2[[#This Row],[Emp_Name]])),"Remote","")))</f>
        <v>Hybrid</v>
      </c>
      <c r="Z35">
        <v>5</v>
      </c>
      <c r="AA3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35" t="s">
        <v>39</v>
      </c>
      <c r="AC35" t="str">
        <f>IF(COUNTIF(Table2[Emp_ID],Table2[[#This Row],[Emp_ID]])&gt;1,"Duplicate","Unique")</f>
        <v>Unique</v>
      </c>
      <c r="AD35" t="str">
        <f>_xlfn.TEXTJOIN("|",TRUE,Table2[[#This Row],[Emp_ID]:[Salary_Band]])</f>
        <v>ZOM1188|Employee_188_India|27|M|M|Noida|Analytics|Senior Analyst|INR|INR|43000|12|12|516000|3|3|1|88|15|1|No|Hybrid|Hybrid|5|1500|Low</v>
      </c>
      <c r="AE35" s="2" t="str">
        <f>IF(COUNTIFS(Table2[Emp_ID],Table2[[#This Row],[Emp_ID]],Table2[Row_Concat],Table2[[#This Row],[Row_Concat]])&gt;1,"Exact Duplicate",
IF(COUNTIF(Table2[Emp_ID],Table2[[#This Row],[Emp_ID]])&gt;1,"Mismatch","Unique"))</f>
        <v>Unique</v>
      </c>
      <c r="AF35">
        <f>ROW()</f>
        <v>35</v>
      </c>
      <c r="AG35" t="str">
        <f>IF(Table2[[#This Row],[Monthly_Salary]]="","Exclude",
IF(Table2[[#This Row],[Row_Status]]="Mismatch","Exclude",
IF(AND(Table2[[#This Row],[Row_Status]]="Exact Duplicate",
COUNTIFS(Table2[Emp_ID],Table2[[#This Row],[Emp_ID]],Table2[Row_Concat],Table2[[#This Row],[Row_Concat]],
Table2[Row_Number],"&lt;"&amp;Table2[[#This Row],[Row_Number]])&gt;=1),"Delete","")))</f>
        <v/>
      </c>
      <c r="AH35" t="str">
        <f>VLOOKUP(Table2[[#This Row],[Department]],Raw_2!A:B,2,0)</f>
        <v>Day</v>
      </c>
      <c r="AI35">
        <f>VLOOKUP(Table2[[#This Row],[Department]],Raw_2!A:C,3,0)</f>
        <v>25</v>
      </c>
    </row>
    <row r="36" spans="1:35">
      <c r="A36" t="s">
        <v>119</v>
      </c>
      <c r="B36" t="s">
        <v>120</v>
      </c>
      <c r="C36">
        <v>32</v>
      </c>
      <c r="D36" t="s">
        <v>16</v>
      </c>
      <c r="E36" t="str">
        <f>IF(OR(Table2[[#This Row],[Gender]]="Male",Table2[[#This Row],[Gender]]="M"),"M",
IF(OR(Table2[[#This Row],[Gender]]="Female",Table2[[#This Row],[Gender]]="F"),"F",""))</f>
        <v>M</v>
      </c>
      <c r="F36" t="s">
        <v>26</v>
      </c>
      <c r="G36" t="s">
        <v>31</v>
      </c>
      <c r="H36" t="s">
        <v>82</v>
      </c>
      <c r="I36" t="s">
        <v>1060</v>
      </c>
      <c r="J36" t="str">
        <f>IF(ISNUMBER(SEARCH("India",Table2[[#This Row],[Emp_Name]])),"INR",
IF(ISNUMBER(SEARCH("Foreign",Table2[[#This Row],[Emp_Name]])),Table2[[#This Row],[Currency]],Table2[[#This Row],[Currency]]))</f>
        <v>INR</v>
      </c>
      <c r="K36">
        <v>80000</v>
      </c>
      <c r="L36">
        <v>12</v>
      </c>
      <c r="M36">
        <f>IF(Table2[[#This Row],[Num_Month]]&lt;&gt;12,12,Table2[[#This Row],[Num_Month]])</f>
        <v>12</v>
      </c>
      <c r="N36">
        <f>IF(Table2[[#This Row],[Monthly_Salary]]="","",Table2[[#This Row],[Monthly_Salary]]*Table2[[#This Row],[Num_Month_Final]])</f>
        <v>960000</v>
      </c>
      <c r="O36">
        <v>8</v>
      </c>
      <c r="P36">
        <f>IF(Table2[[#This Row],[Exp_Years]]&lt;0,ABS(Table2[[#This Row],[Exp_Years]]),Table2[[#This Row],[Exp_Years]])</f>
        <v>8</v>
      </c>
      <c r="Q36">
        <v>4</v>
      </c>
      <c r="S36">
        <f>IF(Table2[[#This Row],[Performance_Rating]]&gt;=3,Table2[[#This Row],[Monthly_Salary]]*0.3,"")</f>
        <v>24000</v>
      </c>
      <c r="T36">
        <v>90</v>
      </c>
      <c r="U36">
        <v>5</v>
      </c>
      <c r="V36">
        <v>7</v>
      </c>
      <c r="W36" t="s">
        <v>37</v>
      </c>
      <c r="X36" t="s">
        <v>19</v>
      </c>
      <c r="Y36" t="str">
        <f>IF(Table2[[#This Row],[Work_Mode]]&lt;&gt;"",Table2[[#This Row],[Work_Mode]],
IF(ISNUMBER(SEARCH("India",Table2[[#This Row],[Emp_Name]])),"Office",
IF(ISNUMBER(SEARCH("Foreign",Table2[[#This Row],[Emp_Name]])),"Remote","")))</f>
        <v>Office</v>
      </c>
      <c r="Z36">
        <v>20</v>
      </c>
      <c r="AA3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7000</v>
      </c>
      <c r="AB36" t="s">
        <v>22</v>
      </c>
      <c r="AC36" t="str">
        <f>IF(COUNTIF(Table2[Emp_ID],Table2[[#This Row],[Emp_ID]])&gt;1,"Duplicate","Unique")</f>
        <v>Unique</v>
      </c>
      <c r="AD36" t="str">
        <f>_xlfn.TEXTJOIN("|",TRUE,Table2[[#This Row],[Emp_ID]:[Salary_Band]])</f>
        <v>ZOM1655|Employee_55_Foreign|32|Male|M|Bangalore|Logistics|Manager|INR|INR|80000|12|12|960000|8|8|4|24000|90|5|7|Yes|Office|Office|20|7000|Medium</v>
      </c>
      <c r="AE36" s="2" t="str">
        <f>IF(COUNTIFS(Table2[Emp_ID],Table2[[#This Row],[Emp_ID]],Table2[Row_Concat],Table2[[#This Row],[Row_Concat]])&gt;1,"Exact Duplicate",
IF(COUNTIF(Table2[Emp_ID],Table2[[#This Row],[Emp_ID]])&gt;1,"Mismatch","Unique"))</f>
        <v>Unique</v>
      </c>
      <c r="AF36">
        <f>ROW()</f>
        <v>36</v>
      </c>
      <c r="AG36" t="str">
        <f>IF(Table2[[#This Row],[Monthly_Salary]]="","Exclude",
IF(Table2[[#This Row],[Row_Status]]="Mismatch","Exclude",
IF(AND(Table2[[#This Row],[Row_Status]]="Exact Duplicate",
COUNTIFS(Table2[Emp_ID],Table2[[#This Row],[Emp_ID]],Table2[Row_Concat],Table2[[#This Row],[Row_Concat]],
Table2[Row_Number],"&lt;"&amp;Table2[[#This Row],[Row_Number]])&gt;=1),"Delete","")))</f>
        <v/>
      </c>
      <c r="AH36" t="str">
        <f>VLOOKUP(Table2[[#This Row],[Department]],Raw_2!A:B,2,0)</f>
        <v>Night</v>
      </c>
      <c r="AI36">
        <f>VLOOKUP(Table2[[#This Row],[Department]],Raw_2!A:C,3,0)</f>
        <v>13</v>
      </c>
    </row>
    <row r="37" spans="1:35">
      <c r="A37" t="s">
        <v>121</v>
      </c>
      <c r="B37" t="s">
        <v>122</v>
      </c>
      <c r="C37">
        <v>29</v>
      </c>
      <c r="E37" t="str">
        <f>IF(OR(Table2[[#This Row],[Gender]]="Male",Table2[[#This Row],[Gender]]="M"),"M",
IF(OR(Table2[[#This Row],[Gender]]="Female",Table2[[#This Row],[Gender]]="F"),"F",""))</f>
        <v/>
      </c>
      <c r="F37" t="s">
        <v>65</v>
      </c>
      <c r="G37" t="s">
        <v>31</v>
      </c>
      <c r="H37" t="s">
        <v>1045</v>
      </c>
      <c r="I37" t="s">
        <v>1060</v>
      </c>
      <c r="J37" t="str">
        <f>IF(ISNUMBER(SEARCH("India",Table2[[#This Row],[Emp_Name]])),"INR",
IF(ISNUMBER(SEARCH("Foreign",Table2[[#This Row],[Emp_Name]])),Table2[[#This Row],[Currency]],Table2[[#This Row],[Currency]]))</f>
        <v>INR</v>
      </c>
      <c r="K37">
        <v>78000</v>
      </c>
      <c r="L37">
        <v>12</v>
      </c>
      <c r="M37">
        <f>IF(Table2[[#This Row],[Num_Month]]&lt;&gt;12,12,Table2[[#This Row],[Num_Month]])</f>
        <v>12</v>
      </c>
      <c r="N37">
        <f>IF(Table2[[#This Row],[Monthly_Salary]]="","",Table2[[#This Row],[Monthly_Salary]]*Table2[[#This Row],[Num_Month_Final]])</f>
        <v>936000</v>
      </c>
      <c r="O37">
        <v>5</v>
      </c>
      <c r="P37">
        <f>IF(Table2[[#This Row],[Exp_Years]]&lt;0,ABS(Table2[[#This Row],[Exp_Years]]),Table2[[#This Row],[Exp_Years]])</f>
        <v>5</v>
      </c>
      <c r="Q37">
        <v>1</v>
      </c>
      <c r="S37" t="str">
        <f>IF(Table2[[#This Row],[Performance_Rating]]&gt;=3,Table2[[#This Row],[Monthly_Salary]]*0.3,"")</f>
        <v/>
      </c>
      <c r="T37">
        <v>85</v>
      </c>
      <c r="U37">
        <v>10</v>
      </c>
      <c r="V37">
        <v>1</v>
      </c>
      <c r="X37" t="s">
        <v>38</v>
      </c>
      <c r="Y37" t="str">
        <f>IF(Table2[[#This Row],[Work_Mode]]&lt;&gt;"",Table2[[#This Row],[Work_Mode]],
IF(ISNUMBER(SEARCH("India",Table2[[#This Row],[Emp_Name]])),"Office",
IF(ISNUMBER(SEARCH("Foreign",Table2[[#This Row],[Emp_Name]])),"Remote","")))</f>
        <v>Hybrid</v>
      </c>
      <c r="Z37">
        <v>20</v>
      </c>
      <c r="AA3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37" t="s">
        <v>39</v>
      </c>
      <c r="AC37" t="str">
        <f>IF(COUNTIF(Table2[Emp_ID],Table2[[#This Row],[Emp_ID]])&gt;1,"Duplicate","Unique")</f>
        <v>Unique</v>
      </c>
      <c r="AD37" t="str">
        <f>_xlfn.TEXTJOIN("|",TRUE,Table2[[#This Row],[Emp_ID]:[Salary_Band]])</f>
        <v>ZOM1098|Employee_98_India|29|Kolkata|Logistics|Lead Analyst|INR|INR|78000|12|12|936000|5|5|1|85|10|1|Hybrid|Hybrid|20|6000|Low</v>
      </c>
      <c r="AE37" s="2" t="str">
        <f>IF(COUNTIFS(Table2[Emp_ID],Table2[[#This Row],[Emp_ID]],Table2[Row_Concat],Table2[[#This Row],[Row_Concat]])&gt;1,"Exact Duplicate",
IF(COUNTIF(Table2[Emp_ID],Table2[[#This Row],[Emp_ID]])&gt;1,"Mismatch","Unique"))</f>
        <v>Unique</v>
      </c>
      <c r="AF37">
        <f>ROW()</f>
        <v>37</v>
      </c>
      <c r="AG37" t="str">
        <f>IF(Table2[[#This Row],[Monthly_Salary]]="","Exclude",
IF(Table2[[#This Row],[Row_Status]]="Mismatch","Exclude",
IF(AND(Table2[[#This Row],[Row_Status]]="Exact Duplicate",
COUNTIFS(Table2[Emp_ID],Table2[[#This Row],[Emp_ID]],Table2[Row_Concat],Table2[[#This Row],[Row_Concat]],
Table2[Row_Number],"&lt;"&amp;Table2[[#This Row],[Row_Number]])&gt;=1),"Delete","")))</f>
        <v/>
      </c>
      <c r="AH37" t="str">
        <f>VLOOKUP(Table2[[#This Row],[Department]],Raw_2!A:B,2,0)</f>
        <v>Night</v>
      </c>
      <c r="AI37">
        <f>VLOOKUP(Table2[[#This Row],[Department]],Raw_2!A:C,3,0)</f>
        <v>13</v>
      </c>
    </row>
    <row r="38" spans="1:35">
      <c r="A38" t="s">
        <v>123</v>
      </c>
      <c r="B38" t="s">
        <v>124</v>
      </c>
      <c r="C38">
        <v>38</v>
      </c>
      <c r="E38" t="str">
        <f>IF(OR(Table2[[#This Row],[Gender]]="Male",Table2[[#This Row],[Gender]]="M"),"M",
IF(OR(Table2[[#This Row],[Gender]]="Female",Table2[[#This Row],[Gender]]="F"),"F",""))</f>
        <v/>
      </c>
      <c r="F38" t="s">
        <v>50</v>
      </c>
      <c r="G38" t="s">
        <v>31</v>
      </c>
      <c r="H38" t="s">
        <v>1049</v>
      </c>
      <c r="I38" t="s">
        <v>1060</v>
      </c>
      <c r="J38" t="str">
        <f>IF(ISNUMBER(SEARCH("India",Table2[[#This Row],[Emp_Name]])),"INR",
IF(ISNUMBER(SEARCH("Foreign",Table2[[#This Row],[Emp_Name]])),Table2[[#This Row],[Currency]],Table2[[#This Row],[Currency]]))</f>
        <v>INR</v>
      </c>
      <c r="K38">
        <v>110000</v>
      </c>
      <c r="L38">
        <v>12</v>
      </c>
      <c r="M38">
        <f>IF(Table2[[#This Row],[Num_Month]]&lt;&gt;12,12,Table2[[#This Row],[Num_Month]])</f>
        <v>12</v>
      </c>
      <c r="N38">
        <f>IF(Table2[[#This Row],[Monthly_Salary]]="","",Table2[[#This Row],[Monthly_Salary]]*Table2[[#This Row],[Num_Month_Final]])</f>
        <v>1320000</v>
      </c>
      <c r="O38">
        <v>11</v>
      </c>
      <c r="P38">
        <f>IF(Table2[[#This Row],[Exp_Years]]&lt;0,ABS(Table2[[#This Row],[Exp_Years]]),Table2[[#This Row],[Exp_Years]])</f>
        <v>11</v>
      </c>
      <c r="Q38">
        <v>5</v>
      </c>
      <c r="R38">
        <v>65000</v>
      </c>
      <c r="S38">
        <f>IF(Table2[[#This Row],[Performance_Rating]]&gt;=3,Table2[[#This Row],[Monthly_Salary]]*0.3,"")</f>
        <v>33000</v>
      </c>
      <c r="T38">
        <v>95</v>
      </c>
      <c r="U38">
        <v>10</v>
      </c>
      <c r="V38">
        <v>5</v>
      </c>
      <c r="W38" t="s">
        <v>37</v>
      </c>
      <c r="X38" t="s">
        <v>38</v>
      </c>
      <c r="Y38" t="str">
        <f>IF(Table2[[#This Row],[Work_Mode]]&lt;&gt;"",Table2[[#This Row],[Work_Mode]],
IF(ISNUMBER(SEARCH("India",Table2[[#This Row],[Emp_Name]])),"Office",
IF(ISNUMBER(SEARCH("Foreign",Table2[[#This Row],[Emp_Name]])),"Remote","")))</f>
        <v>Hybrid</v>
      </c>
      <c r="AA38"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38" t="s">
        <v>58</v>
      </c>
      <c r="AC38" t="str">
        <f>IF(COUNTIF(Table2[Emp_ID],Table2[[#This Row],[Emp_ID]])&gt;1,"Duplicate","Unique")</f>
        <v>Unique</v>
      </c>
      <c r="AD38" t="str">
        <f>_xlfn.TEXTJOIN("|",TRUE,Table2[[#This Row],[Emp_ID]:[Salary_Band]])</f>
        <v>ZOM1040|Employee_40_India|38|Delhi|Logistics|Director|INR|INR|110000|12|12|1320000|11|11|5|65000|33000|95|10|5|Yes|Hybrid|Hybrid|High</v>
      </c>
      <c r="AE38" s="2" t="str">
        <f>IF(COUNTIFS(Table2[Emp_ID],Table2[[#This Row],[Emp_ID]],Table2[Row_Concat],Table2[[#This Row],[Row_Concat]])&gt;1,"Exact Duplicate",
IF(COUNTIF(Table2[Emp_ID],Table2[[#This Row],[Emp_ID]])&gt;1,"Mismatch","Unique"))</f>
        <v>Unique</v>
      </c>
      <c r="AF38">
        <f>ROW()</f>
        <v>38</v>
      </c>
      <c r="AG38" t="str">
        <f>IF(Table2[[#This Row],[Monthly_Salary]]="","Exclude",
IF(Table2[[#This Row],[Row_Status]]="Mismatch","Exclude",
IF(AND(Table2[[#This Row],[Row_Status]]="Exact Duplicate",
COUNTIFS(Table2[Emp_ID],Table2[[#This Row],[Emp_ID]],Table2[Row_Concat],Table2[[#This Row],[Row_Concat]],
Table2[Row_Number],"&lt;"&amp;Table2[[#This Row],[Row_Number]])&gt;=1),"Delete","")))</f>
        <v/>
      </c>
      <c r="AH38" t="str">
        <f>VLOOKUP(Table2[[#This Row],[Department]],Raw_2!A:B,2,0)</f>
        <v>Night</v>
      </c>
      <c r="AI38">
        <f>VLOOKUP(Table2[[#This Row],[Department]],Raw_2!A:C,3,0)</f>
        <v>13</v>
      </c>
    </row>
    <row r="39" spans="1:35">
      <c r="A39" t="s">
        <v>125</v>
      </c>
      <c r="B39" t="s">
        <v>126</v>
      </c>
      <c r="C39">
        <v>38</v>
      </c>
      <c r="D39" t="s">
        <v>25</v>
      </c>
      <c r="E39" t="str">
        <f>IF(OR(Table2[[#This Row],[Gender]]="Male",Table2[[#This Row],[Gender]]="M"),"M",
IF(OR(Table2[[#This Row],[Gender]]="Female",Table2[[#This Row],[Gender]]="F"),"F",""))</f>
        <v>F</v>
      </c>
      <c r="F39" t="s">
        <v>64</v>
      </c>
      <c r="G39" t="s">
        <v>18</v>
      </c>
      <c r="H39" t="s">
        <v>1049</v>
      </c>
      <c r="I39" t="s">
        <v>1060</v>
      </c>
      <c r="J39" t="str">
        <f>IF(ISNUMBER(SEARCH("India",Table2[[#This Row],[Emp_Name]])),"INR",
IF(ISNUMBER(SEARCH("Foreign",Table2[[#This Row],[Emp_Name]])),Table2[[#This Row],[Currency]],Table2[[#This Row],[Currency]]))</f>
        <v>INR</v>
      </c>
      <c r="K39">
        <v>99000</v>
      </c>
      <c r="L39">
        <v>12</v>
      </c>
      <c r="M39">
        <f>IF(Table2[[#This Row],[Num_Month]]&lt;&gt;12,12,Table2[[#This Row],[Num_Month]])</f>
        <v>12</v>
      </c>
      <c r="N39">
        <f>IF(Table2[[#This Row],[Monthly_Salary]]="","",Table2[[#This Row],[Monthly_Salary]]*Table2[[#This Row],[Num_Month_Final]])</f>
        <v>1188000</v>
      </c>
      <c r="O39">
        <v>13</v>
      </c>
      <c r="P39">
        <f>IF(Table2[[#This Row],[Exp_Years]]&lt;0,ABS(Table2[[#This Row],[Exp_Years]]),Table2[[#This Row],[Exp_Years]])</f>
        <v>13</v>
      </c>
      <c r="Q39">
        <v>4</v>
      </c>
      <c r="R39">
        <v>58000</v>
      </c>
      <c r="S39">
        <f>IF(Table2[[#This Row],[Performance_Rating]]&gt;=3,Table2[[#This Row],[Monthly_Salary]]*0.3,"")</f>
        <v>29700</v>
      </c>
      <c r="T39">
        <v>90</v>
      </c>
      <c r="U39">
        <v>7</v>
      </c>
      <c r="V39">
        <v>2</v>
      </c>
      <c r="W39" t="s">
        <v>37</v>
      </c>
      <c r="X39" t="s">
        <v>38</v>
      </c>
      <c r="Y39" t="str">
        <f>IF(Table2[[#This Row],[Work_Mode]]&lt;&gt;"",Table2[[#This Row],[Work_Mode]],
IF(ISNUMBER(SEARCH("India",Table2[[#This Row],[Emp_Name]])),"Office",
IF(ISNUMBER(SEARCH("Foreign",Table2[[#This Row],[Emp_Name]])),"Remote","")))</f>
        <v>Hybrid</v>
      </c>
      <c r="AA39"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39" t="s">
        <v>22</v>
      </c>
      <c r="AC39" t="str">
        <f>IF(COUNTIF(Table2[Emp_ID],Table2[[#This Row],[Emp_ID]])&gt;1,"Duplicate","Unique")</f>
        <v>Unique</v>
      </c>
      <c r="AD39" t="str">
        <f>_xlfn.TEXTJOIN("|",TRUE,Table2[[#This Row],[Emp_ID]:[Salary_Band]])</f>
        <v>ZOM1273|Employee_273_India|38|F|F|Mumbai|HR|Director|INR|INR|99000|12|12|1188000|13|13|4|58000|29700|90|7|2|Yes|Hybrid|Hybrid|Medium</v>
      </c>
      <c r="AE39" s="2" t="str">
        <f>IF(COUNTIFS(Table2[Emp_ID],Table2[[#This Row],[Emp_ID]],Table2[Row_Concat],Table2[[#This Row],[Row_Concat]])&gt;1,"Exact Duplicate",
IF(COUNTIF(Table2[Emp_ID],Table2[[#This Row],[Emp_ID]])&gt;1,"Mismatch","Unique"))</f>
        <v>Unique</v>
      </c>
      <c r="AF39">
        <f>ROW()</f>
        <v>39</v>
      </c>
      <c r="AG39" t="str">
        <f>IF(Table2[[#This Row],[Monthly_Salary]]="","Exclude",
IF(Table2[[#This Row],[Row_Status]]="Mismatch","Exclude",
IF(AND(Table2[[#This Row],[Row_Status]]="Exact Duplicate",
COUNTIFS(Table2[Emp_ID],Table2[[#This Row],[Emp_ID]],Table2[Row_Concat],Table2[[#This Row],[Row_Concat]],
Table2[Row_Number],"&lt;"&amp;Table2[[#This Row],[Row_Number]])&gt;=1),"Delete","")))</f>
        <v/>
      </c>
      <c r="AH39" t="str">
        <f>VLOOKUP(Table2[[#This Row],[Department]],Raw_2!A:B,2,0)</f>
        <v>Day</v>
      </c>
      <c r="AI39">
        <f>VLOOKUP(Table2[[#This Row],[Department]],Raw_2!A:C,3,0)</f>
        <v>10</v>
      </c>
    </row>
    <row r="40" spans="1:35">
      <c r="A40" t="s">
        <v>127</v>
      </c>
      <c r="B40" t="s">
        <v>128</v>
      </c>
      <c r="C40">
        <v>27</v>
      </c>
      <c r="D40" t="s">
        <v>34</v>
      </c>
      <c r="E40" t="str">
        <f>IF(OR(Table2[[#This Row],[Gender]]="Male",Table2[[#This Row],[Gender]]="M"),"M",
IF(OR(Table2[[#This Row],[Gender]]="Female",Table2[[#This Row],[Gender]]="F"),"F",""))</f>
        <v>F</v>
      </c>
      <c r="F40" t="s">
        <v>57</v>
      </c>
      <c r="G40" t="s">
        <v>31</v>
      </c>
      <c r="H40" t="s">
        <v>1045</v>
      </c>
      <c r="I40" t="s">
        <v>1060</v>
      </c>
      <c r="J40" t="str">
        <f>IF(ISNUMBER(SEARCH("India",Table2[[#This Row],[Emp_Name]])),"INR",
IF(ISNUMBER(SEARCH("Foreign",Table2[[#This Row],[Emp_Name]])),Table2[[#This Row],[Currency]],Table2[[#This Row],[Currency]]))</f>
        <v>INR</v>
      </c>
      <c r="K40">
        <v>79000</v>
      </c>
      <c r="L40">
        <v>12</v>
      </c>
      <c r="M40">
        <f>IF(Table2[[#This Row],[Num_Month]]&lt;&gt;12,12,Table2[[#This Row],[Num_Month]])</f>
        <v>12</v>
      </c>
      <c r="N40">
        <f>IF(Table2[[#This Row],[Monthly_Salary]]="","",Table2[[#This Row],[Monthly_Salary]]*Table2[[#This Row],[Num_Month_Final]])</f>
        <v>948000</v>
      </c>
      <c r="O40">
        <v>6</v>
      </c>
      <c r="P40">
        <f>IF(Table2[[#This Row],[Exp_Years]]&lt;0,ABS(Table2[[#This Row],[Exp_Years]]),Table2[[#This Row],[Exp_Years]])</f>
        <v>6</v>
      </c>
      <c r="Q40">
        <v>4</v>
      </c>
      <c r="R40">
        <v>10871</v>
      </c>
      <c r="S40">
        <f>IF(Table2[[#This Row],[Performance_Rating]]&gt;=3,Table2[[#This Row],[Monthly_Salary]]*0.3,"")</f>
        <v>23700</v>
      </c>
      <c r="T40">
        <v>87</v>
      </c>
      <c r="U40">
        <v>15</v>
      </c>
      <c r="V40">
        <v>2</v>
      </c>
      <c r="W40" t="s">
        <v>37</v>
      </c>
      <c r="X40" t="s">
        <v>19</v>
      </c>
      <c r="Y40" t="str">
        <f>IF(Table2[[#This Row],[Work_Mode]]&lt;&gt;"",Table2[[#This Row],[Work_Mode]],
IF(ISNUMBER(SEARCH("India",Table2[[#This Row],[Emp_Name]])),"Office",
IF(ISNUMBER(SEARCH("Foreign",Table2[[#This Row],[Emp_Name]])),"Remote","")))</f>
        <v>Office</v>
      </c>
      <c r="Z40">
        <v>10</v>
      </c>
      <c r="AA4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40" t="s">
        <v>58</v>
      </c>
      <c r="AC40" t="str">
        <f>IF(COUNTIF(Table2[Emp_ID],Table2[[#This Row],[Emp_ID]])&gt;1,"Duplicate","Unique")</f>
        <v>Unique</v>
      </c>
      <c r="AD40" t="str">
        <f>_xlfn.TEXTJOIN("|",TRUE,Table2[[#This Row],[Emp_ID]:[Salary_Band]])</f>
        <v>ZOM1045|Employee_45_India|27|Female|F|Chennai|Logistics|Lead Analyst|INR|INR|79000|12|12|948000|6|6|4|10871|23700|87|15|2|Yes|Office|Office|10|3000|High</v>
      </c>
      <c r="AE40" s="2" t="str">
        <f>IF(COUNTIFS(Table2[Emp_ID],Table2[[#This Row],[Emp_ID]],Table2[Row_Concat],Table2[[#This Row],[Row_Concat]])&gt;1,"Exact Duplicate",
IF(COUNTIF(Table2[Emp_ID],Table2[[#This Row],[Emp_ID]])&gt;1,"Mismatch","Unique"))</f>
        <v>Unique</v>
      </c>
      <c r="AF40">
        <f>ROW()</f>
        <v>40</v>
      </c>
      <c r="AG40" t="str">
        <f>IF(Table2[[#This Row],[Monthly_Salary]]="","Exclude",
IF(Table2[[#This Row],[Row_Status]]="Mismatch","Exclude",
IF(AND(Table2[[#This Row],[Row_Status]]="Exact Duplicate",
COUNTIFS(Table2[Emp_ID],Table2[[#This Row],[Emp_ID]],Table2[Row_Concat],Table2[[#This Row],[Row_Concat]],
Table2[Row_Number],"&lt;"&amp;Table2[[#This Row],[Row_Number]])&gt;=1),"Delete","")))</f>
        <v/>
      </c>
      <c r="AH40" t="str">
        <f>VLOOKUP(Table2[[#This Row],[Department]],Raw_2!A:B,2,0)</f>
        <v>Night</v>
      </c>
      <c r="AI40">
        <f>VLOOKUP(Table2[[#This Row],[Department]],Raw_2!A:C,3,0)</f>
        <v>13</v>
      </c>
    </row>
    <row r="41" spans="1:35">
      <c r="A41" t="s">
        <v>129</v>
      </c>
      <c r="B41" t="s">
        <v>130</v>
      </c>
      <c r="C41">
        <v>42</v>
      </c>
      <c r="D41" t="s">
        <v>46</v>
      </c>
      <c r="E41" t="str">
        <f>IF(OR(Table2[[#This Row],[Gender]]="Male",Table2[[#This Row],[Gender]]="M"),"M",
IF(OR(Table2[[#This Row],[Gender]]="Female",Table2[[#This Row],[Gender]]="F"),"F",""))</f>
        <v>M</v>
      </c>
      <c r="F41" t="s">
        <v>61</v>
      </c>
      <c r="G41" t="s">
        <v>31</v>
      </c>
      <c r="H41" t="s">
        <v>1049</v>
      </c>
      <c r="I41" t="s">
        <v>1060</v>
      </c>
      <c r="J41" t="str">
        <f>IF(ISNUMBER(SEARCH("India",Table2[[#This Row],[Emp_Name]])),"INR",
IF(ISNUMBER(SEARCH("Foreign",Table2[[#This Row],[Emp_Name]])),Table2[[#This Row],[Currency]],Table2[[#This Row],[Currency]]))</f>
        <v>INR</v>
      </c>
      <c r="K41">
        <v>100000</v>
      </c>
      <c r="L41">
        <v>12</v>
      </c>
      <c r="M41">
        <f>IF(Table2[[#This Row],[Num_Month]]&lt;&gt;12,12,Table2[[#This Row],[Num_Month]])</f>
        <v>12</v>
      </c>
      <c r="N41">
        <f>IF(Table2[[#This Row],[Monthly_Salary]]="","",Table2[[#This Row],[Monthly_Salary]]*Table2[[#This Row],[Num_Month_Final]])</f>
        <v>1200000</v>
      </c>
      <c r="O41">
        <v>11</v>
      </c>
      <c r="P41">
        <f>IF(Table2[[#This Row],[Exp_Years]]&lt;0,ABS(Table2[[#This Row],[Exp_Years]]),Table2[[#This Row],[Exp_Years]])</f>
        <v>11</v>
      </c>
      <c r="Q41">
        <v>4</v>
      </c>
      <c r="R41">
        <v>44461</v>
      </c>
      <c r="S41">
        <f>IF(Table2[[#This Row],[Performance_Rating]]&gt;=3,Table2[[#This Row],[Monthly_Salary]]*0.3,"")</f>
        <v>30000</v>
      </c>
      <c r="T41">
        <v>85</v>
      </c>
      <c r="U41">
        <v>10</v>
      </c>
      <c r="V41">
        <v>2</v>
      </c>
      <c r="W41" t="s">
        <v>21</v>
      </c>
      <c r="X41" t="s">
        <v>38</v>
      </c>
      <c r="Y41" t="str">
        <f>IF(Table2[[#This Row],[Work_Mode]]&lt;&gt;"",Table2[[#This Row],[Work_Mode]],
IF(ISNUMBER(SEARCH("India",Table2[[#This Row],[Emp_Name]])),"Office",
IF(ISNUMBER(SEARCH("Foreign",Table2[[#This Row],[Emp_Name]])),"Remote","")))</f>
        <v>Hybrid</v>
      </c>
      <c r="AA41"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41" t="s">
        <v>58</v>
      </c>
      <c r="AC41" t="str">
        <f>IF(COUNTIF(Table2[Emp_ID],Table2[[#This Row],[Emp_ID]])&gt;1,"Duplicate","Unique")</f>
        <v>Unique</v>
      </c>
      <c r="AD41" t="str">
        <f>_xlfn.TEXTJOIN("|",TRUE,Table2[[#This Row],[Emp_ID]:[Salary_Band]])</f>
        <v>ZOM1161|Employee_161_India|42|M|M|Hyderabad|Logistics|Director|INR|INR|100000|12|12|1200000|11|11|4|44461|30000|85|10|2|No|Hybrid|Hybrid|High</v>
      </c>
      <c r="AE41" s="2" t="str">
        <f>IF(COUNTIFS(Table2[Emp_ID],Table2[[#This Row],[Emp_ID]],Table2[Row_Concat],Table2[[#This Row],[Row_Concat]])&gt;1,"Exact Duplicate",
IF(COUNTIF(Table2[Emp_ID],Table2[[#This Row],[Emp_ID]])&gt;1,"Mismatch","Unique"))</f>
        <v>Unique</v>
      </c>
      <c r="AF41">
        <f>ROW()</f>
        <v>41</v>
      </c>
      <c r="AG41" t="str">
        <f>IF(Table2[[#This Row],[Monthly_Salary]]="","Exclude",
IF(Table2[[#This Row],[Row_Status]]="Mismatch","Exclude",
IF(AND(Table2[[#This Row],[Row_Status]]="Exact Duplicate",
COUNTIFS(Table2[Emp_ID],Table2[[#This Row],[Emp_ID]],Table2[Row_Concat],Table2[[#This Row],[Row_Concat]],
Table2[Row_Number],"&lt;"&amp;Table2[[#This Row],[Row_Number]])&gt;=1),"Delete","")))</f>
        <v/>
      </c>
      <c r="AH41" t="str">
        <f>VLOOKUP(Table2[[#This Row],[Department]],Raw_2!A:B,2,0)</f>
        <v>Night</v>
      </c>
      <c r="AI41">
        <f>VLOOKUP(Table2[[#This Row],[Department]],Raw_2!A:C,3,0)</f>
        <v>13</v>
      </c>
    </row>
    <row r="42" spans="1:35">
      <c r="A42" t="s">
        <v>131</v>
      </c>
      <c r="B42" t="s">
        <v>132</v>
      </c>
      <c r="C42">
        <v>28</v>
      </c>
      <c r="D42" t="s">
        <v>34</v>
      </c>
      <c r="E42" t="str">
        <f>IF(OR(Table2[[#This Row],[Gender]]="Male",Table2[[#This Row],[Gender]]="M"),"M",
IF(OR(Table2[[#This Row],[Gender]]="Female",Table2[[#This Row],[Gender]]="F"),"F",""))</f>
        <v>F</v>
      </c>
      <c r="F42" t="s">
        <v>26</v>
      </c>
      <c r="G42" t="s">
        <v>18</v>
      </c>
      <c r="H42" t="s">
        <v>1045</v>
      </c>
      <c r="I42" t="s">
        <v>1059</v>
      </c>
      <c r="J42" t="str">
        <f>IF(ISNUMBER(SEARCH("India",Table2[[#This Row],[Emp_Name]])),"INR",
IF(ISNUMBER(SEARCH("Foreign",Table2[[#This Row],[Emp_Name]])),Table2[[#This Row],[Currency]],Table2[[#This Row],[Currency]]))</f>
        <v>USD</v>
      </c>
      <c r="K42">
        <v>80000</v>
      </c>
      <c r="L42">
        <v>12</v>
      </c>
      <c r="M42">
        <f>IF(Table2[[#This Row],[Num_Month]]&lt;&gt;12,12,Table2[[#This Row],[Num_Month]])</f>
        <v>12</v>
      </c>
      <c r="N42">
        <f>IF(Table2[[#This Row],[Monthly_Salary]]="","",Table2[[#This Row],[Monthly_Salary]]*Table2[[#This Row],[Num_Month_Final]])</f>
        <v>960000</v>
      </c>
      <c r="O42">
        <v>6</v>
      </c>
      <c r="P42">
        <f>IF(Table2[[#This Row],[Exp_Years]]&lt;0,ABS(Table2[[#This Row],[Exp_Years]]),Table2[[#This Row],[Exp_Years]])</f>
        <v>6</v>
      </c>
      <c r="Q42">
        <v>2</v>
      </c>
      <c r="S42" t="str">
        <f>IF(Table2[[#This Row],[Performance_Rating]]&gt;=3,Table2[[#This Row],[Monthly_Salary]]*0.3,"")</f>
        <v/>
      </c>
      <c r="T42">
        <v>80</v>
      </c>
      <c r="U42">
        <v>5</v>
      </c>
      <c r="V42">
        <v>5</v>
      </c>
      <c r="X42" t="s">
        <v>28</v>
      </c>
      <c r="Y42" t="str">
        <f>IF(Table2[[#This Row],[Work_Mode]]&lt;&gt;"",Table2[[#This Row],[Work_Mode]],
IF(ISNUMBER(SEARCH("India",Table2[[#This Row],[Emp_Name]])),"Office",
IF(ISNUMBER(SEARCH("Foreign",Table2[[#This Row],[Emp_Name]])),"Remote","")))</f>
        <v>Remote</v>
      </c>
      <c r="Z42">
        <v>5</v>
      </c>
      <c r="AA4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42" t="s">
        <v>39</v>
      </c>
      <c r="AC42" t="str">
        <f>IF(COUNTIF(Table2[Emp_ID],Table2[[#This Row],[Emp_ID]])&gt;1,"Duplicate","Unique")</f>
        <v>Unique</v>
      </c>
      <c r="AD42" t="str">
        <f>_xlfn.TEXTJOIN("|",TRUE,Table2[[#This Row],[Emp_ID]:[Salary_Band]])</f>
        <v>ZOM1612|Employee_12_Foreign|28|Female|F|Bangalore|HR|Lead Analyst|USD|USD|80000|12|12|960000|6|6|2|80|5|5|Remote|Remote|5|1500|Low</v>
      </c>
      <c r="AE42" s="2" t="str">
        <f>IF(COUNTIFS(Table2[Emp_ID],Table2[[#This Row],[Emp_ID]],Table2[Row_Concat],Table2[[#This Row],[Row_Concat]])&gt;1,"Exact Duplicate",
IF(COUNTIF(Table2[Emp_ID],Table2[[#This Row],[Emp_ID]])&gt;1,"Mismatch","Unique"))</f>
        <v>Unique</v>
      </c>
      <c r="AF42">
        <f>ROW()</f>
        <v>42</v>
      </c>
      <c r="AG42" t="str">
        <f>IF(Table2[[#This Row],[Monthly_Salary]]="","Exclude",
IF(Table2[[#This Row],[Row_Status]]="Mismatch","Exclude",
IF(AND(Table2[[#This Row],[Row_Status]]="Exact Duplicate",
COUNTIFS(Table2[Emp_ID],Table2[[#This Row],[Emp_ID]],Table2[Row_Concat],Table2[[#This Row],[Row_Concat]],
Table2[Row_Number],"&lt;"&amp;Table2[[#This Row],[Row_Number]])&gt;=1),"Delete","")))</f>
        <v/>
      </c>
      <c r="AH42" t="str">
        <f>VLOOKUP(Table2[[#This Row],[Department]],Raw_2!A:B,2,0)</f>
        <v>Day</v>
      </c>
      <c r="AI42">
        <f>VLOOKUP(Table2[[#This Row],[Department]],Raw_2!A:C,3,0)</f>
        <v>10</v>
      </c>
    </row>
    <row r="43" spans="1:35">
      <c r="A43" t="s">
        <v>133</v>
      </c>
      <c r="B43" t="s">
        <v>134</v>
      </c>
      <c r="C43">
        <v>27</v>
      </c>
      <c r="D43" t="s">
        <v>46</v>
      </c>
      <c r="E43" t="str">
        <f>IF(OR(Table2[[#This Row],[Gender]]="Male",Table2[[#This Row],[Gender]]="M"),"M",
IF(OR(Table2[[#This Row],[Gender]]="Female",Table2[[#This Row],[Gender]]="F"),"F",""))</f>
        <v>M</v>
      </c>
      <c r="F43" t="s">
        <v>64</v>
      </c>
      <c r="G43" t="s">
        <v>27</v>
      </c>
      <c r="H43" t="s">
        <v>51</v>
      </c>
      <c r="I43" t="s">
        <v>1060</v>
      </c>
      <c r="J43" t="str">
        <f>IF(ISNUMBER(SEARCH("India",Table2[[#This Row],[Emp_Name]])),"INR",
IF(ISNUMBER(SEARCH("Foreign",Table2[[#This Row],[Emp_Name]])),Table2[[#This Row],[Currency]],Table2[[#This Row],[Currency]]))</f>
        <v>INR</v>
      </c>
      <c r="K43">
        <v>48000</v>
      </c>
      <c r="L43">
        <v>12</v>
      </c>
      <c r="M43">
        <f>IF(Table2[[#This Row],[Num_Month]]&lt;&gt;12,12,Table2[[#This Row],[Num_Month]])</f>
        <v>12</v>
      </c>
      <c r="N43">
        <f>IF(Table2[[#This Row],[Monthly_Salary]]="","",Table2[[#This Row],[Monthly_Salary]]*Table2[[#This Row],[Num_Month_Final]])</f>
        <v>576000</v>
      </c>
      <c r="O43">
        <v>4</v>
      </c>
      <c r="P43">
        <f>IF(Table2[[#This Row],[Exp_Years]]&lt;0,ABS(Table2[[#This Row],[Exp_Years]]),Table2[[#This Row],[Exp_Years]])</f>
        <v>4</v>
      </c>
      <c r="Q43">
        <v>2</v>
      </c>
      <c r="S43" t="str">
        <f>IF(Table2[[#This Row],[Performance_Rating]]&gt;=3,Table2[[#This Row],[Monthly_Salary]]*0.3,"")</f>
        <v/>
      </c>
      <c r="T43">
        <v>95</v>
      </c>
      <c r="U43">
        <v>5</v>
      </c>
      <c r="V43">
        <v>13</v>
      </c>
      <c r="X43" t="s">
        <v>38</v>
      </c>
      <c r="Y43" t="str">
        <f>IF(Table2[[#This Row],[Work_Mode]]&lt;&gt;"",Table2[[#This Row],[Work_Mode]],
IF(ISNUMBER(SEARCH("India",Table2[[#This Row],[Emp_Name]])),"Office",
IF(ISNUMBER(SEARCH("Foreign",Table2[[#This Row],[Emp_Name]])),"Remote","")))</f>
        <v>Hybrid</v>
      </c>
      <c r="Z43">
        <v>5</v>
      </c>
      <c r="AA4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43" t="s">
        <v>39</v>
      </c>
      <c r="AC43" t="str">
        <f>IF(COUNTIF(Table2[Emp_ID],Table2[[#This Row],[Emp_ID]])&gt;1,"Duplicate","Unique")</f>
        <v>Unique</v>
      </c>
      <c r="AD43" t="str">
        <f>_xlfn.TEXTJOIN("|",TRUE,Table2[[#This Row],[Emp_ID]:[Salary_Band]])</f>
        <v>ZOM1268|Employee_268_India|27|M|M|Mumbai|Customer Support|Senior Analyst|INR|INR|48000|12|12|576000|4|4|2|95|5|13|Hybrid|Hybrid|5|1500|Low</v>
      </c>
      <c r="AE43" s="2" t="str">
        <f>IF(COUNTIFS(Table2[Emp_ID],Table2[[#This Row],[Emp_ID]],Table2[Row_Concat],Table2[[#This Row],[Row_Concat]])&gt;1,"Exact Duplicate",
IF(COUNTIF(Table2[Emp_ID],Table2[[#This Row],[Emp_ID]])&gt;1,"Mismatch","Unique"))</f>
        <v>Unique</v>
      </c>
      <c r="AF43">
        <f>ROW()</f>
        <v>43</v>
      </c>
      <c r="AG43" t="str">
        <f>IF(Table2[[#This Row],[Monthly_Salary]]="","Exclude",
IF(Table2[[#This Row],[Row_Status]]="Mismatch","Exclude",
IF(AND(Table2[[#This Row],[Row_Status]]="Exact Duplicate",
COUNTIFS(Table2[Emp_ID],Table2[[#This Row],[Emp_ID]],Table2[Row_Concat],Table2[[#This Row],[Row_Concat]],
Table2[Row_Number],"&lt;"&amp;Table2[[#This Row],[Row_Number]])&gt;=1),"Delete","")))</f>
        <v/>
      </c>
      <c r="AH43" t="str">
        <f>VLOOKUP(Table2[[#This Row],[Department]],Raw_2!A:B,2,0)</f>
        <v>Day</v>
      </c>
      <c r="AI43">
        <f>VLOOKUP(Table2[[#This Row],[Department]],Raw_2!A:C,3,0)</f>
        <v>12</v>
      </c>
    </row>
    <row r="44" spans="1:35">
      <c r="A44" t="s">
        <v>135</v>
      </c>
      <c r="B44" t="s">
        <v>136</v>
      </c>
      <c r="C44">
        <v>27</v>
      </c>
      <c r="E44" t="str">
        <f>IF(OR(Table2[[#This Row],[Gender]]="Male",Table2[[#This Row],[Gender]]="M"),"M",
IF(OR(Table2[[#This Row],[Gender]]="Female",Table2[[#This Row],[Gender]]="F"),"F",""))</f>
        <v/>
      </c>
      <c r="F44" t="s">
        <v>50</v>
      </c>
      <c r="G44" t="s">
        <v>31</v>
      </c>
      <c r="H44" t="s">
        <v>51</v>
      </c>
      <c r="I44" t="s">
        <v>1060</v>
      </c>
      <c r="J44" t="str">
        <f>IF(ISNUMBER(SEARCH("India",Table2[[#This Row],[Emp_Name]])),"INR",
IF(ISNUMBER(SEARCH("Foreign",Table2[[#This Row],[Emp_Name]])),Table2[[#This Row],[Currency]],Table2[[#This Row],[Currency]]))</f>
        <v>INR</v>
      </c>
      <c r="K44">
        <v>35000</v>
      </c>
      <c r="L44">
        <v>12</v>
      </c>
      <c r="M44">
        <f>IF(Table2[[#This Row],[Num_Month]]&lt;&gt;12,12,Table2[[#This Row],[Num_Month]])</f>
        <v>12</v>
      </c>
      <c r="N44">
        <f>IF(Table2[[#This Row],[Monthly_Salary]]="","",Table2[[#This Row],[Monthly_Salary]]*Table2[[#This Row],[Num_Month_Final]])</f>
        <v>420000</v>
      </c>
      <c r="O44">
        <v>2</v>
      </c>
      <c r="P44">
        <f>IF(Table2[[#This Row],[Exp_Years]]&lt;0,ABS(Table2[[#This Row],[Exp_Years]]),Table2[[#This Row],[Exp_Years]])</f>
        <v>2</v>
      </c>
      <c r="Q44">
        <v>5</v>
      </c>
      <c r="R44">
        <v>21000</v>
      </c>
      <c r="S44">
        <f>IF(Table2[[#This Row],[Performance_Rating]]&gt;=3,Table2[[#This Row],[Monthly_Salary]]*0.3,"")</f>
        <v>10500</v>
      </c>
      <c r="T44">
        <v>80</v>
      </c>
      <c r="U44">
        <v>7</v>
      </c>
      <c r="V44">
        <v>10</v>
      </c>
      <c r="X44" t="s">
        <v>19</v>
      </c>
      <c r="Y44" t="str">
        <f>IF(Table2[[#This Row],[Work_Mode]]&lt;&gt;"",Table2[[#This Row],[Work_Mode]],
IF(ISNUMBER(SEARCH("India",Table2[[#This Row],[Emp_Name]])),"Office",
IF(ISNUMBER(SEARCH("Foreign",Table2[[#This Row],[Emp_Name]])),"Remote","")))</f>
        <v>Office</v>
      </c>
      <c r="Z44">
        <v>20</v>
      </c>
      <c r="AA4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44" t="s">
        <v>58</v>
      </c>
      <c r="AC44" t="str">
        <f>IF(COUNTIF(Table2[Emp_ID],Table2[[#This Row],[Emp_ID]])&gt;1,"Duplicate","Unique")</f>
        <v>Unique</v>
      </c>
      <c r="AD44" t="str">
        <f>_xlfn.TEXTJOIN("|",TRUE,Table2[[#This Row],[Emp_ID]:[Salary_Band]])</f>
        <v>ZOM1481|Employee_481_India|27|Delhi|Logistics|Senior Analyst|INR|INR|35000|12|12|420000|2|2|5|21000|10500|80|7|10|Office|Office|20|6000|High</v>
      </c>
      <c r="AE44" s="2" t="str">
        <f>IF(COUNTIFS(Table2[Emp_ID],Table2[[#This Row],[Emp_ID]],Table2[Row_Concat],Table2[[#This Row],[Row_Concat]])&gt;1,"Exact Duplicate",
IF(COUNTIF(Table2[Emp_ID],Table2[[#This Row],[Emp_ID]])&gt;1,"Mismatch","Unique"))</f>
        <v>Unique</v>
      </c>
      <c r="AF44">
        <f>ROW()</f>
        <v>44</v>
      </c>
      <c r="AG44" t="str">
        <f>IF(Table2[[#This Row],[Monthly_Salary]]="","Exclude",
IF(Table2[[#This Row],[Row_Status]]="Mismatch","Exclude",
IF(AND(Table2[[#This Row],[Row_Status]]="Exact Duplicate",
COUNTIFS(Table2[Emp_ID],Table2[[#This Row],[Emp_ID]],Table2[Row_Concat],Table2[[#This Row],[Row_Concat]],
Table2[Row_Number],"&lt;"&amp;Table2[[#This Row],[Row_Number]])&gt;=1),"Delete","")))</f>
        <v/>
      </c>
      <c r="AH44" t="str">
        <f>VLOOKUP(Table2[[#This Row],[Department]],Raw_2!A:B,2,0)</f>
        <v>Night</v>
      </c>
      <c r="AI44">
        <f>VLOOKUP(Table2[[#This Row],[Department]],Raw_2!A:C,3,0)</f>
        <v>13</v>
      </c>
    </row>
    <row r="45" spans="1:35">
      <c r="A45" t="s">
        <v>137</v>
      </c>
      <c r="B45" t="s">
        <v>138</v>
      </c>
      <c r="C45">
        <v>25</v>
      </c>
      <c r="D45" t="s">
        <v>46</v>
      </c>
      <c r="E45" t="str">
        <f>IF(OR(Table2[[#This Row],[Gender]]="Male",Table2[[#This Row],[Gender]]="M"),"M",
IF(OR(Table2[[#This Row],[Gender]]="Female",Table2[[#This Row],[Gender]]="F"),"F",""))</f>
        <v>M</v>
      </c>
      <c r="F45" t="s">
        <v>64</v>
      </c>
      <c r="G45" t="s">
        <v>31</v>
      </c>
      <c r="H45" t="s">
        <v>1045</v>
      </c>
      <c r="I45" t="s">
        <v>1059</v>
      </c>
      <c r="J45" t="str">
        <f>IF(ISNUMBER(SEARCH("India",Table2[[#This Row],[Emp_Name]])),"INR",
IF(ISNUMBER(SEARCH("Foreign",Table2[[#This Row],[Emp_Name]])),Table2[[#This Row],[Currency]],Table2[[#This Row],[Currency]]))</f>
        <v>INR</v>
      </c>
      <c r="K45">
        <v>78000</v>
      </c>
      <c r="L45">
        <v>12</v>
      </c>
      <c r="M45">
        <f>IF(Table2[[#This Row],[Num_Month]]&lt;&gt;12,12,Table2[[#This Row],[Num_Month]])</f>
        <v>12</v>
      </c>
      <c r="N45">
        <f>IF(Table2[[#This Row],[Monthly_Salary]]="","",Table2[[#This Row],[Monthly_Salary]]*Table2[[#This Row],[Num_Month_Final]])</f>
        <v>936000</v>
      </c>
      <c r="O45">
        <v>6</v>
      </c>
      <c r="P45">
        <f>IF(Table2[[#This Row],[Exp_Years]]&lt;0,ABS(Table2[[#This Row],[Exp_Years]]),Table2[[#This Row],[Exp_Years]])</f>
        <v>6</v>
      </c>
      <c r="Q45">
        <v>2</v>
      </c>
      <c r="S45" t="str">
        <f>IF(Table2[[#This Row],[Performance_Rating]]&gt;=3,Table2[[#This Row],[Monthly_Salary]]*0.3,"")</f>
        <v/>
      </c>
      <c r="T45">
        <v>87</v>
      </c>
      <c r="U45">
        <v>10</v>
      </c>
      <c r="V45">
        <v>6</v>
      </c>
      <c r="W45" t="s">
        <v>21</v>
      </c>
      <c r="X45" t="s">
        <v>38</v>
      </c>
      <c r="Y45" t="str">
        <f>IF(Table2[[#This Row],[Work_Mode]]&lt;&gt;"",Table2[[#This Row],[Work_Mode]],
IF(ISNUMBER(SEARCH("India",Table2[[#This Row],[Emp_Name]])),"Office",
IF(ISNUMBER(SEARCH("Foreign",Table2[[#This Row],[Emp_Name]])),"Remote","")))</f>
        <v>Hybrid</v>
      </c>
      <c r="Z45">
        <v>10</v>
      </c>
      <c r="AA4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45" t="s">
        <v>39</v>
      </c>
      <c r="AC45" t="str">
        <f>IF(COUNTIF(Table2[Emp_ID],Table2[[#This Row],[Emp_ID]])&gt;1,"Duplicate","Unique")</f>
        <v>Unique</v>
      </c>
      <c r="AD45" t="str">
        <f>_xlfn.TEXTJOIN("|",TRUE,Table2[[#This Row],[Emp_ID]:[Salary_Band]])</f>
        <v>ZOM1071|Employee_71_India|25|M|M|Mumbai|Logistics|Lead Analyst|USD|INR|78000|12|12|936000|6|6|2|87|10|6|No|Hybrid|Hybrid|10|3000|Low</v>
      </c>
      <c r="AE45" s="2" t="str">
        <f>IF(COUNTIFS(Table2[Emp_ID],Table2[[#This Row],[Emp_ID]],Table2[Row_Concat],Table2[[#This Row],[Row_Concat]])&gt;1,"Exact Duplicate",
IF(COUNTIF(Table2[Emp_ID],Table2[[#This Row],[Emp_ID]])&gt;1,"Mismatch","Unique"))</f>
        <v>Unique</v>
      </c>
      <c r="AF45">
        <f>ROW()</f>
        <v>45</v>
      </c>
      <c r="AG45" t="str">
        <f>IF(Table2[[#This Row],[Monthly_Salary]]="","Exclude",
IF(Table2[[#This Row],[Row_Status]]="Mismatch","Exclude",
IF(AND(Table2[[#This Row],[Row_Status]]="Exact Duplicate",
COUNTIFS(Table2[Emp_ID],Table2[[#This Row],[Emp_ID]],Table2[Row_Concat],Table2[[#This Row],[Row_Concat]],
Table2[Row_Number],"&lt;"&amp;Table2[[#This Row],[Row_Number]])&gt;=1),"Delete","")))</f>
        <v/>
      </c>
      <c r="AH45" t="str">
        <f>VLOOKUP(Table2[[#This Row],[Department]],Raw_2!A:B,2,0)</f>
        <v>Night</v>
      </c>
      <c r="AI45">
        <f>VLOOKUP(Table2[[#This Row],[Department]],Raw_2!A:C,3,0)</f>
        <v>13</v>
      </c>
    </row>
    <row r="46" spans="1:35">
      <c r="A46" t="s">
        <v>139</v>
      </c>
      <c r="B46" t="s">
        <v>140</v>
      </c>
      <c r="C46">
        <v>30</v>
      </c>
      <c r="D46" t="s">
        <v>34</v>
      </c>
      <c r="E46" t="str">
        <f>IF(OR(Table2[[#This Row],[Gender]]="Male",Table2[[#This Row],[Gender]]="M"),"M",
IF(OR(Table2[[#This Row],[Gender]]="Female",Table2[[#This Row],[Gender]]="F"),"F",""))</f>
        <v>F</v>
      </c>
      <c r="F46" t="s">
        <v>17</v>
      </c>
      <c r="G46" t="s">
        <v>42</v>
      </c>
      <c r="H46" t="s">
        <v>1045</v>
      </c>
      <c r="I46" t="s">
        <v>1060</v>
      </c>
      <c r="J46" t="str">
        <f>IF(ISNUMBER(SEARCH("India",Table2[[#This Row],[Emp_Name]])),"INR",
IF(ISNUMBER(SEARCH("Foreign",Table2[[#This Row],[Emp_Name]])),Table2[[#This Row],[Currency]],Table2[[#This Row],[Currency]]))</f>
        <v>INR</v>
      </c>
      <c r="K46">
        <v>78000</v>
      </c>
      <c r="L46">
        <v>12</v>
      </c>
      <c r="M46">
        <f>IF(Table2[[#This Row],[Num_Month]]&lt;&gt;12,12,Table2[[#This Row],[Num_Month]])</f>
        <v>12</v>
      </c>
      <c r="N46">
        <f>IF(Table2[[#This Row],[Monthly_Salary]]="","",Table2[[#This Row],[Monthly_Salary]]*Table2[[#This Row],[Num_Month_Final]])</f>
        <v>936000</v>
      </c>
      <c r="O46">
        <v>6</v>
      </c>
      <c r="P46">
        <f>IF(Table2[[#This Row],[Exp_Years]]&lt;0,ABS(Table2[[#This Row],[Exp_Years]]),Table2[[#This Row],[Exp_Years]])</f>
        <v>6</v>
      </c>
      <c r="Q46">
        <v>4</v>
      </c>
      <c r="R46">
        <v>10871</v>
      </c>
      <c r="S46">
        <f>IF(Table2[[#This Row],[Performance_Rating]]&gt;=3,Table2[[#This Row],[Monthly_Salary]]*0.3,"")</f>
        <v>23400</v>
      </c>
      <c r="T46">
        <v>80</v>
      </c>
      <c r="U46">
        <v>7</v>
      </c>
      <c r="V46">
        <v>1</v>
      </c>
      <c r="X46" t="s">
        <v>38</v>
      </c>
      <c r="Y46" t="str">
        <f>IF(Table2[[#This Row],[Work_Mode]]&lt;&gt;"",Table2[[#This Row],[Work_Mode]],
IF(ISNUMBER(SEARCH("India",Table2[[#This Row],[Emp_Name]])),"Office",
IF(ISNUMBER(SEARCH("Foreign",Table2[[#This Row],[Emp_Name]])),"Remote","")))</f>
        <v>Hybrid</v>
      </c>
      <c r="AA4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6" t="s">
        <v>58</v>
      </c>
      <c r="AC46" t="str">
        <f>IF(COUNTIF(Table2[Emp_ID],Table2[[#This Row],[Emp_ID]])&gt;1,"Duplicate","Unique")</f>
        <v>Unique</v>
      </c>
      <c r="AD46" t="str">
        <f>_xlfn.TEXTJOIN("|",TRUE,Table2[[#This Row],[Emp_ID]:[Salary_Band]])</f>
        <v>ZOM1163|Employee_163_India|30|Female|F|Pune|Operations|Lead Analyst|INR|INR|78000|12|12|936000|6|6|4|10871|23400|80|7|1|Hybrid|Hybrid|0|High</v>
      </c>
      <c r="AE46" s="2" t="str">
        <f>IF(COUNTIFS(Table2[Emp_ID],Table2[[#This Row],[Emp_ID]],Table2[Row_Concat],Table2[[#This Row],[Row_Concat]])&gt;1,"Exact Duplicate",
IF(COUNTIF(Table2[Emp_ID],Table2[[#This Row],[Emp_ID]])&gt;1,"Mismatch","Unique"))</f>
        <v>Unique</v>
      </c>
      <c r="AF46">
        <f>ROW()</f>
        <v>46</v>
      </c>
      <c r="AG46" t="str">
        <f>IF(Table2[[#This Row],[Monthly_Salary]]="","Exclude",
IF(Table2[[#This Row],[Row_Status]]="Mismatch","Exclude",
IF(AND(Table2[[#This Row],[Row_Status]]="Exact Duplicate",
COUNTIFS(Table2[Emp_ID],Table2[[#This Row],[Emp_ID]],Table2[Row_Concat],Table2[[#This Row],[Row_Concat]],
Table2[Row_Number],"&lt;"&amp;Table2[[#This Row],[Row_Number]])&gt;=1),"Delete","")))</f>
        <v/>
      </c>
      <c r="AH46" t="str">
        <f>VLOOKUP(Table2[[#This Row],[Department]],Raw_2!A:B,2,0)</f>
        <v>Day</v>
      </c>
      <c r="AI46">
        <f>VLOOKUP(Table2[[#This Row],[Department]],Raw_2!A:C,3,0)</f>
        <v>14</v>
      </c>
    </row>
    <row r="47" spans="1:35">
      <c r="A47" t="s">
        <v>141</v>
      </c>
      <c r="B47" t="s">
        <v>142</v>
      </c>
      <c r="C47">
        <v>26</v>
      </c>
      <c r="D47" t="s">
        <v>34</v>
      </c>
      <c r="E47" t="str">
        <f>IF(OR(Table2[[#This Row],[Gender]]="Male",Table2[[#This Row],[Gender]]="M"),"M",
IF(OR(Table2[[#This Row],[Gender]]="Female",Table2[[#This Row],[Gender]]="F"),"F",""))</f>
        <v>F</v>
      </c>
      <c r="F47" t="s">
        <v>73</v>
      </c>
      <c r="G47" t="s">
        <v>66</v>
      </c>
      <c r="H47" t="s">
        <v>51</v>
      </c>
      <c r="I47" t="s">
        <v>1060</v>
      </c>
      <c r="J47" t="str">
        <f>IF(ISNUMBER(SEARCH("India",Table2[[#This Row],[Emp_Name]])),"INR",
IF(ISNUMBER(SEARCH("Foreign",Table2[[#This Row],[Emp_Name]])),Table2[[#This Row],[Currency]],Table2[[#This Row],[Currency]]))</f>
        <v>INR</v>
      </c>
      <c r="K47">
        <v>56000</v>
      </c>
      <c r="L47">
        <v>12</v>
      </c>
      <c r="M47">
        <f>IF(Table2[[#This Row],[Num_Month]]&lt;&gt;12,12,Table2[[#This Row],[Num_Month]])</f>
        <v>12</v>
      </c>
      <c r="N47">
        <f>IF(Table2[[#This Row],[Monthly_Salary]]="","",Table2[[#This Row],[Monthly_Salary]]*Table2[[#This Row],[Num_Month_Final]])</f>
        <v>672000</v>
      </c>
      <c r="O47">
        <v>4</v>
      </c>
      <c r="P47">
        <f>IF(Table2[[#This Row],[Exp_Years]]&lt;0,ABS(Table2[[#This Row],[Exp_Years]]),Table2[[#This Row],[Exp_Years]])</f>
        <v>4</v>
      </c>
      <c r="Q47">
        <v>4</v>
      </c>
      <c r="R47">
        <v>15000</v>
      </c>
      <c r="S47">
        <f>IF(Table2[[#This Row],[Performance_Rating]]&gt;=3,Table2[[#This Row],[Monthly_Salary]]*0.3,"")</f>
        <v>16800</v>
      </c>
      <c r="T47">
        <v>90</v>
      </c>
      <c r="U47">
        <v>10</v>
      </c>
      <c r="V47">
        <v>1</v>
      </c>
      <c r="W47" t="s">
        <v>21</v>
      </c>
      <c r="X47" t="s">
        <v>38</v>
      </c>
      <c r="Y47" t="str">
        <f>IF(Table2[[#This Row],[Work_Mode]]&lt;&gt;"",Table2[[#This Row],[Work_Mode]],
IF(ISNUMBER(SEARCH("India",Table2[[#This Row],[Emp_Name]])),"Office",
IF(ISNUMBER(SEARCH("Foreign",Table2[[#This Row],[Emp_Name]])),"Remote","")))</f>
        <v>Hybrid</v>
      </c>
      <c r="AA4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7" t="s">
        <v>22</v>
      </c>
      <c r="AC47" t="str">
        <f>IF(COUNTIF(Table2[Emp_ID],Table2[[#This Row],[Emp_ID]])&gt;1,"Duplicate","Unique")</f>
        <v>Unique</v>
      </c>
      <c r="AD47" t="str">
        <f>_xlfn.TEXTJOIN("|",TRUE,Table2[[#This Row],[Emp_ID]:[Salary_Band]])</f>
        <v>ZOM1347|Employee_347_India|26|Female|F|Indore|Finance|Senior Analyst|INR|INR|56000|12|12|672000|4|4|4|15000|16800|90|10|1|No|Hybrid|Hybrid|0|Medium</v>
      </c>
      <c r="AE47" s="2" t="str">
        <f>IF(COUNTIFS(Table2[Emp_ID],Table2[[#This Row],[Emp_ID]],Table2[Row_Concat],Table2[[#This Row],[Row_Concat]])&gt;1,"Exact Duplicate",
IF(COUNTIF(Table2[Emp_ID],Table2[[#This Row],[Emp_ID]])&gt;1,"Mismatch","Unique"))</f>
        <v>Unique</v>
      </c>
      <c r="AF47">
        <f>ROW()</f>
        <v>47</v>
      </c>
      <c r="AG47" t="str">
        <f>IF(Table2[[#This Row],[Monthly_Salary]]="","Exclude",
IF(Table2[[#This Row],[Row_Status]]="Mismatch","Exclude",
IF(AND(Table2[[#This Row],[Row_Status]]="Exact Duplicate",
COUNTIFS(Table2[Emp_ID],Table2[[#This Row],[Emp_ID]],Table2[Row_Concat],Table2[[#This Row],[Row_Concat]],
Table2[Row_Number],"&lt;"&amp;Table2[[#This Row],[Row_Number]])&gt;=1),"Delete","")))</f>
        <v/>
      </c>
      <c r="AH47" t="str">
        <f>VLOOKUP(Table2[[#This Row],[Department]],Raw_2!A:B,2,0)</f>
        <v>Night</v>
      </c>
      <c r="AI47">
        <f>VLOOKUP(Table2[[#This Row],[Department]],Raw_2!A:C,3,0)</f>
        <v>20</v>
      </c>
    </row>
    <row r="48" spans="1:35">
      <c r="A48" t="s">
        <v>143</v>
      </c>
      <c r="B48" t="s">
        <v>144</v>
      </c>
      <c r="C48">
        <v>25</v>
      </c>
      <c r="D48" t="s">
        <v>34</v>
      </c>
      <c r="E48" t="str">
        <f>IF(OR(Table2[[#This Row],[Gender]]="Male",Table2[[#This Row],[Gender]]="M"),"M",
IF(OR(Table2[[#This Row],[Gender]]="Female",Table2[[#This Row],[Gender]]="F"),"F",""))</f>
        <v>F</v>
      </c>
      <c r="F48" t="s">
        <v>47</v>
      </c>
      <c r="G48" t="s">
        <v>42</v>
      </c>
      <c r="H48" t="s">
        <v>1045</v>
      </c>
      <c r="I48" t="s">
        <v>1060</v>
      </c>
      <c r="J48" t="str">
        <f>IF(ISNUMBER(SEARCH("India",Table2[[#This Row],[Emp_Name]])),"INR",
IF(ISNUMBER(SEARCH("Foreign",Table2[[#This Row],[Emp_Name]])),Table2[[#This Row],[Currency]],Table2[[#This Row],[Currency]]))</f>
        <v>INR</v>
      </c>
      <c r="K48">
        <v>78000</v>
      </c>
      <c r="L48">
        <v>12</v>
      </c>
      <c r="M48">
        <f>IF(Table2[[#This Row],[Num_Month]]&lt;&gt;12,12,Table2[[#This Row],[Num_Month]])</f>
        <v>12</v>
      </c>
      <c r="N48">
        <f>IF(Table2[[#This Row],[Monthly_Salary]]="","",Table2[[#This Row],[Monthly_Salary]]*Table2[[#This Row],[Num_Month_Final]])</f>
        <v>936000</v>
      </c>
      <c r="O48">
        <v>7</v>
      </c>
      <c r="P48">
        <f>IF(Table2[[#This Row],[Exp_Years]]&lt;0,ABS(Table2[[#This Row],[Exp_Years]]),Table2[[#This Row],[Exp_Years]])</f>
        <v>7</v>
      </c>
      <c r="Q48">
        <v>4</v>
      </c>
      <c r="R48">
        <v>10871</v>
      </c>
      <c r="S48">
        <f>IF(Table2[[#This Row],[Performance_Rating]]&gt;=3,Table2[[#This Row],[Monthly_Salary]]*0.3,"")</f>
        <v>23400</v>
      </c>
      <c r="T48">
        <v>95</v>
      </c>
      <c r="U48">
        <v>7</v>
      </c>
      <c r="V48">
        <v>1</v>
      </c>
      <c r="W48" t="s">
        <v>37</v>
      </c>
      <c r="X48" t="s">
        <v>38</v>
      </c>
      <c r="Y48" t="str">
        <f>IF(Table2[[#This Row],[Work_Mode]]&lt;&gt;"",Table2[[#This Row],[Work_Mode]],
IF(ISNUMBER(SEARCH("India",Table2[[#This Row],[Emp_Name]])),"Office",
IF(ISNUMBER(SEARCH("Foreign",Table2[[#This Row],[Emp_Name]])),"Remote","")))</f>
        <v>Hybrid</v>
      </c>
      <c r="Z48">
        <v>5</v>
      </c>
      <c r="AA4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48" t="s">
        <v>22</v>
      </c>
      <c r="AC48" t="str">
        <f>IF(COUNTIF(Table2[Emp_ID],Table2[[#This Row],[Emp_ID]])&gt;1,"Duplicate","Unique")</f>
        <v>Unique</v>
      </c>
      <c r="AD48" t="str">
        <f>_xlfn.TEXTJOIN("|",TRUE,Table2[[#This Row],[Emp_ID]:[Salary_Band]])</f>
        <v>ZOM1055|Employee_55_India|25|Female|F|Gurugram|Operations|Lead Analyst|INR|INR|78000|12|12|936000|7|7|4|10871|23400|95|7|1|Yes|Hybrid|Hybrid|5|1500|Medium</v>
      </c>
      <c r="AE48" s="2" t="str">
        <f>IF(COUNTIFS(Table2[Emp_ID],Table2[[#This Row],[Emp_ID]],Table2[Row_Concat],Table2[[#This Row],[Row_Concat]])&gt;1,"Exact Duplicate",
IF(COUNTIF(Table2[Emp_ID],Table2[[#This Row],[Emp_ID]])&gt;1,"Mismatch","Unique"))</f>
        <v>Unique</v>
      </c>
      <c r="AF48">
        <f>ROW()</f>
        <v>48</v>
      </c>
      <c r="AG48" t="str">
        <f>IF(Table2[[#This Row],[Monthly_Salary]]="","Exclude",
IF(Table2[[#This Row],[Row_Status]]="Mismatch","Exclude",
IF(AND(Table2[[#This Row],[Row_Status]]="Exact Duplicate",
COUNTIFS(Table2[Emp_ID],Table2[[#This Row],[Emp_ID]],Table2[Row_Concat],Table2[[#This Row],[Row_Concat]],
Table2[Row_Number],"&lt;"&amp;Table2[[#This Row],[Row_Number]])&gt;=1),"Delete","")))</f>
        <v/>
      </c>
      <c r="AH48" t="str">
        <f>VLOOKUP(Table2[[#This Row],[Department]],Raw_2!A:B,2,0)</f>
        <v>Day</v>
      </c>
      <c r="AI48">
        <f>VLOOKUP(Table2[[#This Row],[Department]],Raw_2!A:C,3,0)</f>
        <v>14</v>
      </c>
    </row>
    <row r="49" spans="1:35">
      <c r="A49" t="s">
        <v>145</v>
      </c>
      <c r="B49" t="s">
        <v>146</v>
      </c>
      <c r="C49">
        <v>43</v>
      </c>
      <c r="D49" t="s">
        <v>34</v>
      </c>
      <c r="E49" t="str">
        <f>IF(OR(Table2[[#This Row],[Gender]]="Male",Table2[[#This Row],[Gender]]="M"),"M",
IF(OR(Table2[[#This Row],[Gender]]="Female",Table2[[#This Row],[Gender]]="F"),"F",""))</f>
        <v>F</v>
      </c>
      <c r="F49" t="s">
        <v>17</v>
      </c>
      <c r="G49" t="s">
        <v>31</v>
      </c>
      <c r="H49" t="s">
        <v>1049</v>
      </c>
      <c r="I49" t="s">
        <v>1060</v>
      </c>
      <c r="J49" t="str">
        <f>IF(ISNUMBER(SEARCH("India",Table2[[#This Row],[Emp_Name]])),"INR",
IF(ISNUMBER(SEARCH("Foreign",Table2[[#This Row],[Emp_Name]])),Table2[[#This Row],[Currency]],Table2[[#This Row],[Currency]]))</f>
        <v>INR</v>
      </c>
      <c r="K49">
        <v>99000</v>
      </c>
      <c r="L49">
        <v>12</v>
      </c>
      <c r="M49">
        <f>IF(Table2[[#This Row],[Num_Month]]&lt;&gt;12,12,Table2[[#This Row],[Num_Month]])</f>
        <v>12</v>
      </c>
      <c r="N49">
        <f>IF(Table2[[#This Row],[Monthly_Salary]]="","",Table2[[#This Row],[Monthly_Salary]]*Table2[[#This Row],[Num_Month_Final]])</f>
        <v>1188000</v>
      </c>
      <c r="O49">
        <v>12</v>
      </c>
      <c r="P49">
        <f>IF(Table2[[#This Row],[Exp_Years]]&lt;0,ABS(Table2[[#This Row],[Exp_Years]]),Table2[[#This Row],[Exp_Years]])</f>
        <v>12</v>
      </c>
      <c r="Q49">
        <v>1</v>
      </c>
      <c r="S49" t="str">
        <f>IF(Table2[[#This Row],[Performance_Rating]]&gt;=3,Table2[[#This Row],[Monthly_Salary]]*0.3,"")</f>
        <v/>
      </c>
      <c r="T49">
        <v>85</v>
      </c>
      <c r="U49">
        <v>7</v>
      </c>
      <c r="V49">
        <v>3</v>
      </c>
      <c r="W49" t="s">
        <v>37</v>
      </c>
      <c r="X49" t="s">
        <v>38</v>
      </c>
      <c r="Y49" t="str">
        <f>IF(Table2[[#This Row],[Work_Mode]]&lt;&gt;"",Table2[[#This Row],[Work_Mode]],
IF(ISNUMBER(SEARCH("India",Table2[[#This Row],[Emp_Name]])),"Office",
IF(ISNUMBER(SEARCH("Foreign",Table2[[#This Row],[Emp_Name]])),"Remote","")))</f>
        <v>Hybrid</v>
      </c>
      <c r="Z49">
        <v>12</v>
      </c>
      <c r="AA49"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49" t="s">
        <v>39</v>
      </c>
      <c r="AC49" t="str">
        <f>IF(COUNTIF(Table2[Emp_ID],Table2[[#This Row],[Emp_ID]])&gt;1,"Duplicate","Unique")</f>
        <v>Unique</v>
      </c>
      <c r="AD49" t="str">
        <f>_xlfn.TEXTJOIN("|",TRUE,Table2[[#This Row],[Emp_ID]:[Salary_Band]])</f>
        <v>ZOM1145|Employee_145_India|43|Female|F|Pune|Logistics|Director|INR|INR|99000|12|12|1188000|12|12|1|85|7|3|Yes|Hybrid|Hybrid|12|Low</v>
      </c>
      <c r="AE49" s="2" t="str">
        <f>IF(COUNTIFS(Table2[Emp_ID],Table2[[#This Row],[Emp_ID]],Table2[Row_Concat],Table2[[#This Row],[Row_Concat]])&gt;1,"Exact Duplicate",
IF(COUNTIF(Table2[Emp_ID],Table2[[#This Row],[Emp_ID]])&gt;1,"Mismatch","Unique"))</f>
        <v>Unique</v>
      </c>
      <c r="AF49">
        <f>ROW()</f>
        <v>49</v>
      </c>
      <c r="AG49" t="str">
        <f>IF(Table2[[#This Row],[Monthly_Salary]]="","Exclude",
IF(Table2[[#This Row],[Row_Status]]="Mismatch","Exclude",
IF(AND(Table2[[#This Row],[Row_Status]]="Exact Duplicate",
COUNTIFS(Table2[Emp_ID],Table2[[#This Row],[Emp_ID]],Table2[Row_Concat],Table2[[#This Row],[Row_Concat]],
Table2[Row_Number],"&lt;"&amp;Table2[[#This Row],[Row_Number]])&gt;=1),"Delete","")))</f>
        <v/>
      </c>
      <c r="AH49" t="str">
        <f>VLOOKUP(Table2[[#This Row],[Department]],Raw_2!A:B,2,0)</f>
        <v>Night</v>
      </c>
      <c r="AI49">
        <f>VLOOKUP(Table2[[#This Row],[Department]],Raw_2!A:C,3,0)</f>
        <v>13</v>
      </c>
    </row>
    <row r="50" spans="1:35">
      <c r="A50" t="s">
        <v>147</v>
      </c>
      <c r="B50" t="s">
        <v>148</v>
      </c>
      <c r="C50">
        <v>26</v>
      </c>
      <c r="E50" t="str">
        <f>IF(OR(Table2[[#This Row],[Gender]]="Male",Table2[[#This Row],[Gender]]="M"),"M",
IF(OR(Table2[[#This Row],[Gender]]="Female",Table2[[#This Row],[Gender]]="F"),"F",""))</f>
        <v/>
      </c>
      <c r="F50" t="s">
        <v>73</v>
      </c>
      <c r="G50" t="s">
        <v>66</v>
      </c>
      <c r="H50" t="s">
        <v>51</v>
      </c>
      <c r="I50" t="s">
        <v>1059</v>
      </c>
      <c r="J50" t="str">
        <f>IF(ISNUMBER(SEARCH("India",Table2[[#This Row],[Emp_Name]])),"INR",
IF(ISNUMBER(SEARCH("Foreign",Table2[[#This Row],[Emp_Name]])),Table2[[#This Row],[Currency]],Table2[[#This Row],[Currency]]))</f>
        <v>USD</v>
      </c>
      <c r="K50">
        <v>48000</v>
      </c>
      <c r="L50">
        <v>12</v>
      </c>
      <c r="M50">
        <f>IF(Table2[[#This Row],[Num_Month]]&lt;&gt;12,12,Table2[[#This Row],[Num_Month]])</f>
        <v>12</v>
      </c>
      <c r="N50">
        <f>IF(Table2[[#This Row],[Monthly_Salary]]="","",Table2[[#This Row],[Monthly_Salary]]*Table2[[#This Row],[Num_Month_Final]])</f>
        <v>576000</v>
      </c>
      <c r="O50">
        <v>4</v>
      </c>
      <c r="P50">
        <f>IF(Table2[[#This Row],[Exp_Years]]&lt;0,ABS(Table2[[#This Row],[Exp_Years]]),Table2[[#This Row],[Exp_Years]])</f>
        <v>4</v>
      </c>
      <c r="Q50">
        <v>3</v>
      </c>
      <c r="R50">
        <v>8000</v>
      </c>
      <c r="S50">
        <f>IF(Table2[[#This Row],[Performance_Rating]]&gt;=3,Table2[[#This Row],[Monthly_Salary]]*0.3,"")</f>
        <v>14400</v>
      </c>
      <c r="T50">
        <v>87</v>
      </c>
      <c r="U50">
        <v>15</v>
      </c>
      <c r="V50">
        <v>2</v>
      </c>
      <c r="W50" t="s">
        <v>21</v>
      </c>
      <c r="X50" t="s">
        <v>28</v>
      </c>
      <c r="Y50" t="str">
        <f>IF(Table2[[#This Row],[Work_Mode]]&lt;&gt;"",Table2[[#This Row],[Work_Mode]],
IF(ISNUMBER(SEARCH("India",Table2[[#This Row],[Emp_Name]])),"Office",
IF(ISNUMBER(SEARCH("Foreign",Table2[[#This Row],[Emp_Name]])),"Remote","")))</f>
        <v>Remote</v>
      </c>
      <c r="Z50">
        <v>10</v>
      </c>
      <c r="AA5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50" t="s">
        <v>22</v>
      </c>
      <c r="AC50" t="str">
        <f>IF(COUNTIF(Table2[Emp_ID],Table2[[#This Row],[Emp_ID]])&gt;1,"Duplicate","Unique")</f>
        <v>Unique</v>
      </c>
      <c r="AD50" t="str">
        <f>_xlfn.TEXTJOIN("|",TRUE,Table2[[#This Row],[Emp_ID]:[Salary_Band]])</f>
        <v>ZOM1617|Employee_17_Foreign|26|Indore|Finance|Senior Analyst|USD|USD|48000|12|12|576000|4|4|3|8000|14400|87|15|2|No|Remote|Remote|10|3000|Medium</v>
      </c>
      <c r="AE50" s="2" t="str">
        <f>IF(COUNTIFS(Table2[Emp_ID],Table2[[#This Row],[Emp_ID]],Table2[Row_Concat],Table2[[#This Row],[Row_Concat]])&gt;1,"Exact Duplicate",
IF(COUNTIF(Table2[Emp_ID],Table2[[#This Row],[Emp_ID]])&gt;1,"Mismatch","Unique"))</f>
        <v>Unique</v>
      </c>
      <c r="AF50">
        <f>ROW()</f>
        <v>50</v>
      </c>
      <c r="AG50" t="str">
        <f>IF(Table2[[#This Row],[Monthly_Salary]]="","Exclude",
IF(Table2[[#This Row],[Row_Status]]="Mismatch","Exclude",
IF(AND(Table2[[#This Row],[Row_Status]]="Exact Duplicate",
COUNTIFS(Table2[Emp_ID],Table2[[#This Row],[Emp_ID]],Table2[Row_Concat],Table2[[#This Row],[Row_Concat]],
Table2[Row_Number],"&lt;"&amp;Table2[[#This Row],[Row_Number]])&gt;=1),"Delete","")))</f>
        <v/>
      </c>
      <c r="AH50" t="str">
        <f>VLOOKUP(Table2[[#This Row],[Department]],Raw_2!A:B,2,0)</f>
        <v>Night</v>
      </c>
      <c r="AI50">
        <f>VLOOKUP(Table2[[#This Row],[Department]],Raw_2!A:C,3,0)</f>
        <v>20</v>
      </c>
    </row>
    <row r="51" spans="1:35">
      <c r="A51" t="s">
        <v>149</v>
      </c>
      <c r="B51" t="s">
        <v>150</v>
      </c>
      <c r="C51">
        <v>19</v>
      </c>
      <c r="D51" t="s">
        <v>46</v>
      </c>
      <c r="E51" t="str">
        <f>IF(OR(Table2[[#This Row],[Gender]]="Male",Table2[[#This Row],[Gender]]="M"),"M",
IF(OR(Table2[[#This Row],[Gender]]="Female",Table2[[#This Row],[Gender]]="F"),"F",""))</f>
        <v>M</v>
      </c>
      <c r="F51" t="s">
        <v>50</v>
      </c>
      <c r="G51" t="s">
        <v>27</v>
      </c>
      <c r="H51" t="s">
        <v>1047</v>
      </c>
      <c r="I51" t="s">
        <v>1060</v>
      </c>
      <c r="J51" t="str">
        <f>IF(ISNUMBER(SEARCH("India",Table2[[#This Row],[Emp_Name]])),"INR",
IF(ISNUMBER(SEARCH("Foreign",Table2[[#This Row],[Emp_Name]])),Table2[[#This Row],[Currency]],Table2[[#This Row],[Currency]]))</f>
        <v>INR</v>
      </c>
      <c r="K51">
        <v>9000</v>
      </c>
      <c r="L51">
        <v>12</v>
      </c>
      <c r="M51">
        <f>IF(Table2[[#This Row],[Num_Month]]&lt;&gt;12,12,Table2[[#This Row],[Num_Month]])</f>
        <v>12</v>
      </c>
      <c r="N51">
        <f>IF(Table2[[#This Row],[Monthly_Salary]]="","",Table2[[#This Row],[Monthly_Salary]]*Table2[[#This Row],[Num_Month_Final]])</f>
        <v>108000</v>
      </c>
      <c r="O51">
        <v>0</v>
      </c>
      <c r="P51">
        <f>IF(Table2[[#This Row],[Exp_Years]]&lt;0,ABS(Table2[[#This Row],[Exp_Years]]),Table2[[#This Row],[Exp_Years]])</f>
        <v>0</v>
      </c>
      <c r="Q51">
        <v>1</v>
      </c>
      <c r="S51" t="str">
        <f>IF(Table2[[#This Row],[Performance_Rating]]&gt;=3,Table2[[#This Row],[Monthly_Salary]]*0.3,"")</f>
        <v/>
      </c>
      <c r="T51">
        <v>85</v>
      </c>
      <c r="U51">
        <v>15</v>
      </c>
      <c r="V51">
        <v>3</v>
      </c>
      <c r="W51" t="s">
        <v>21</v>
      </c>
      <c r="X51" t="s">
        <v>38</v>
      </c>
      <c r="Y51" t="str">
        <f>IF(Table2[[#This Row],[Work_Mode]]&lt;&gt;"",Table2[[#This Row],[Work_Mode]],
IF(ISNUMBER(SEARCH("India",Table2[[#This Row],[Emp_Name]])),"Office",
IF(ISNUMBER(SEARCH("Foreign",Table2[[#This Row],[Emp_Name]])),"Remote","")))</f>
        <v>Hybrid</v>
      </c>
      <c r="Z51">
        <v>10</v>
      </c>
      <c r="AA5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51" t="s">
        <v>39</v>
      </c>
      <c r="AC51" t="str">
        <f>IF(COUNTIF(Table2[Emp_ID],Table2[[#This Row],[Emp_ID]])&gt;1,"Duplicate","Unique")</f>
        <v>Unique</v>
      </c>
      <c r="AD51" t="str">
        <f>_xlfn.TEXTJOIN("|",TRUE,Table2[[#This Row],[Emp_ID]:[Salary_Band]])</f>
        <v>ZOM1095|Employee_95_India|19|M|M|Delhi|Customer Support|Intern|INR|INR|9000|12|12|108000|0|0|1|85|15|3|No|Hybrid|Hybrid|10|2500|Low</v>
      </c>
      <c r="AE51" s="2" t="str">
        <f>IF(COUNTIFS(Table2[Emp_ID],Table2[[#This Row],[Emp_ID]],Table2[Row_Concat],Table2[[#This Row],[Row_Concat]])&gt;1,"Exact Duplicate",
IF(COUNTIF(Table2[Emp_ID],Table2[[#This Row],[Emp_ID]])&gt;1,"Mismatch","Unique"))</f>
        <v>Unique</v>
      </c>
      <c r="AF51">
        <f>ROW()</f>
        <v>51</v>
      </c>
      <c r="AG51" t="str">
        <f>IF(Table2[[#This Row],[Monthly_Salary]]="","Exclude",
IF(Table2[[#This Row],[Row_Status]]="Mismatch","Exclude",
IF(AND(Table2[[#This Row],[Row_Status]]="Exact Duplicate",
COUNTIFS(Table2[Emp_ID],Table2[[#This Row],[Emp_ID]],Table2[Row_Concat],Table2[[#This Row],[Row_Concat]],
Table2[Row_Number],"&lt;"&amp;Table2[[#This Row],[Row_Number]])&gt;=1),"Delete","")))</f>
        <v/>
      </c>
      <c r="AH51" t="str">
        <f>VLOOKUP(Table2[[#This Row],[Department]],Raw_2!A:B,2,0)</f>
        <v>Day</v>
      </c>
      <c r="AI51">
        <f>VLOOKUP(Table2[[#This Row],[Department]],Raw_2!A:C,3,0)</f>
        <v>12</v>
      </c>
    </row>
    <row r="52" spans="1:35">
      <c r="A52" t="s">
        <v>151</v>
      </c>
      <c r="B52" t="s">
        <v>152</v>
      </c>
      <c r="C52">
        <v>25</v>
      </c>
      <c r="D52" t="s">
        <v>16</v>
      </c>
      <c r="E52" t="str">
        <f>IF(OR(Table2[[#This Row],[Gender]]="Male",Table2[[#This Row],[Gender]]="M"),"M",
IF(OR(Table2[[#This Row],[Gender]]="Female",Table2[[#This Row],[Gender]]="F"),"F",""))</f>
        <v>M</v>
      </c>
      <c r="G52" t="s">
        <v>31</v>
      </c>
      <c r="H52" t="s">
        <v>51</v>
      </c>
      <c r="I52" t="s">
        <v>1060</v>
      </c>
      <c r="J52" t="str">
        <f>IF(ISNUMBER(SEARCH("India",Table2[[#This Row],[Emp_Name]])),"INR",
IF(ISNUMBER(SEARCH("Foreign",Table2[[#This Row],[Emp_Name]])),Table2[[#This Row],[Currency]],Table2[[#This Row],[Currency]]))</f>
        <v>INR</v>
      </c>
      <c r="K52">
        <v>48000</v>
      </c>
      <c r="L52">
        <v>12</v>
      </c>
      <c r="M52">
        <f>IF(Table2[[#This Row],[Num_Month]]&lt;&gt;12,12,Table2[[#This Row],[Num_Month]])</f>
        <v>12</v>
      </c>
      <c r="N52">
        <f>IF(Table2[[#This Row],[Monthly_Salary]]="","",Table2[[#This Row],[Monthly_Salary]]*Table2[[#This Row],[Num_Month_Final]])</f>
        <v>576000</v>
      </c>
      <c r="O52">
        <v>4</v>
      </c>
      <c r="P52">
        <f>IF(Table2[[#This Row],[Exp_Years]]&lt;0,ABS(Table2[[#This Row],[Exp_Years]]),Table2[[#This Row],[Exp_Years]])</f>
        <v>4</v>
      </c>
      <c r="Q52">
        <v>2</v>
      </c>
      <c r="S52" t="str">
        <f>IF(Table2[[#This Row],[Performance_Rating]]&gt;=3,Table2[[#This Row],[Monthly_Salary]]*0.3,"")</f>
        <v/>
      </c>
      <c r="T52">
        <v>87</v>
      </c>
      <c r="U52">
        <v>15</v>
      </c>
      <c r="V52">
        <v>3</v>
      </c>
      <c r="W52" t="s">
        <v>37</v>
      </c>
      <c r="X52" t="s">
        <v>38</v>
      </c>
      <c r="Y52" t="str">
        <f>IF(Table2[[#This Row],[Work_Mode]]&lt;&gt;"",Table2[[#This Row],[Work_Mode]],
IF(ISNUMBER(SEARCH("India",Table2[[#This Row],[Emp_Name]])),"Office",
IF(ISNUMBER(SEARCH("Foreign",Table2[[#This Row],[Emp_Name]])),"Remote","")))</f>
        <v>Hybrid</v>
      </c>
      <c r="AA5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52" t="s">
        <v>39</v>
      </c>
      <c r="AC52" t="str">
        <f>IF(COUNTIF(Table2[Emp_ID],Table2[[#This Row],[Emp_ID]])&gt;1,"Duplicate","Unique")</f>
        <v>Unique</v>
      </c>
      <c r="AD52" t="str">
        <f>_xlfn.TEXTJOIN("|",TRUE,Table2[[#This Row],[Emp_ID]:[Salary_Band]])</f>
        <v>ZOM1543|Employee_543_India|25|Male|M|Logistics|Senior Analyst|INR|INR|48000|12|12|576000|4|4|2|87|15|3|Yes|Hybrid|Hybrid|0|Low</v>
      </c>
      <c r="AE52" s="2" t="str">
        <f>IF(COUNTIFS(Table2[Emp_ID],Table2[[#This Row],[Emp_ID]],Table2[Row_Concat],Table2[[#This Row],[Row_Concat]])&gt;1,"Exact Duplicate",
IF(COUNTIF(Table2[Emp_ID],Table2[[#This Row],[Emp_ID]])&gt;1,"Mismatch","Unique"))</f>
        <v>Unique</v>
      </c>
      <c r="AF52">
        <f>ROW()</f>
        <v>52</v>
      </c>
      <c r="AG52" t="str">
        <f>IF(Table2[[#This Row],[Monthly_Salary]]="","Exclude",
IF(Table2[[#This Row],[Row_Status]]="Mismatch","Exclude",
IF(AND(Table2[[#This Row],[Row_Status]]="Exact Duplicate",
COUNTIFS(Table2[Emp_ID],Table2[[#This Row],[Emp_ID]],Table2[Row_Concat],Table2[[#This Row],[Row_Concat]],
Table2[Row_Number],"&lt;"&amp;Table2[[#This Row],[Row_Number]])&gt;=1),"Delete","")))</f>
        <v/>
      </c>
      <c r="AH52" t="str">
        <f>VLOOKUP(Table2[[#This Row],[Department]],Raw_2!A:B,2,0)</f>
        <v>Night</v>
      </c>
      <c r="AI52">
        <f>VLOOKUP(Table2[[#This Row],[Department]],Raw_2!A:C,3,0)</f>
        <v>13</v>
      </c>
    </row>
    <row r="53" spans="1:35">
      <c r="A53" t="s">
        <v>153</v>
      </c>
      <c r="B53" t="s">
        <v>154</v>
      </c>
      <c r="C53">
        <v>21</v>
      </c>
      <c r="D53" t="s">
        <v>16</v>
      </c>
      <c r="E53" t="str">
        <f>IF(OR(Table2[[#This Row],[Gender]]="Male",Table2[[#This Row],[Gender]]="M"),"M",
IF(OR(Table2[[#This Row],[Gender]]="Female",Table2[[#This Row],[Gender]]="F"),"F",""))</f>
        <v>M</v>
      </c>
      <c r="F53" t="s">
        <v>50</v>
      </c>
      <c r="G53" t="s">
        <v>36</v>
      </c>
      <c r="H53" t="s">
        <v>1047</v>
      </c>
      <c r="I53" t="s">
        <v>1060</v>
      </c>
      <c r="J53" t="str">
        <f>IF(ISNUMBER(SEARCH("India",Table2[[#This Row],[Emp_Name]])),"INR",
IF(ISNUMBER(SEARCH("Foreign",Table2[[#This Row],[Emp_Name]])),Table2[[#This Row],[Currency]],Table2[[#This Row],[Currency]]))</f>
        <v>INR</v>
      </c>
      <c r="K53">
        <v>15000</v>
      </c>
      <c r="L53">
        <v>12</v>
      </c>
      <c r="M53">
        <f>IF(Table2[[#This Row],[Num_Month]]&lt;&gt;12,12,Table2[[#This Row],[Num_Month]])</f>
        <v>12</v>
      </c>
      <c r="N53">
        <f>IF(Table2[[#This Row],[Monthly_Salary]]="","",Table2[[#This Row],[Monthly_Salary]]*Table2[[#This Row],[Num_Month_Final]])</f>
        <v>180000</v>
      </c>
      <c r="O53">
        <v>1</v>
      </c>
      <c r="P53">
        <f>IF(Table2[[#This Row],[Exp_Years]]&lt;0,ABS(Table2[[#This Row],[Exp_Years]]),Table2[[#This Row],[Exp_Years]])</f>
        <v>1</v>
      </c>
      <c r="Q53">
        <v>2</v>
      </c>
      <c r="S53" t="str">
        <f>IF(Table2[[#This Row],[Performance_Rating]]&gt;=3,Table2[[#This Row],[Monthly_Salary]]*0.3,"")</f>
        <v/>
      </c>
      <c r="T53">
        <v>90</v>
      </c>
      <c r="U53">
        <v>7</v>
      </c>
      <c r="V53">
        <v>3</v>
      </c>
      <c r="W53" t="s">
        <v>21</v>
      </c>
      <c r="X53" t="s">
        <v>38</v>
      </c>
      <c r="Y53" t="str">
        <f>IF(Table2[[#This Row],[Work_Mode]]&lt;&gt;"",Table2[[#This Row],[Work_Mode]],
IF(ISNUMBER(SEARCH("India",Table2[[#This Row],[Emp_Name]])),"Office",
IF(ISNUMBER(SEARCH("Foreign",Table2[[#This Row],[Emp_Name]])),"Remote","")))</f>
        <v>Hybrid</v>
      </c>
      <c r="AA5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53" t="s">
        <v>39</v>
      </c>
      <c r="AC53" t="str">
        <f>IF(COUNTIF(Table2[Emp_ID],Table2[[#This Row],[Emp_ID]])&gt;1,"Duplicate","Unique")</f>
        <v>Unique</v>
      </c>
      <c r="AD53" t="str">
        <f>_xlfn.TEXTJOIN("|",TRUE,Table2[[#This Row],[Emp_ID]:[Salary_Band]])</f>
        <v>ZOM1487|Employee_487_India|21|Male|M|Delhi|Analytics|Intern|INR|INR|15000|12|12|180000|1|1|2|90|7|3|No|Hybrid|Hybrid|0|Low</v>
      </c>
      <c r="AE53" s="2" t="str">
        <f>IF(COUNTIFS(Table2[Emp_ID],Table2[[#This Row],[Emp_ID]],Table2[Row_Concat],Table2[[#This Row],[Row_Concat]])&gt;1,"Exact Duplicate",
IF(COUNTIF(Table2[Emp_ID],Table2[[#This Row],[Emp_ID]])&gt;1,"Mismatch","Unique"))</f>
        <v>Unique</v>
      </c>
      <c r="AF53">
        <f>ROW()</f>
        <v>53</v>
      </c>
      <c r="AG53" t="str">
        <f>IF(Table2[[#This Row],[Monthly_Salary]]="","Exclude",
IF(Table2[[#This Row],[Row_Status]]="Mismatch","Exclude",
IF(AND(Table2[[#This Row],[Row_Status]]="Exact Duplicate",
COUNTIFS(Table2[Emp_ID],Table2[[#This Row],[Emp_ID]],Table2[Row_Concat],Table2[[#This Row],[Row_Concat]],
Table2[Row_Number],"&lt;"&amp;Table2[[#This Row],[Row_Number]])&gt;=1),"Delete","")))</f>
        <v/>
      </c>
      <c r="AH53" t="str">
        <f>VLOOKUP(Table2[[#This Row],[Department]],Raw_2!A:B,2,0)</f>
        <v>Day</v>
      </c>
      <c r="AI53">
        <f>VLOOKUP(Table2[[#This Row],[Department]],Raw_2!A:C,3,0)</f>
        <v>25</v>
      </c>
    </row>
    <row r="54" spans="1:35">
      <c r="A54" t="s">
        <v>155</v>
      </c>
      <c r="B54" t="s">
        <v>156</v>
      </c>
      <c r="C54">
        <v>24</v>
      </c>
      <c r="E54" t="str">
        <f>IF(OR(Table2[[#This Row],[Gender]]="Male",Table2[[#This Row],[Gender]]="M"),"M",
IF(OR(Table2[[#This Row],[Gender]]="Female",Table2[[#This Row],[Gender]]="F"),"F",""))</f>
        <v/>
      </c>
      <c r="F54" t="s">
        <v>61</v>
      </c>
      <c r="G54" t="s">
        <v>31</v>
      </c>
      <c r="H54" t="s">
        <v>1045</v>
      </c>
      <c r="I54" t="s">
        <v>1060</v>
      </c>
      <c r="J54" t="str">
        <f>IF(ISNUMBER(SEARCH("India",Table2[[#This Row],[Emp_Name]])),"INR",
IF(ISNUMBER(SEARCH("Foreign",Table2[[#This Row],[Emp_Name]])),Table2[[#This Row],[Currency]],Table2[[#This Row],[Currency]]))</f>
        <v>INR</v>
      </c>
      <c r="K54">
        <v>78000</v>
      </c>
      <c r="L54">
        <v>12</v>
      </c>
      <c r="M54">
        <f>IF(Table2[[#This Row],[Num_Month]]&lt;&gt;12,12,Table2[[#This Row],[Num_Month]])</f>
        <v>12</v>
      </c>
      <c r="N54">
        <f>IF(Table2[[#This Row],[Monthly_Salary]]="","",Table2[[#This Row],[Monthly_Salary]]*Table2[[#This Row],[Num_Month_Final]])</f>
        <v>936000</v>
      </c>
      <c r="O54">
        <v>7</v>
      </c>
      <c r="P54">
        <f>IF(Table2[[#This Row],[Exp_Years]]&lt;0,ABS(Table2[[#This Row],[Exp_Years]]),Table2[[#This Row],[Exp_Years]])</f>
        <v>7</v>
      </c>
      <c r="Q54">
        <v>1</v>
      </c>
      <c r="S54" t="str">
        <f>IF(Table2[[#This Row],[Performance_Rating]]&gt;=3,Table2[[#This Row],[Monthly_Salary]]*0.3,"")</f>
        <v/>
      </c>
      <c r="T54">
        <v>80</v>
      </c>
      <c r="U54">
        <v>15</v>
      </c>
      <c r="V54">
        <v>12</v>
      </c>
      <c r="W54" t="s">
        <v>37</v>
      </c>
      <c r="X54" t="s">
        <v>19</v>
      </c>
      <c r="Y54" t="str">
        <f>IF(Table2[[#This Row],[Work_Mode]]&lt;&gt;"",Table2[[#This Row],[Work_Mode]],
IF(ISNUMBER(SEARCH("India",Table2[[#This Row],[Emp_Name]])),"Office",
IF(ISNUMBER(SEARCH("Foreign",Table2[[#This Row],[Emp_Name]])),"Remote","")))</f>
        <v>Office</v>
      </c>
      <c r="Z54">
        <v>20</v>
      </c>
      <c r="AA5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54" t="s">
        <v>39</v>
      </c>
      <c r="AC54" t="str">
        <f>IF(COUNTIF(Table2[Emp_ID],Table2[[#This Row],[Emp_ID]])&gt;1,"Duplicate","Unique")</f>
        <v>Unique</v>
      </c>
      <c r="AD54" t="str">
        <f>_xlfn.TEXTJOIN("|",TRUE,Table2[[#This Row],[Emp_ID]:[Salary_Band]])</f>
        <v>ZOM1230|Employee_230_India|24|Hyderabad|Logistics|Lead Analyst|INR|INR|78000|12|12|936000|7|7|1|80|15|12|Yes|Office|Office|20|6000|Low</v>
      </c>
      <c r="AE54" s="2" t="str">
        <f>IF(COUNTIFS(Table2[Emp_ID],Table2[[#This Row],[Emp_ID]],Table2[Row_Concat],Table2[[#This Row],[Row_Concat]])&gt;1,"Exact Duplicate",
IF(COUNTIF(Table2[Emp_ID],Table2[[#This Row],[Emp_ID]])&gt;1,"Mismatch","Unique"))</f>
        <v>Unique</v>
      </c>
      <c r="AF54">
        <f>ROW()</f>
        <v>54</v>
      </c>
      <c r="AG54" t="str">
        <f>IF(Table2[[#This Row],[Monthly_Salary]]="","Exclude",
IF(Table2[[#This Row],[Row_Status]]="Mismatch","Exclude",
IF(AND(Table2[[#This Row],[Row_Status]]="Exact Duplicate",
COUNTIFS(Table2[Emp_ID],Table2[[#This Row],[Emp_ID]],Table2[Row_Concat],Table2[[#This Row],[Row_Concat]],
Table2[Row_Number],"&lt;"&amp;Table2[[#This Row],[Row_Number]])&gt;=1),"Delete","")))</f>
        <v/>
      </c>
      <c r="AH54" t="str">
        <f>VLOOKUP(Table2[[#This Row],[Department]],Raw_2!A:B,2,0)</f>
        <v>Night</v>
      </c>
      <c r="AI54">
        <f>VLOOKUP(Table2[[#This Row],[Department]],Raw_2!A:C,3,0)</f>
        <v>13</v>
      </c>
    </row>
    <row r="55" spans="1:35">
      <c r="A55" t="s">
        <v>157</v>
      </c>
      <c r="B55" t="s">
        <v>158</v>
      </c>
      <c r="C55">
        <v>25</v>
      </c>
      <c r="D55" t="s">
        <v>34</v>
      </c>
      <c r="E55" t="str">
        <f>IF(OR(Table2[[#This Row],[Gender]]="Male",Table2[[#This Row],[Gender]]="M"),"M",
IF(OR(Table2[[#This Row],[Gender]]="Female",Table2[[#This Row],[Gender]]="F"),"F",""))</f>
        <v>F</v>
      </c>
      <c r="F55" t="s">
        <v>35</v>
      </c>
      <c r="G55" t="s">
        <v>66</v>
      </c>
      <c r="H55" t="s">
        <v>51</v>
      </c>
      <c r="I55" t="s">
        <v>1060</v>
      </c>
      <c r="J55" t="str">
        <f>IF(ISNUMBER(SEARCH("India",Table2[[#This Row],[Emp_Name]])),"INR",
IF(ISNUMBER(SEARCH("Foreign",Table2[[#This Row],[Emp_Name]])),Table2[[#This Row],[Currency]],Table2[[#This Row],[Currency]]))</f>
        <v>INR</v>
      </c>
      <c r="K55">
        <v>37000</v>
      </c>
      <c r="L55">
        <v>12</v>
      </c>
      <c r="M55">
        <f>IF(Table2[[#This Row],[Num_Month]]&lt;&gt;12,12,Table2[[#This Row],[Num_Month]])</f>
        <v>12</v>
      </c>
      <c r="N55">
        <f>IF(Table2[[#This Row],[Monthly_Salary]]="","",Table2[[#This Row],[Monthly_Salary]]*Table2[[#This Row],[Num_Month_Final]])</f>
        <v>444000</v>
      </c>
      <c r="O55">
        <v>2</v>
      </c>
      <c r="P55">
        <f>IF(Table2[[#This Row],[Exp_Years]]&lt;0,ABS(Table2[[#This Row],[Exp_Years]]),Table2[[#This Row],[Exp_Years]])</f>
        <v>2</v>
      </c>
      <c r="Q55">
        <v>5</v>
      </c>
      <c r="R55">
        <v>21000</v>
      </c>
      <c r="S55">
        <f>IF(Table2[[#This Row],[Performance_Rating]]&gt;=3,Table2[[#This Row],[Monthly_Salary]]*0.3,"")</f>
        <v>11100</v>
      </c>
      <c r="T55">
        <v>95</v>
      </c>
      <c r="U55">
        <v>10</v>
      </c>
      <c r="V55">
        <v>1</v>
      </c>
      <c r="W55" t="s">
        <v>37</v>
      </c>
      <c r="X55" t="s">
        <v>19</v>
      </c>
      <c r="Y55" t="str">
        <f>IF(Table2[[#This Row],[Work_Mode]]&lt;&gt;"",Table2[[#This Row],[Work_Mode]],
IF(ISNUMBER(SEARCH("India",Table2[[#This Row],[Emp_Name]])),"Office",
IF(ISNUMBER(SEARCH("Foreign",Table2[[#This Row],[Emp_Name]])),"Remote","")))</f>
        <v>Office</v>
      </c>
      <c r="AA5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55" t="s">
        <v>58</v>
      </c>
      <c r="AC55" t="str">
        <f>IF(COUNTIF(Table2[Emp_ID],Table2[[#This Row],[Emp_ID]])&gt;1,"Duplicate","Unique")</f>
        <v>Unique</v>
      </c>
      <c r="AD55" t="str">
        <f>_xlfn.TEXTJOIN("|",TRUE,Table2[[#This Row],[Emp_ID]:[Salary_Band]])</f>
        <v>ZOM1017|Employee_17_India|25|Female|F|Noida|Finance|Senior Analyst|INR|INR|37000|12|12|444000|2|2|5|21000|11100|95|10|1|Yes|Office|Office|0|High</v>
      </c>
      <c r="AE55" s="2" t="str">
        <f>IF(COUNTIFS(Table2[Emp_ID],Table2[[#This Row],[Emp_ID]],Table2[Row_Concat],Table2[[#This Row],[Row_Concat]])&gt;1,"Exact Duplicate",
IF(COUNTIF(Table2[Emp_ID],Table2[[#This Row],[Emp_ID]])&gt;1,"Mismatch","Unique"))</f>
        <v>Unique</v>
      </c>
      <c r="AF55">
        <f>ROW()</f>
        <v>55</v>
      </c>
      <c r="AG55" t="str">
        <f>IF(Table2[[#This Row],[Monthly_Salary]]="","Exclude",
IF(Table2[[#This Row],[Row_Status]]="Mismatch","Exclude",
IF(AND(Table2[[#This Row],[Row_Status]]="Exact Duplicate",
COUNTIFS(Table2[Emp_ID],Table2[[#This Row],[Emp_ID]],Table2[Row_Concat],Table2[[#This Row],[Row_Concat]],
Table2[Row_Number],"&lt;"&amp;Table2[[#This Row],[Row_Number]])&gt;=1),"Delete","")))</f>
        <v/>
      </c>
      <c r="AH55" t="str">
        <f>VLOOKUP(Table2[[#This Row],[Department]],Raw_2!A:B,2,0)</f>
        <v>Night</v>
      </c>
      <c r="AI55">
        <f>VLOOKUP(Table2[[#This Row],[Department]],Raw_2!A:C,3,0)</f>
        <v>20</v>
      </c>
    </row>
    <row r="56" spans="1:35">
      <c r="A56" t="s">
        <v>159</v>
      </c>
      <c r="B56" t="s">
        <v>160</v>
      </c>
      <c r="C56">
        <v>25</v>
      </c>
      <c r="E56" t="str">
        <f>IF(OR(Table2[[#This Row],[Gender]]="Male",Table2[[#This Row],[Gender]]="M"),"M",
IF(OR(Table2[[#This Row],[Gender]]="Female",Table2[[#This Row],[Gender]]="F"),"F",""))</f>
        <v/>
      </c>
      <c r="G56" t="s">
        <v>66</v>
      </c>
      <c r="H56" t="s">
        <v>51</v>
      </c>
      <c r="I56" t="s">
        <v>1060</v>
      </c>
      <c r="J56" t="str">
        <f>IF(ISNUMBER(SEARCH("India",Table2[[#This Row],[Emp_Name]])),"INR",
IF(ISNUMBER(SEARCH("Foreign",Table2[[#This Row],[Emp_Name]])),Table2[[#This Row],[Currency]],Table2[[#This Row],[Currency]]))</f>
        <v>INR</v>
      </c>
      <c r="K56">
        <v>43000</v>
      </c>
      <c r="L56">
        <v>12</v>
      </c>
      <c r="M56">
        <f>IF(Table2[[#This Row],[Num_Month]]&lt;&gt;12,12,Table2[[#This Row],[Num_Month]])</f>
        <v>12</v>
      </c>
      <c r="N56">
        <f>IF(Table2[[#This Row],[Monthly_Salary]]="","",Table2[[#This Row],[Monthly_Salary]]*Table2[[#This Row],[Num_Month_Final]])</f>
        <v>516000</v>
      </c>
      <c r="O56">
        <v>3</v>
      </c>
      <c r="P56">
        <f>IF(Table2[[#This Row],[Exp_Years]]&lt;0,ABS(Table2[[#This Row],[Exp_Years]]),Table2[[#This Row],[Exp_Years]])</f>
        <v>3</v>
      </c>
      <c r="Q56">
        <v>4</v>
      </c>
      <c r="R56">
        <v>10000</v>
      </c>
      <c r="S56">
        <f>IF(Table2[[#This Row],[Performance_Rating]]&gt;=3,Table2[[#This Row],[Monthly_Salary]]*0.3,"")</f>
        <v>12900</v>
      </c>
      <c r="T56">
        <v>85</v>
      </c>
      <c r="U56">
        <v>5</v>
      </c>
      <c r="V56">
        <v>12</v>
      </c>
      <c r="W56" t="s">
        <v>37</v>
      </c>
      <c r="X56" t="s">
        <v>38</v>
      </c>
      <c r="Y56" t="str">
        <f>IF(Table2[[#This Row],[Work_Mode]]&lt;&gt;"",Table2[[#This Row],[Work_Mode]],
IF(ISNUMBER(SEARCH("India",Table2[[#This Row],[Emp_Name]])),"Office",
IF(ISNUMBER(SEARCH("Foreign",Table2[[#This Row],[Emp_Name]])),"Remote","")))</f>
        <v>Hybrid</v>
      </c>
      <c r="Z56">
        <v>20</v>
      </c>
      <c r="AA5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56" t="s">
        <v>58</v>
      </c>
      <c r="AC56" t="str">
        <f>IF(COUNTIF(Table2[Emp_ID],Table2[[#This Row],[Emp_ID]])&gt;1,"Duplicate","Unique")</f>
        <v>Unique</v>
      </c>
      <c r="AD56" t="str">
        <f>_xlfn.TEXTJOIN("|",TRUE,Table2[[#This Row],[Emp_ID]:[Salary_Band]])</f>
        <v>ZOM1528|Employee_528_India|25|Finance|Senior Analyst|INR|INR|43000|12|12|516000|3|3|4|10000|12900|85|5|12|Yes|Hybrid|Hybrid|20|6000|High</v>
      </c>
      <c r="AE56" s="2" t="str">
        <f>IF(COUNTIFS(Table2[Emp_ID],Table2[[#This Row],[Emp_ID]],Table2[Row_Concat],Table2[[#This Row],[Row_Concat]])&gt;1,"Exact Duplicate",
IF(COUNTIF(Table2[Emp_ID],Table2[[#This Row],[Emp_ID]])&gt;1,"Mismatch","Unique"))</f>
        <v>Unique</v>
      </c>
      <c r="AF56">
        <f>ROW()</f>
        <v>56</v>
      </c>
      <c r="AG56" t="str">
        <f>IF(Table2[[#This Row],[Monthly_Salary]]="","Exclude",
IF(Table2[[#This Row],[Row_Status]]="Mismatch","Exclude",
IF(AND(Table2[[#This Row],[Row_Status]]="Exact Duplicate",
COUNTIFS(Table2[Emp_ID],Table2[[#This Row],[Emp_ID]],Table2[Row_Concat],Table2[[#This Row],[Row_Concat]],
Table2[Row_Number],"&lt;"&amp;Table2[[#This Row],[Row_Number]])&gt;=1),"Delete","")))</f>
        <v/>
      </c>
      <c r="AH56" t="str">
        <f>VLOOKUP(Table2[[#This Row],[Department]],Raw_2!A:B,2,0)</f>
        <v>Night</v>
      </c>
      <c r="AI56">
        <f>VLOOKUP(Table2[[#This Row],[Department]],Raw_2!A:C,3,0)</f>
        <v>20</v>
      </c>
    </row>
    <row r="57" spans="1:35">
      <c r="A57" t="s">
        <v>161</v>
      </c>
      <c r="B57" t="s">
        <v>162</v>
      </c>
      <c r="C57">
        <v>26</v>
      </c>
      <c r="D57" t="s">
        <v>16</v>
      </c>
      <c r="E57" t="str">
        <f>IF(OR(Table2[[#This Row],[Gender]]="Male",Table2[[#This Row],[Gender]]="M"),"M",
IF(OR(Table2[[#This Row],[Gender]]="Female",Table2[[#This Row],[Gender]]="F"),"F",""))</f>
        <v>M</v>
      </c>
      <c r="F57" t="s">
        <v>17</v>
      </c>
      <c r="G57" t="s">
        <v>36</v>
      </c>
      <c r="H57" t="s">
        <v>51</v>
      </c>
      <c r="I57" t="s">
        <v>1060</v>
      </c>
      <c r="J57" t="str">
        <f>IF(ISNUMBER(SEARCH("India",Table2[[#This Row],[Emp_Name]])),"INR",
IF(ISNUMBER(SEARCH("Foreign",Table2[[#This Row],[Emp_Name]])),Table2[[#This Row],[Currency]],Table2[[#This Row],[Currency]]))</f>
        <v>INR</v>
      </c>
      <c r="K57">
        <v>37000</v>
      </c>
      <c r="L57">
        <v>12</v>
      </c>
      <c r="M57">
        <f>IF(Table2[[#This Row],[Num_Month]]&lt;&gt;12,12,Table2[[#This Row],[Num_Month]])</f>
        <v>12</v>
      </c>
      <c r="N57">
        <f>IF(Table2[[#This Row],[Monthly_Salary]]="","",Table2[[#This Row],[Monthly_Salary]]*Table2[[#This Row],[Num_Month_Final]])</f>
        <v>444000</v>
      </c>
      <c r="O57">
        <v>2</v>
      </c>
      <c r="P57">
        <f>IF(Table2[[#This Row],[Exp_Years]]&lt;0,ABS(Table2[[#This Row],[Exp_Years]]),Table2[[#This Row],[Exp_Years]])</f>
        <v>2</v>
      </c>
      <c r="Q57">
        <v>1</v>
      </c>
      <c r="S57" t="str">
        <f>IF(Table2[[#This Row],[Performance_Rating]]&gt;=3,Table2[[#This Row],[Monthly_Salary]]*0.3,"")</f>
        <v/>
      </c>
      <c r="T57">
        <v>90</v>
      </c>
      <c r="U57">
        <v>10</v>
      </c>
      <c r="V57">
        <v>6</v>
      </c>
      <c r="W57" t="s">
        <v>21</v>
      </c>
      <c r="X57" t="s">
        <v>38</v>
      </c>
      <c r="Y57" t="str">
        <f>IF(Table2[[#This Row],[Work_Mode]]&lt;&gt;"",Table2[[#This Row],[Work_Mode]],
IF(ISNUMBER(SEARCH("India",Table2[[#This Row],[Emp_Name]])),"Office",
IF(ISNUMBER(SEARCH("Foreign",Table2[[#This Row],[Emp_Name]])),"Remote","")))</f>
        <v>Hybrid</v>
      </c>
      <c r="AA5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57" t="s">
        <v>39</v>
      </c>
      <c r="AC57" t="str">
        <f>IF(COUNTIF(Table2[Emp_ID],Table2[[#This Row],[Emp_ID]])&gt;1,"Duplicate","Unique")</f>
        <v>Unique</v>
      </c>
      <c r="AD57" t="str">
        <f>_xlfn.TEXTJOIN("|",TRUE,Table2[[#This Row],[Emp_ID]:[Salary_Band]])</f>
        <v>ZOM1118|Employee_118_India|26|Male|M|Pune|Analytics|Senior Analyst|INR|INR|37000|12|12|444000|2|2|1|90|10|6|No|Hybrid|Hybrid|0|Low</v>
      </c>
      <c r="AE57" s="2" t="str">
        <f>IF(COUNTIFS(Table2[Emp_ID],Table2[[#This Row],[Emp_ID]],Table2[Row_Concat],Table2[[#This Row],[Row_Concat]])&gt;1,"Exact Duplicate",
IF(COUNTIF(Table2[Emp_ID],Table2[[#This Row],[Emp_ID]])&gt;1,"Mismatch","Unique"))</f>
        <v>Unique</v>
      </c>
      <c r="AF57">
        <f>ROW()</f>
        <v>57</v>
      </c>
      <c r="AG57" t="str">
        <f>IF(Table2[[#This Row],[Monthly_Salary]]="","Exclude",
IF(Table2[[#This Row],[Row_Status]]="Mismatch","Exclude",
IF(AND(Table2[[#This Row],[Row_Status]]="Exact Duplicate",
COUNTIFS(Table2[Emp_ID],Table2[[#This Row],[Emp_ID]],Table2[Row_Concat],Table2[[#This Row],[Row_Concat]],
Table2[Row_Number],"&lt;"&amp;Table2[[#This Row],[Row_Number]])&gt;=1),"Delete","")))</f>
        <v/>
      </c>
      <c r="AH57" t="str">
        <f>VLOOKUP(Table2[[#This Row],[Department]],Raw_2!A:B,2,0)</f>
        <v>Day</v>
      </c>
      <c r="AI57">
        <f>VLOOKUP(Table2[[#This Row],[Department]],Raw_2!A:C,3,0)</f>
        <v>25</v>
      </c>
    </row>
    <row r="58" spans="1:35">
      <c r="A58" t="s">
        <v>163</v>
      </c>
      <c r="B58" t="s">
        <v>164</v>
      </c>
      <c r="C58">
        <v>27</v>
      </c>
      <c r="D58" t="s">
        <v>34</v>
      </c>
      <c r="E58" t="str">
        <f>IF(OR(Table2[[#This Row],[Gender]]="Male",Table2[[#This Row],[Gender]]="M"),"M",
IF(OR(Table2[[#This Row],[Gender]]="Female",Table2[[#This Row],[Gender]]="F"),"F",""))</f>
        <v>F</v>
      </c>
      <c r="F58" t="s">
        <v>73</v>
      </c>
      <c r="G58" t="s">
        <v>36</v>
      </c>
      <c r="H58" t="s">
        <v>51</v>
      </c>
      <c r="I58" t="s">
        <v>1060</v>
      </c>
      <c r="J58" t="str">
        <f>IF(ISNUMBER(SEARCH("India",Table2[[#This Row],[Emp_Name]])),"INR",
IF(ISNUMBER(SEARCH("Foreign",Table2[[#This Row],[Emp_Name]])),Table2[[#This Row],[Currency]],Table2[[#This Row],[Currency]]))</f>
        <v>INR</v>
      </c>
      <c r="K58">
        <v>48000</v>
      </c>
      <c r="L58">
        <v>12</v>
      </c>
      <c r="M58">
        <f>IF(Table2[[#This Row],[Num_Month]]&lt;&gt;12,12,Table2[[#This Row],[Num_Month]])</f>
        <v>12</v>
      </c>
      <c r="N58">
        <f>IF(Table2[[#This Row],[Monthly_Salary]]="","",Table2[[#This Row],[Monthly_Salary]]*Table2[[#This Row],[Num_Month_Final]])</f>
        <v>576000</v>
      </c>
      <c r="O58">
        <v>4</v>
      </c>
      <c r="P58">
        <f>IF(Table2[[#This Row],[Exp_Years]]&lt;0,ABS(Table2[[#This Row],[Exp_Years]]),Table2[[#This Row],[Exp_Years]])</f>
        <v>4</v>
      </c>
      <c r="Q58">
        <v>3</v>
      </c>
      <c r="R58">
        <v>8000</v>
      </c>
      <c r="S58">
        <f>IF(Table2[[#This Row],[Performance_Rating]]&gt;=3,Table2[[#This Row],[Monthly_Salary]]*0.3,"")</f>
        <v>14400</v>
      </c>
      <c r="T58">
        <v>80</v>
      </c>
      <c r="U58">
        <v>7</v>
      </c>
      <c r="V58">
        <v>1</v>
      </c>
      <c r="W58" t="s">
        <v>37</v>
      </c>
      <c r="X58" t="s">
        <v>38</v>
      </c>
      <c r="Y58" t="str">
        <f>IF(Table2[[#This Row],[Work_Mode]]&lt;&gt;"",Table2[[#This Row],[Work_Mode]],
IF(ISNUMBER(SEARCH("India",Table2[[#This Row],[Emp_Name]])),"Office",
IF(ISNUMBER(SEARCH("Foreign",Table2[[#This Row],[Emp_Name]])),"Remote","")))</f>
        <v>Hybrid</v>
      </c>
      <c r="AA5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58" t="s">
        <v>22</v>
      </c>
      <c r="AC58" t="str">
        <f>IF(COUNTIF(Table2[Emp_ID],Table2[[#This Row],[Emp_ID]])&gt;1,"Duplicate","Unique")</f>
        <v>Unique</v>
      </c>
      <c r="AD58" t="str">
        <f>_xlfn.TEXTJOIN("|",TRUE,Table2[[#This Row],[Emp_ID]:[Salary_Band]])</f>
        <v>ZOM1527|Employee_527_India|27|Female|F|Indore|Analytics|Senior Analyst|INR|INR|48000|12|12|576000|4|4|3|8000|14400|80|7|1|Yes|Hybrid|Hybrid|0|Medium</v>
      </c>
      <c r="AE58" s="2" t="str">
        <f>IF(COUNTIFS(Table2[Emp_ID],Table2[[#This Row],[Emp_ID]],Table2[Row_Concat],Table2[[#This Row],[Row_Concat]])&gt;1,"Exact Duplicate",
IF(COUNTIF(Table2[Emp_ID],Table2[[#This Row],[Emp_ID]])&gt;1,"Mismatch","Unique"))</f>
        <v>Unique</v>
      </c>
      <c r="AF58">
        <f>ROW()</f>
        <v>58</v>
      </c>
      <c r="AG58" t="str">
        <f>IF(Table2[[#This Row],[Monthly_Salary]]="","Exclude",
IF(Table2[[#This Row],[Row_Status]]="Mismatch","Exclude",
IF(AND(Table2[[#This Row],[Row_Status]]="Exact Duplicate",
COUNTIFS(Table2[Emp_ID],Table2[[#This Row],[Emp_ID]],Table2[Row_Concat],Table2[[#This Row],[Row_Concat]],
Table2[Row_Number],"&lt;"&amp;Table2[[#This Row],[Row_Number]])&gt;=1),"Delete","")))</f>
        <v/>
      </c>
      <c r="AH58" t="str">
        <f>VLOOKUP(Table2[[#This Row],[Department]],Raw_2!A:B,2,0)</f>
        <v>Day</v>
      </c>
      <c r="AI58">
        <f>VLOOKUP(Table2[[#This Row],[Department]],Raw_2!A:C,3,0)</f>
        <v>25</v>
      </c>
    </row>
    <row r="59" spans="1:35">
      <c r="A59" t="s">
        <v>165</v>
      </c>
      <c r="B59" t="s">
        <v>166</v>
      </c>
      <c r="C59">
        <v>27</v>
      </c>
      <c r="D59" t="s">
        <v>16</v>
      </c>
      <c r="E59" t="str">
        <f>IF(OR(Table2[[#This Row],[Gender]]="Male",Table2[[#This Row],[Gender]]="M"),"M",
IF(OR(Table2[[#This Row],[Gender]]="Female",Table2[[#This Row],[Gender]]="F"),"F",""))</f>
        <v>M</v>
      </c>
      <c r="F59" t="s">
        <v>65</v>
      </c>
      <c r="G59" t="s">
        <v>42</v>
      </c>
      <c r="H59" t="s">
        <v>51</v>
      </c>
      <c r="I59" t="s">
        <v>1060</v>
      </c>
      <c r="J59" t="str">
        <f>IF(ISNUMBER(SEARCH("India",Table2[[#This Row],[Emp_Name]])),"INR",
IF(ISNUMBER(SEARCH("Foreign",Table2[[#This Row],[Emp_Name]])),Table2[[#This Row],[Currency]],Table2[[#This Row],[Currency]]))</f>
        <v>INR</v>
      </c>
      <c r="L59">
        <v>12</v>
      </c>
      <c r="M59">
        <f>IF(Table2[[#This Row],[Num_Month]]&lt;&gt;12,12,Table2[[#This Row],[Num_Month]])</f>
        <v>12</v>
      </c>
      <c r="N59" t="str">
        <f>IF(Table2[[#This Row],[Monthly_Salary]]="","",Table2[[#This Row],[Monthly_Salary]]*Table2[[#This Row],[Num_Month_Final]])</f>
        <v/>
      </c>
      <c r="O59">
        <v>4</v>
      </c>
      <c r="P59">
        <f>IF(Table2[[#This Row],[Exp_Years]]&lt;0,ABS(Table2[[#This Row],[Exp_Years]]),Table2[[#This Row],[Exp_Years]])</f>
        <v>4</v>
      </c>
      <c r="Q59">
        <v>2</v>
      </c>
      <c r="S59" t="str">
        <f>IF(Table2[[#This Row],[Performance_Rating]]&gt;=3,Table2[[#This Row],[Monthly_Salary]]*0.3,"")</f>
        <v/>
      </c>
      <c r="T59">
        <v>80</v>
      </c>
      <c r="U59">
        <v>10</v>
      </c>
      <c r="V59">
        <v>11</v>
      </c>
      <c r="W59" t="s">
        <v>21</v>
      </c>
      <c r="X59" t="s">
        <v>19</v>
      </c>
      <c r="Y59" t="str">
        <f>IF(Table2[[#This Row],[Work_Mode]]&lt;&gt;"",Table2[[#This Row],[Work_Mode]],
IF(ISNUMBER(SEARCH("India",Table2[[#This Row],[Emp_Name]])),"Office",
IF(ISNUMBER(SEARCH("Foreign",Table2[[#This Row],[Emp_Name]])),"Remote","")))</f>
        <v>Office</v>
      </c>
      <c r="AA5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59" t="s">
        <v>39</v>
      </c>
      <c r="AC59" t="str">
        <f>IF(COUNTIF(Table2[Emp_ID],Table2[[#This Row],[Emp_ID]])&gt;1,"Duplicate","Unique")</f>
        <v>Unique</v>
      </c>
      <c r="AD59" t="str">
        <f>_xlfn.TEXTJOIN("|",TRUE,Table2[[#This Row],[Emp_ID]:[Salary_Band]])</f>
        <v>ZOM1542|Employee_542_India|27|Male|M|Kolkata|Operations|Senior Analyst|INR|INR|12|12|4|4|2|80|10|11|No|Office|Office|0|Low</v>
      </c>
      <c r="AE59" s="2" t="str">
        <f>IF(COUNTIFS(Table2[Emp_ID],Table2[[#This Row],[Emp_ID]],Table2[Row_Concat],Table2[[#This Row],[Row_Concat]])&gt;1,"Exact Duplicate",
IF(COUNTIF(Table2[Emp_ID],Table2[[#This Row],[Emp_ID]])&gt;1,"Mismatch","Unique"))</f>
        <v>Unique</v>
      </c>
      <c r="AF59">
        <f>ROW()</f>
        <v>59</v>
      </c>
      <c r="AG59" t="str">
        <f>IF(Table2[[#This Row],[Monthly_Salary]]="","Exclude",
IF(Table2[[#This Row],[Row_Status]]="Mismatch","Exclude",
IF(AND(Table2[[#This Row],[Row_Status]]="Exact Duplicate",
COUNTIFS(Table2[Emp_ID],Table2[[#This Row],[Emp_ID]],Table2[Row_Concat],Table2[[#This Row],[Row_Concat]],
Table2[Row_Number],"&lt;"&amp;Table2[[#This Row],[Row_Number]])&gt;=1),"Delete","")))</f>
        <v>Exclude</v>
      </c>
      <c r="AH59" t="str">
        <f>VLOOKUP(Table2[[#This Row],[Department]],Raw_2!A:B,2,0)</f>
        <v>Day</v>
      </c>
      <c r="AI59">
        <f>VLOOKUP(Table2[[#This Row],[Department]],Raw_2!A:C,3,0)</f>
        <v>14</v>
      </c>
    </row>
    <row r="60" spans="1:35">
      <c r="A60" t="s">
        <v>167</v>
      </c>
      <c r="B60" t="s">
        <v>168</v>
      </c>
      <c r="C60">
        <v>26</v>
      </c>
      <c r="E60" t="str">
        <f>IF(OR(Table2[[#This Row],[Gender]]="Male",Table2[[#This Row],[Gender]]="M"),"M",
IF(OR(Table2[[#This Row],[Gender]]="Female",Table2[[#This Row],[Gender]]="F"),"F",""))</f>
        <v/>
      </c>
      <c r="F60" t="s">
        <v>26</v>
      </c>
      <c r="G60" t="s">
        <v>18</v>
      </c>
      <c r="H60" t="s">
        <v>51</v>
      </c>
      <c r="I60" t="s">
        <v>1060</v>
      </c>
      <c r="J60" t="str">
        <f>IF(ISNUMBER(SEARCH("India",Table2[[#This Row],[Emp_Name]])),"INR",
IF(ISNUMBER(SEARCH("Foreign",Table2[[#This Row],[Emp_Name]])),Table2[[#This Row],[Currency]],Table2[[#This Row],[Currency]]))</f>
        <v>INR</v>
      </c>
      <c r="K60">
        <v>53500</v>
      </c>
      <c r="L60">
        <v>12</v>
      </c>
      <c r="M60">
        <f>IF(Table2[[#This Row],[Num_Month]]&lt;&gt;12,12,Table2[[#This Row],[Num_Month]])</f>
        <v>12</v>
      </c>
      <c r="N60">
        <f>IF(Table2[[#This Row],[Monthly_Salary]]="","",Table2[[#This Row],[Monthly_Salary]]*Table2[[#This Row],[Num_Month_Final]])</f>
        <v>642000</v>
      </c>
      <c r="O60">
        <v>4</v>
      </c>
      <c r="P60">
        <f>IF(Table2[[#This Row],[Exp_Years]]&lt;0,ABS(Table2[[#This Row],[Exp_Years]]),Table2[[#This Row],[Exp_Years]])</f>
        <v>4</v>
      </c>
      <c r="Q60">
        <v>2</v>
      </c>
      <c r="S60" t="str">
        <f>IF(Table2[[#This Row],[Performance_Rating]]&gt;=3,Table2[[#This Row],[Monthly_Salary]]*0.3,"")</f>
        <v/>
      </c>
      <c r="T60">
        <v>85</v>
      </c>
      <c r="U60">
        <v>5</v>
      </c>
      <c r="V60">
        <v>3</v>
      </c>
      <c r="X60" t="s">
        <v>38</v>
      </c>
      <c r="Y60" t="str">
        <f>IF(Table2[[#This Row],[Work_Mode]]&lt;&gt;"",Table2[[#This Row],[Work_Mode]],
IF(ISNUMBER(SEARCH("India",Table2[[#This Row],[Emp_Name]])),"Office",
IF(ISNUMBER(SEARCH("Foreign",Table2[[#This Row],[Emp_Name]])),"Remote","")))</f>
        <v>Hybrid</v>
      </c>
      <c r="AA6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60" t="s">
        <v>39</v>
      </c>
      <c r="AC60" t="str">
        <f>IF(COUNTIF(Table2[Emp_ID],Table2[[#This Row],[Emp_ID]])&gt;1,"Duplicate","Unique")</f>
        <v>Unique</v>
      </c>
      <c r="AD60" t="str">
        <f>_xlfn.TEXTJOIN("|",TRUE,Table2[[#This Row],[Emp_ID]:[Salary_Band]])</f>
        <v>ZOM1157|Employee_157_India|26|Bangalore|HR|Senior Analyst|INR|INR|53500|12|12|642000|4|4|2|85|5|3|Hybrid|Hybrid|0|Low</v>
      </c>
      <c r="AE60" s="2" t="str">
        <f>IF(COUNTIFS(Table2[Emp_ID],Table2[[#This Row],[Emp_ID]],Table2[Row_Concat],Table2[[#This Row],[Row_Concat]])&gt;1,"Exact Duplicate",
IF(COUNTIF(Table2[Emp_ID],Table2[[#This Row],[Emp_ID]])&gt;1,"Mismatch","Unique"))</f>
        <v>Unique</v>
      </c>
      <c r="AF60">
        <f>ROW()</f>
        <v>60</v>
      </c>
      <c r="AG60" t="str">
        <f>IF(Table2[[#This Row],[Monthly_Salary]]="","Exclude",
IF(Table2[[#This Row],[Row_Status]]="Mismatch","Exclude",
IF(AND(Table2[[#This Row],[Row_Status]]="Exact Duplicate",
COUNTIFS(Table2[Emp_ID],Table2[[#This Row],[Emp_ID]],Table2[Row_Concat],Table2[[#This Row],[Row_Concat]],
Table2[Row_Number],"&lt;"&amp;Table2[[#This Row],[Row_Number]])&gt;=1),"Delete","")))</f>
        <v/>
      </c>
      <c r="AH60" t="str">
        <f>VLOOKUP(Table2[[#This Row],[Department]],Raw_2!A:B,2,0)</f>
        <v>Day</v>
      </c>
      <c r="AI60">
        <f>VLOOKUP(Table2[[#This Row],[Department]],Raw_2!A:C,3,0)</f>
        <v>10</v>
      </c>
    </row>
    <row r="61" spans="1:35">
      <c r="A61" t="s">
        <v>169</v>
      </c>
      <c r="B61" t="s">
        <v>170</v>
      </c>
      <c r="C61">
        <v>25</v>
      </c>
      <c r="D61" t="s">
        <v>46</v>
      </c>
      <c r="E61" t="str">
        <f>IF(OR(Table2[[#This Row],[Gender]]="Male",Table2[[#This Row],[Gender]]="M"),"M",
IF(OR(Table2[[#This Row],[Gender]]="Female",Table2[[#This Row],[Gender]]="F"),"F",""))</f>
        <v>M</v>
      </c>
      <c r="F61" t="s">
        <v>61</v>
      </c>
      <c r="G61" t="s">
        <v>36</v>
      </c>
      <c r="H61" t="s">
        <v>51</v>
      </c>
      <c r="I61" t="s">
        <v>1060</v>
      </c>
      <c r="J61" t="str">
        <f>IF(ISNUMBER(SEARCH("India",Table2[[#This Row],[Emp_Name]])),"INR",
IF(ISNUMBER(SEARCH("Foreign",Table2[[#This Row],[Emp_Name]])),Table2[[#This Row],[Currency]],Table2[[#This Row],[Currency]]))</f>
        <v>INR</v>
      </c>
      <c r="K61">
        <v>43000</v>
      </c>
      <c r="L61">
        <v>12</v>
      </c>
      <c r="M61">
        <f>IF(Table2[[#This Row],[Num_Month]]&lt;&gt;12,12,Table2[[#This Row],[Num_Month]])</f>
        <v>12</v>
      </c>
      <c r="N61">
        <f>IF(Table2[[#This Row],[Monthly_Salary]]="","",Table2[[#This Row],[Monthly_Salary]]*Table2[[#This Row],[Num_Month_Final]])</f>
        <v>516000</v>
      </c>
      <c r="O61">
        <v>3</v>
      </c>
      <c r="P61">
        <f>IF(Table2[[#This Row],[Exp_Years]]&lt;0,ABS(Table2[[#This Row],[Exp_Years]]),Table2[[#This Row],[Exp_Years]])</f>
        <v>3</v>
      </c>
      <c r="Q61">
        <v>1</v>
      </c>
      <c r="S61" t="str">
        <f>IF(Table2[[#This Row],[Performance_Rating]]&gt;=3,Table2[[#This Row],[Monthly_Salary]]*0.3,"")</f>
        <v/>
      </c>
      <c r="T61">
        <v>80</v>
      </c>
      <c r="U61">
        <v>15</v>
      </c>
      <c r="V61">
        <v>3</v>
      </c>
      <c r="X61" t="s">
        <v>19</v>
      </c>
      <c r="Y61" t="str">
        <f>IF(Table2[[#This Row],[Work_Mode]]&lt;&gt;"",Table2[[#This Row],[Work_Mode]],
IF(ISNUMBER(SEARCH("India",Table2[[#This Row],[Emp_Name]])),"Office",
IF(ISNUMBER(SEARCH("Foreign",Table2[[#This Row],[Emp_Name]])),"Remote","")))</f>
        <v>Office</v>
      </c>
      <c r="Z61">
        <v>10</v>
      </c>
      <c r="AA6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61" t="s">
        <v>39</v>
      </c>
      <c r="AC61" t="str">
        <f>IF(COUNTIF(Table2[Emp_ID],Table2[[#This Row],[Emp_ID]])&gt;1,"Duplicate","Unique")</f>
        <v>Unique</v>
      </c>
      <c r="AD61" t="str">
        <f>_xlfn.TEXTJOIN("|",TRUE,Table2[[#This Row],[Emp_ID]:[Salary_Band]])</f>
        <v>ZOM1540|Employee_540_India|25|M|M|Hyderabad|Analytics|Senior Analyst|INR|INR|43000|12|12|516000|3|3|1|80|15|3|Office|Office|10|3000|Low</v>
      </c>
      <c r="AE61" s="2" t="str">
        <f>IF(COUNTIFS(Table2[Emp_ID],Table2[[#This Row],[Emp_ID]],Table2[Row_Concat],Table2[[#This Row],[Row_Concat]])&gt;1,"Exact Duplicate",
IF(COUNTIF(Table2[Emp_ID],Table2[[#This Row],[Emp_ID]])&gt;1,"Mismatch","Unique"))</f>
        <v>Unique</v>
      </c>
      <c r="AF61">
        <f>ROW()</f>
        <v>61</v>
      </c>
      <c r="AG61" t="str">
        <f>IF(Table2[[#This Row],[Monthly_Salary]]="","Exclude",
IF(Table2[[#This Row],[Row_Status]]="Mismatch","Exclude",
IF(AND(Table2[[#This Row],[Row_Status]]="Exact Duplicate",
COUNTIFS(Table2[Emp_ID],Table2[[#This Row],[Emp_ID]],Table2[Row_Concat],Table2[[#This Row],[Row_Concat]],
Table2[Row_Number],"&lt;"&amp;Table2[[#This Row],[Row_Number]])&gt;=1),"Delete","")))</f>
        <v/>
      </c>
      <c r="AH61" t="str">
        <f>VLOOKUP(Table2[[#This Row],[Department]],Raw_2!A:B,2,0)</f>
        <v>Day</v>
      </c>
      <c r="AI61">
        <f>VLOOKUP(Table2[[#This Row],[Department]],Raw_2!A:C,3,0)</f>
        <v>25</v>
      </c>
    </row>
    <row r="62" spans="1:35">
      <c r="A62" t="s">
        <v>171</v>
      </c>
      <c r="B62" t="s">
        <v>172</v>
      </c>
      <c r="C62">
        <v>45</v>
      </c>
      <c r="D62" t="s">
        <v>46</v>
      </c>
      <c r="E62" t="str">
        <f>IF(OR(Table2[[#This Row],[Gender]]="Male",Table2[[#This Row],[Gender]]="M"),"M",
IF(OR(Table2[[#This Row],[Gender]]="Female",Table2[[#This Row],[Gender]]="F"),"F",""))</f>
        <v>M</v>
      </c>
      <c r="F62" t="s">
        <v>65</v>
      </c>
      <c r="G62" t="s">
        <v>66</v>
      </c>
      <c r="H62" t="s">
        <v>1049</v>
      </c>
      <c r="I62" t="s">
        <v>1060</v>
      </c>
      <c r="J62" t="str">
        <f>IF(ISNUMBER(SEARCH("India",Table2[[#This Row],[Emp_Name]])),"INR",
IF(ISNUMBER(SEARCH("Foreign",Table2[[#This Row],[Emp_Name]])),Table2[[#This Row],[Currency]],Table2[[#This Row],[Currency]]))</f>
        <v>INR</v>
      </c>
      <c r="K62">
        <v>120000</v>
      </c>
      <c r="L62">
        <v>12</v>
      </c>
      <c r="M62">
        <f>IF(Table2[[#This Row],[Num_Month]]&lt;&gt;12,12,Table2[[#This Row],[Num_Month]])</f>
        <v>12</v>
      </c>
      <c r="N62">
        <f>IF(Table2[[#This Row],[Monthly_Salary]]="","",Table2[[#This Row],[Monthly_Salary]]*Table2[[#This Row],[Num_Month_Final]])</f>
        <v>1440000</v>
      </c>
      <c r="O62">
        <v>13</v>
      </c>
      <c r="P62">
        <f>IF(Table2[[#This Row],[Exp_Years]]&lt;0,ABS(Table2[[#This Row],[Exp_Years]]),Table2[[#This Row],[Exp_Years]])</f>
        <v>13</v>
      </c>
      <c r="Q62">
        <v>2</v>
      </c>
      <c r="S62" t="str">
        <f>IF(Table2[[#This Row],[Performance_Rating]]&gt;=3,Table2[[#This Row],[Monthly_Salary]]*0.3,"")</f>
        <v/>
      </c>
      <c r="T62">
        <v>90</v>
      </c>
      <c r="U62">
        <v>10</v>
      </c>
      <c r="V62">
        <v>13</v>
      </c>
      <c r="X62" t="s">
        <v>38</v>
      </c>
      <c r="Y62" t="str">
        <f>IF(Table2[[#This Row],[Work_Mode]]&lt;&gt;"",Table2[[#This Row],[Work_Mode]],
IF(ISNUMBER(SEARCH("India",Table2[[#This Row],[Emp_Name]])),"Office",
IF(ISNUMBER(SEARCH("Foreign",Table2[[#This Row],[Emp_Name]])),"Remote","")))</f>
        <v>Hybrid</v>
      </c>
      <c r="AA62"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62" t="s">
        <v>39</v>
      </c>
      <c r="AC62" t="str">
        <f>IF(COUNTIF(Table2[Emp_ID],Table2[[#This Row],[Emp_ID]])&gt;1,"Duplicate","Unique")</f>
        <v>Unique</v>
      </c>
      <c r="AD62" t="str">
        <f>_xlfn.TEXTJOIN("|",TRUE,Table2[[#This Row],[Emp_ID]:[Salary_Band]])</f>
        <v>ZOM1341|Employee_341_India|45|M|M|Kolkata|Finance|Director|INR|INR|120000|12|12|1440000|13|13|2|90|10|13|Hybrid|Hybrid|Low</v>
      </c>
      <c r="AE62" s="2" t="str">
        <f>IF(COUNTIFS(Table2[Emp_ID],Table2[[#This Row],[Emp_ID]],Table2[Row_Concat],Table2[[#This Row],[Row_Concat]])&gt;1,"Exact Duplicate",
IF(COUNTIF(Table2[Emp_ID],Table2[[#This Row],[Emp_ID]])&gt;1,"Mismatch","Unique"))</f>
        <v>Unique</v>
      </c>
      <c r="AF62">
        <f>ROW()</f>
        <v>62</v>
      </c>
      <c r="AG62" t="str">
        <f>IF(Table2[[#This Row],[Monthly_Salary]]="","Exclude",
IF(Table2[[#This Row],[Row_Status]]="Mismatch","Exclude",
IF(AND(Table2[[#This Row],[Row_Status]]="Exact Duplicate",
COUNTIFS(Table2[Emp_ID],Table2[[#This Row],[Emp_ID]],Table2[Row_Concat],Table2[[#This Row],[Row_Concat]],
Table2[Row_Number],"&lt;"&amp;Table2[[#This Row],[Row_Number]])&gt;=1),"Delete","")))</f>
        <v/>
      </c>
      <c r="AH62" t="str">
        <f>VLOOKUP(Table2[[#This Row],[Department]],Raw_2!A:B,2,0)</f>
        <v>Night</v>
      </c>
      <c r="AI62">
        <f>VLOOKUP(Table2[[#This Row],[Department]],Raw_2!A:C,3,0)</f>
        <v>20</v>
      </c>
    </row>
    <row r="63" spans="1:35">
      <c r="A63" t="s">
        <v>173</v>
      </c>
      <c r="B63" t="s">
        <v>174</v>
      </c>
      <c r="C63">
        <v>25</v>
      </c>
      <c r="D63" t="s">
        <v>25</v>
      </c>
      <c r="E63" t="str">
        <f>IF(OR(Table2[[#This Row],[Gender]]="Male",Table2[[#This Row],[Gender]]="M"),"M",
IF(OR(Table2[[#This Row],[Gender]]="Female",Table2[[#This Row],[Gender]]="F"),"F",""))</f>
        <v>F</v>
      </c>
      <c r="F63" t="s">
        <v>73</v>
      </c>
      <c r="G63" t="s">
        <v>27</v>
      </c>
      <c r="H63" t="s">
        <v>51</v>
      </c>
      <c r="I63" t="s">
        <v>1060</v>
      </c>
      <c r="J63" t="str">
        <f>IF(ISNUMBER(SEARCH("India",Table2[[#This Row],[Emp_Name]])),"INR",
IF(ISNUMBER(SEARCH("Foreign",Table2[[#This Row],[Emp_Name]])),Table2[[#This Row],[Currency]],Table2[[#This Row],[Currency]]))</f>
        <v>INR</v>
      </c>
      <c r="K63">
        <v>48000</v>
      </c>
      <c r="L63">
        <v>12</v>
      </c>
      <c r="M63">
        <f>IF(Table2[[#This Row],[Num_Month]]&lt;&gt;12,12,Table2[[#This Row],[Num_Month]])</f>
        <v>12</v>
      </c>
      <c r="N63">
        <f>IF(Table2[[#This Row],[Monthly_Salary]]="","",Table2[[#This Row],[Monthly_Salary]]*Table2[[#This Row],[Num_Month_Final]])</f>
        <v>576000</v>
      </c>
      <c r="O63">
        <v>4</v>
      </c>
      <c r="P63">
        <f>IF(Table2[[#This Row],[Exp_Years]]&lt;0,ABS(Table2[[#This Row],[Exp_Years]]),Table2[[#This Row],[Exp_Years]])</f>
        <v>4</v>
      </c>
      <c r="Q63">
        <v>4</v>
      </c>
      <c r="R63">
        <v>12000</v>
      </c>
      <c r="S63">
        <f>IF(Table2[[#This Row],[Performance_Rating]]&gt;=3,Table2[[#This Row],[Monthly_Salary]]*0.3,"")</f>
        <v>14400</v>
      </c>
      <c r="T63">
        <v>90</v>
      </c>
      <c r="U63">
        <v>5</v>
      </c>
      <c r="V63">
        <v>3</v>
      </c>
      <c r="X63" t="s">
        <v>38</v>
      </c>
      <c r="Y63" t="str">
        <f>IF(Table2[[#This Row],[Work_Mode]]&lt;&gt;"",Table2[[#This Row],[Work_Mode]],
IF(ISNUMBER(SEARCH("India",Table2[[#This Row],[Emp_Name]])),"Office",
IF(ISNUMBER(SEARCH("Foreign",Table2[[#This Row],[Emp_Name]])),"Remote","")))</f>
        <v>Hybrid</v>
      </c>
      <c r="Z63">
        <v>20</v>
      </c>
      <c r="AA6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63" t="s">
        <v>58</v>
      </c>
      <c r="AC63" t="str">
        <f>IF(COUNTIF(Table2[Emp_ID],Table2[[#This Row],[Emp_ID]])&gt;1,"Duplicate","Unique")</f>
        <v>Unique</v>
      </c>
      <c r="AD63" t="str">
        <f>_xlfn.TEXTJOIN("|",TRUE,Table2[[#This Row],[Emp_ID]:[Salary_Band]])</f>
        <v>ZOM1325|Employee_325_India|25|F|F|Indore|Customer Support|Senior Analyst|INR|INR|48000|12|12|576000|4|4|4|12000|14400|90|5|3|Hybrid|Hybrid|20|6000|High</v>
      </c>
      <c r="AE63" s="2" t="str">
        <f>IF(COUNTIFS(Table2[Emp_ID],Table2[[#This Row],[Emp_ID]],Table2[Row_Concat],Table2[[#This Row],[Row_Concat]])&gt;1,"Exact Duplicate",
IF(COUNTIF(Table2[Emp_ID],Table2[[#This Row],[Emp_ID]])&gt;1,"Mismatch","Unique"))</f>
        <v>Unique</v>
      </c>
      <c r="AF63">
        <f>ROW()</f>
        <v>63</v>
      </c>
      <c r="AG63" t="str">
        <f>IF(Table2[[#This Row],[Monthly_Salary]]="","Exclude",
IF(Table2[[#This Row],[Row_Status]]="Mismatch","Exclude",
IF(AND(Table2[[#This Row],[Row_Status]]="Exact Duplicate",
COUNTIFS(Table2[Emp_ID],Table2[[#This Row],[Emp_ID]],Table2[Row_Concat],Table2[[#This Row],[Row_Concat]],
Table2[Row_Number],"&lt;"&amp;Table2[[#This Row],[Row_Number]])&gt;=1),"Delete","")))</f>
        <v/>
      </c>
      <c r="AH63" t="str">
        <f>VLOOKUP(Table2[[#This Row],[Department]],Raw_2!A:B,2,0)</f>
        <v>Day</v>
      </c>
      <c r="AI63">
        <f>VLOOKUP(Table2[[#This Row],[Department]],Raw_2!A:C,3,0)</f>
        <v>12</v>
      </c>
    </row>
    <row r="64" spans="1:35">
      <c r="A64" t="s">
        <v>175</v>
      </c>
      <c r="B64" t="s">
        <v>176</v>
      </c>
      <c r="C64">
        <v>35</v>
      </c>
      <c r="D64" t="s">
        <v>34</v>
      </c>
      <c r="E64" t="str">
        <f>IF(OR(Table2[[#This Row],[Gender]]="Male",Table2[[#This Row],[Gender]]="M"),"M",
IF(OR(Table2[[#This Row],[Gender]]="Female",Table2[[#This Row],[Gender]]="F"),"F",""))</f>
        <v>F</v>
      </c>
      <c r="F64" t="s">
        <v>73</v>
      </c>
      <c r="G64" t="s">
        <v>31</v>
      </c>
      <c r="H64" t="s">
        <v>1045</v>
      </c>
      <c r="I64" t="s">
        <v>1060</v>
      </c>
      <c r="J64" t="str">
        <f>IF(ISNUMBER(SEARCH("India",Table2[[#This Row],[Emp_Name]])),"INR",
IF(ISNUMBER(SEARCH("Foreign",Table2[[#This Row],[Emp_Name]])),Table2[[#This Row],[Currency]],Table2[[#This Row],[Currency]]))</f>
        <v>INR</v>
      </c>
      <c r="K64">
        <v>76500</v>
      </c>
      <c r="L64">
        <v>12</v>
      </c>
      <c r="M64">
        <f>IF(Table2[[#This Row],[Num_Month]]&lt;&gt;12,12,Table2[[#This Row],[Num_Month]])</f>
        <v>12</v>
      </c>
      <c r="N64">
        <f>IF(Table2[[#This Row],[Monthly_Salary]]="","",Table2[[#This Row],[Monthly_Salary]]*Table2[[#This Row],[Num_Month_Final]])</f>
        <v>918000</v>
      </c>
      <c r="O64">
        <v>5</v>
      </c>
      <c r="P64">
        <f>IF(Table2[[#This Row],[Exp_Years]]&lt;0,ABS(Table2[[#This Row],[Exp_Years]]),Table2[[#This Row],[Exp_Years]])</f>
        <v>5</v>
      </c>
      <c r="Q64">
        <v>3</v>
      </c>
      <c r="R64">
        <v>7000</v>
      </c>
      <c r="S64">
        <f>IF(Table2[[#This Row],[Performance_Rating]]&gt;=3,Table2[[#This Row],[Monthly_Salary]]*0.3,"")</f>
        <v>22950</v>
      </c>
      <c r="T64">
        <v>85</v>
      </c>
      <c r="U64">
        <v>10</v>
      </c>
      <c r="V64">
        <v>2</v>
      </c>
      <c r="W64" t="s">
        <v>37</v>
      </c>
      <c r="X64" t="s">
        <v>38</v>
      </c>
      <c r="Y64" t="str">
        <f>IF(Table2[[#This Row],[Work_Mode]]&lt;&gt;"",Table2[[#This Row],[Work_Mode]],
IF(ISNUMBER(SEARCH("India",Table2[[#This Row],[Emp_Name]])),"Office",
IF(ISNUMBER(SEARCH("Foreign",Table2[[#This Row],[Emp_Name]])),"Remote","")))</f>
        <v>Hybrid</v>
      </c>
      <c r="Z64">
        <v>10</v>
      </c>
      <c r="AA6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64" t="s">
        <v>22</v>
      </c>
      <c r="AC64" t="str">
        <f>IF(COUNTIF(Table2[Emp_ID],Table2[[#This Row],[Emp_ID]])&gt;1,"Duplicate","Unique")</f>
        <v>Unique</v>
      </c>
      <c r="AD64" t="str">
        <f>_xlfn.TEXTJOIN("|",TRUE,Table2[[#This Row],[Emp_ID]:[Salary_Band]])</f>
        <v>ZOM1123|Employee_123_India|35|Female|F|Indore|Logistics|Lead Analyst|INR|INR|76500|12|12|918000|5|5|3|7000|22950|85|10|2|Yes|Hybrid|Hybrid|10|3000|Medium</v>
      </c>
      <c r="AE64" s="2" t="str">
        <f>IF(COUNTIFS(Table2[Emp_ID],Table2[[#This Row],[Emp_ID]],Table2[Row_Concat],Table2[[#This Row],[Row_Concat]])&gt;1,"Exact Duplicate",
IF(COUNTIF(Table2[Emp_ID],Table2[[#This Row],[Emp_ID]])&gt;1,"Mismatch","Unique"))</f>
        <v>Unique</v>
      </c>
      <c r="AF64">
        <f>ROW()</f>
        <v>64</v>
      </c>
      <c r="AG64" t="str">
        <f>IF(Table2[[#This Row],[Monthly_Salary]]="","Exclude",
IF(Table2[[#This Row],[Row_Status]]="Mismatch","Exclude",
IF(AND(Table2[[#This Row],[Row_Status]]="Exact Duplicate",
COUNTIFS(Table2[Emp_ID],Table2[[#This Row],[Emp_ID]],Table2[Row_Concat],Table2[[#This Row],[Row_Concat]],
Table2[Row_Number],"&lt;"&amp;Table2[[#This Row],[Row_Number]])&gt;=1),"Delete","")))</f>
        <v/>
      </c>
      <c r="AH64" t="str">
        <f>VLOOKUP(Table2[[#This Row],[Department]],Raw_2!A:B,2,0)</f>
        <v>Night</v>
      </c>
      <c r="AI64">
        <f>VLOOKUP(Table2[[#This Row],[Department]],Raw_2!A:C,3,0)</f>
        <v>13</v>
      </c>
    </row>
    <row r="65" spans="1:35">
      <c r="A65" t="s">
        <v>177</v>
      </c>
      <c r="B65" t="s">
        <v>178</v>
      </c>
      <c r="C65">
        <v>26</v>
      </c>
      <c r="D65" t="s">
        <v>25</v>
      </c>
      <c r="E65" t="str">
        <f>IF(OR(Table2[[#This Row],[Gender]]="Male",Table2[[#This Row],[Gender]]="M"),"M",
IF(OR(Table2[[#This Row],[Gender]]="Female",Table2[[#This Row],[Gender]]="F"),"F",""))</f>
        <v>F</v>
      </c>
      <c r="F65" t="s">
        <v>35</v>
      </c>
      <c r="G65" t="s">
        <v>66</v>
      </c>
      <c r="H65" t="s">
        <v>51</v>
      </c>
      <c r="I65" t="s">
        <v>1060</v>
      </c>
      <c r="J65" t="str">
        <f>IF(ISNUMBER(SEARCH("India",Table2[[#This Row],[Emp_Name]])),"INR",
IF(ISNUMBER(SEARCH("Foreign",Table2[[#This Row],[Emp_Name]])),Table2[[#This Row],[Currency]],Table2[[#This Row],[Currency]]))</f>
        <v>INR</v>
      </c>
      <c r="K65">
        <v>37000</v>
      </c>
      <c r="L65">
        <v>12</v>
      </c>
      <c r="M65">
        <f>IF(Table2[[#This Row],[Num_Month]]&lt;&gt;12,12,Table2[[#This Row],[Num_Month]])</f>
        <v>12</v>
      </c>
      <c r="N65">
        <f>IF(Table2[[#This Row],[Monthly_Salary]]="","",Table2[[#This Row],[Monthly_Salary]]*Table2[[#This Row],[Num_Month_Final]])</f>
        <v>444000</v>
      </c>
      <c r="O65">
        <v>2</v>
      </c>
      <c r="P65">
        <f>IF(Table2[[#This Row],[Exp_Years]]&lt;0,ABS(Table2[[#This Row],[Exp_Years]]),Table2[[#This Row],[Exp_Years]])</f>
        <v>2</v>
      </c>
      <c r="Q65">
        <v>4</v>
      </c>
      <c r="R65">
        <v>12000</v>
      </c>
      <c r="S65">
        <f>IF(Table2[[#This Row],[Performance_Rating]]&gt;=3,Table2[[#This Row],[Monthly_Salary]]*0.3,"")</f>
        <v>11100</v>
      </c>
      <c r="T65">
        <v>80</v>
      </c>
      <c r="U65">
        <v>15</v>
      </c>
      <c r="V65">
        <v>11</v>
      </c>
      <c r="W65" t="s">
        <v>21</v>
      </c>
      <c r="X65" t="s">
        <v>19</v>
      </c>
      <c r="Y65" t="str">
        <f>IF(Table2[[#This Row],[Work_Mode]]&lt;&gt;"",Table2[[#This Row],[Work_Mode]],
IF(ISNUMBER(SEARCH("India",Table2[[#This Row],[Emp_Name]])),"Office",
IF(ISNUMBER(SEARCH("Foreign",Table2[[#This Row],[Emp_Name]])),"Remote","")))</f>
        <v>Office</v>
      </c>
      <c r="Z65">
        <v>10</v>
      </c>
      <c r="AA6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65" t="s">
        <v>22</v>
      </c>
      <c r="AC65" t="str">
        <f>IF(COUNTIF(Table2[Emp_ID],Table2[[#This Row],[Emp_ID]])&gt;1,"Duplicate","Unique")</f>
        <v>Unique</v>
      </c>
      <c r="AD65" t="str">
        <f>_xlfn.TEXTJOIN("|",TRUE,Table2[[#This Row],[Emp_ID]:[Salary_Band]])</f>
        <v>ZOM1063|Employee_63_India|26|F|F|Noida|Finance|Senior Analyst|INR|INR|37000|12|12|444000|2|2|4|12000|11100|80|15|11|No|Office|Office|10|3000|Medium</v>
      </c>
      <c r="AE65" s="2" t="str">
        <f>IF(COUNTIFS(Table2[Emp_ID],Table2[[#This Row],[Emp_ID]],Table2[Row_Concat],Table2[[#This Row],[Row_Concat]])&gt;1,"Exact Duplicate",
IF(COUNTIF(Table2[Emp_ID],Table2[[#This Row],[Emp_ID]])&gt;1,"Mismatch","Unique"))</f>
        <v>Unique</v>
      </c>
      <c r="AF65">
        <f>ROW()</f>
        <v>65</v>
      </c>
      <c r="AG65" t="str">
        <f>IF(Table2[[#This Row],[Monthly_Salary]]="","Exclude",
IF(Table2[[#This Row],[Row_Status]]="Mismatch","Exclude",
IF(AND(Table2[[#This Row],[Row_Status]]="Exact Duplicate",
COUNTIFS(Table2[Emp_ID],Table2[[#This Row],[Emp_ID]],Table2[Row_Concat],Table2[[#This Row],[Row_Concat]],
Table2[Row_Number],"&lt;"&amp;Table2[[#This Row],[Row_Number]])&gt;=1),"Delete","")))</f>
        <v/>
      </c>
      <c r="AH65" t="str">
        <f>VLOOKUP(Table2[[#This Row],[Department]],Raw_2!A:B,2,0)</f>
        <v>Night</v>
      </c>
      <c r="AI65">
        <f>VLOOKUP(Table2[[#This Row],[Department]],Raw_2!A:C,3,0)</f>
        <v>20</v>
      </c>
    </row>
    <row r="66" spans="1:35">
      <c r="A66" t="s">
        <v>179</v>
      </c>
      <c r="B66" t="s">
        <v>180</v>
      </c>
      <c r="C66">
        <v>28</v>
      </c>
      <c r="D66" t="s">
        <v>16</v>
      </c>
      <c r="E66" t="str">
        <f>IF(OR(Table2[[#This Row],[Gender]]="Male",Table2[[#This Row],[Gender]]="M"),"M",
IF(OR(Table2[[#This Row],[Gender]]="Female",Table2[[#This Row],[Gender]]="F"),"F",""))</f>
        <v>M</v>
      </c>
      <c r="G66" t="s">
        <v>18</v>
      </c>
      <c r="H66" t="s">
        <v>1045</v>
      </c>
      <c r="I66" t="s">
        <v>1059</v>
      </c>
      <c r="J66" t="str">
        <f>IF(ISNUMBER(SEARCH("India",Table2[[#This Row],[Emp_Name]])),"INR",
IF(ISNUMBER(SEARCH("Foreign",Table2[[#This Row],[Emp_Name]])),Table2[[#This Row],[Currency]],Table2[[#This Row],[Currency]]))</f>
        <v>USD</v>
      </c>
      <c r="K66">
        <v>78000</v>
      </c>
      <c r="L66">
        <v>12</v>
      </c>
      <c r="M66">
        <f>IF(Table2[[#This Row],[Num_Month]]&lt;&gt;12,12,Table2[[#This Row],[Num_Month]])</f>
        <v>12</v>
      </c>
      <c r="N66">
        <f>IF(Table2[[#This Row],[Monthly_Salary]]="","",Table2[[#This Row],[Monthly_Salary]]*Table2[[#This Row],[Num_Month_Final]])</f>
        <v>936000</v>
      </c>
      <c r="O66">
        <v>7</v>
      </c>
      <c r="P66">
        <f>IF(Table2[[#This Row],[Exp_Years]]&lt;0,ABS(Table2[[#This Row],[Exp_Years]]),Table2[[#This Row],[Exp_Years]])</f>
        <v>7</v>
      </c>
      <c r="Q66">
        <v>1</v>
      </c>
      <c r="S66" t="str">
        <f>IF(Table2[[#This Row],[Performance_Rating]]&gt;=3,Table2[[#This Row],[Monthly_Salary]]*0.3,"")</f>
        <v/>
      </c>
      <c r="T66">
        <v>90</v>
      </c>
      <c r="U66">
        <v>7</v>
      </c>
      <c r="V66">
        <v>1</v>
      </c>
      <c r="W66" t="s">
        <v>37</v>
      </c>
      <c r="X66" t="s">
        <v>28</v>
      </c>
      <c r="Y66" t="str">
        <f>IF(Table2[[#This Row],[Work_Mode]]&lt;&gt;"",Table2[[#This Row],[Work_Mode]],
IF(ISNUMBER(SEARCH("India",Table2[[#This Row],[Emp_Name]])),"Office",
IF(ISNUMBER(SEARCH("Foreign",Table2[[#This Row],[Emp_Name]])),"Remote","")))</f>
        <v>Remote</v>
      </c>
      <c r="Z66">
        <v>20</v>
      </c>
      <c r="AA6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66" t="s">
        <v>39</v>
      </c>
      <c r="AC66" t="str">
        <f>IF(COUNTIF(Table2[Emp_ID],Table2[[#This Row],[Emp_ID]])&gt;1,"Duplicate","Unique")</f>
        <v>Unique</v>
      </c>
      <c r="AD66" t="str">
        <f>_xlfn.TEXTJOIN("|",TRUE,Table2[[#This Row],[Emp_ID]:[Salary_Band]])</f>
        <v>ZOM1611|Employee_11_Foreign|28|Male|M|HR|Lead Analyst|USD|USD|78000|12|12|936000|7|7|1|90|7|1|Yes|Remote|Remote|20|6000|Low</v>
      </c>
      <c r="AE66" s="2" t="str">
        <f>IF(COUNTIFS(Table2[Emp_ID],Table2[[#This Row],[Emp_ID]],Table2[Row_Concat],Table2[[#This Row],[Row_Concat]])&gt;1,"Exact Duplicate",
IF(COUNTIF(Table2[Emp_ID],Table2[[#This Row],[Emp_ID]])&gt;1,"Mismatch","Unique"))</f>
        <v>Unique</v>
      </c>
      <c r="AF66">
        <f>ROW()</f>
        <v>66</v>
      </c>
      <c r="AG66" t="str">
        <f>IF(Table2[[#This Row],[Monthly_Salary]]="","Exclude",
IF(Table2[[#This Row],[Row_Status]]="Mismatch","Exclude",
IF(AND(Table2[[#This Row],[Row_Status]]="Exact Duplicate",
COUNTIFS(Table2[Emp_ID],Table2[[#This Row],[Emp_ID]],Table2[Row_Concat],Table2[[#This Row],[Row_Concat]],
Table2[Row_Number],"&lt;"&amp;Table2[[#This Row],[Row_Number]])&gt;=1),"Delete","")))</f>
        <v/>
      </c>
      <c r="AH66" t="str">
        <f>VLOOKUP(Table2[[#This Row],[Department]],Raw_2!A:B,2,0)</f>
        <v>Day</v>
      </c>
      <c r="AI66">
        <f>VLOOKUP(Table2[[#This Row],[Department]],Raw_2!A:C,3,0)</f>
        <v>10</v>
      </c>
    </row>
    <row r="67" spans="1:35">
      <c r="A67" t="s">
        <v>56</v>
      </c>
      <c r="B67" t="s">
        <v>594</v>
      </c>
      <c r="C67">
        <v>25</v>
      </c>
      <c r="D67" t="s">
        <v>34</v>
      </c>
      <c r="E67" t="str">
        <f>IF(OR(Table2[[#This Row],[Gender]]="Male",Table2[[#This Row],[Gender]]="M"),"M",
IF(OR(Table2[[#This Row],[Gender]]="Female",Table2[[#This Row],[Gender]]="F"),"F",""))</f>
        <v>F</v>
      </c>
      <c r="F67" t="s">
        <v>57</v>
      </c>
      <c r="G67" t="s">
        <v>42</v>
      </c>
      <c r="H67" t="s">
        <v>51</v>
      </c>
      <c r="I67" t="s">
        <v>1059</v>
      </c>
      <c r="J67" t="str">
        <f>IF(ISNUMBER(SEARCH("India",Table2[[#This Row],[Emp_Name]])),"INR",
IF(ISNUMBER(SEARCH("Foreign",Table2[[#This Row],[Emp_Name]])),Table2[[#This Row],[Currency]],Table2[[#This Row],[Currency]]))</f>
        <v>INR</v>
      </c>
      <c r="K67">
        <v>36000</v>
      </c>
      <c r="L67">
        <v>12</v>
      </c>
      <c r="M67">
        <f>IF(Table2[[#This Row],[Num_Month]]&lt;&gt;12,12,Table2[[#This Row],[Num_Month]])</f>
        <v>12</v>
      </c>
      <c r="N67">
        <f>IF(Table2[[#This Row],[Monthly_Salary]]="","",Table2[[#This Row],[Monthly_Salary]]*Table2[[#This Row],[Num_Month_Final]])</f>
        <v>432000</v>
      </c>
      <c r="O67">
        <v>3</v>
      </c>
      <c r="P67">
        <f>IF(Table2[[#This Row],[Exp_Years]]&lt;0,ABS(Table2[[#This Row],[Exp_Years]]),Table2[[#This Row],[Exp_Years]])</f>
        <v>3</v>
      </c>
      <c r="Q67">
        <v>4</v>
      </c>
      <c r="R67">
        <v>15000</v>
      </c>
      <c r="S67">
        <f>IF(Table2[[#This Row],[Performance_Rating]]&gt;=3,Table2[[#This Row],[Monthly_Salary]]*0.3,"")</f>
        <v>10800</v>
      </c>
      <c r="T67">
        <v>80</v>
      </c>
      <c r="U67">
        <v>7</v>
      </c>
      <c r="V67">
        <v>5</v>
      </c>
      <c r="X67" t="s">
        <v>28</v>
      </c>
      <c r="Y67" t="str">
        <f>IF(Table2[[#This Row],[Work_Mode]]&lt;&gt;"",Table2[[#This Row],[Work_Mode]],
IF(ISNUMBER(SEARCH("India",Table2[[#This Row],[Emp_Name]])),"Office",
IF(ISNUMBER(SEARCH("Foreign",Table2[[#This Row],[Emp_Name]])),"Remote","")))</f>
        <v>Remote</v>
      </c>
      <c r="AA6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67" t="s">
        <v>58</v>
      </c>
      <c r="AC67" t="str">
        <f>IF(COUNTIF(Table2[Emp_ID],Table2[[#This Row],[Emp_ID]])&gt;1,"Duplicate","Unique")</f>
        <v>Duplicate</v>
      </c>
      <c r="AD67" t="str">
        <f>_xlfn.TEXTJOIN("|",TRUE,Table2[[#This Row],[Emp_ID]:[Salary_Band]])</f>
        <v>ZOM1625|Employee_25_India|25|Female|F|Chennai|Operations|Senior Analyst|USD|INR|36000|12|12|432000|3|3|4|15000|10800|80|7|5|Remote|Remote|0|High</v>
      </c>
      <c r="AE67" s="2" t="str">
        <f>IF(COUNTIFS(Table2[Emp_ID],Table2[[#This Row],[Emp_ID]],Table2[Row_Concat],Table2[[#This Row],[Row_Concat]])&gt;1,"Exact Duplicate",
IF(COUNTIF(Table2[Emp_ID],Table2[[#This Row],[Emp_ID]])&gt;1,"Mismatch","Unique"))</f>
        <v>Exact Duplicate</v>
      </c>
      <c r="AF67">
        <f>ROW()</f>
        <v>67</v>
      </c>
      <c r="AG67" t="str">
        <f>IF(Table2[[#This Row],[Monthly_Salary]]="","Exclude",
IF(Table2[[#This Row],[Row_Status]]="Mismatch","Exclude",
IF(AND(Table2[[#This Row],[Row_Status]]="Exact Duplicate",
COUNTIFS(Table2[Emp_ID],Table2[[#This Row],[Emp_ID]],Table2[Row_Concat],Table2[[#This Row],[Row_Concat]],
Table2[Row_Number],"&lt;"&amp;Table2[[#This Row],[Row_Number]])&gt;=1),"Delete","")))</f>
        <v>Delete</v>
      </c>
      <c r="AH67" t="str">
        <f>VLOOKUP(Table2[[#This Row],[Department]],Raw_2!A:B,2,0)</f>
        <v>Day</v>
      </c>
      <c r="AI67">
        <f>VLOOKUP(Table2[[#This Row],[Department]],Raw_2!A:C,3,0)</f>
        <v>14</v>
      </c>
    </row>
    <row r="68" spans="1:35">
      <c r="A68" t="s">
        <v>181</v>
      </c>
      <c r="B68" t="s">
        <v>182</v>
      </c>
      <c r="C68">
        <v>27</v>
      </c>
      <c r="D68" t="s">
        <v>46</v>
      </c>
      <c r="E68" t="str">
        <f>IF(OR(Table2[[#This Row],[Gender]]="Male",Table2[[#This Row],[Gender]]="M"),"M",
IF(OR(Table2[[#This Row],[Gender]]="Female",Table2[[#This Row],[Gender]]="F"),"F",""))</f>
        <v>M</v>
      </c>
      <c r="F68" t="s">
        <v>73</v>
      </c>
      <c r="G68" t="s">
        <v>66</v>
      </c>
      <c r="H68" t="s">
        <v>51</v>
      </c>
      <c r="I68" t="s">
        <v>1060</v>
      </c>
      <c r="J68" t="str">
        <f>IF(ISNUMBER(SEARCH("India",Table2[[#This Row],[Emp_Name]])),"INR",
IF(ISNUMBER(SEARCH("Foreign",Table2[[#This Row],[Emp_Name]])),Table2[[#This Row],[Currency]],Table2[[#This Row],[Currency]]))</f>
        <v>INR</v>
      </c>
      <c r="K68">
        <v>37000</v>
      </c>
      <c r="L68">
        <v>12</v>
      </c>
      <c r="M68">
        <f>IF(Table2[[#This Row],[Num_Month]]&lt;&gt;12,12,Table2[[#This Row],[Num_Month]])</f>
        <v>12</v>
      </c>
      <c r="N68">
        <f>IF(Table2[[#This Row],[Monthly_Salary]]="","",Table2[[#This Row],[Monthly_Salary]]*Table2[[#This Row],[Num_Month_Final]])</f>
        <v>444000</v>
      </c>
      <c r="O68">
        <v>2</v>
      </c>
      <c r="P68">
        <f>IF(Table2[[#This Row],[Exp_Years]]&lt;0,ABS(Table2[[#This Row],[Exp_Years]]),Table2[[#This Row],[Exp_Years]])</f>
        <v>2</v>
      </c>
      <c r="Q68">
        <v>4</v>
      </c>
      <c r="R68">
        <v>13000</v>
      </c>
      <c r="S68">
        <f>IF(Table2[[#This Row],[Performance_Rating]]&gt;=3,Table2[[#This Row],[Monthly_Salary]]*0.3,"")</f>
        <v>11100</v>
      </c>
      <c r="T68">
        <v>85</v>
      </c>
      <c r="U68">
        <v>10</v>
      </c>
      <c r="V68">
        <v>1</v>
      </c>
      <c r="W68" t="s">
        <v>21</v>
      </c>
      <c r="X68" t="s">
        <v>38</v>
      </c>
      <c r="Y68" t="str">
        <f>IF(Table2[[#This Row],[Work_Mode]]&lt;&gt;"",Table2[[#This Row],[Work_Mode]],
IF(ISNUMBER(SEARCH("India",Table2[[#This Row],[Emp_Name]])),"Office",
IF(ISNUMBER(SEARCH("Foreign",Table2[[#This Row],[Emp_Name]])),"Remote","")))</f>
        <v>Hybrid</v>
      </c>
      <c r="Z68">
        <v>5</v>
      </c>
      <c r="AA6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68" t="s">
        <v>22</v>
      </c>
      <c r="AC68" t="str">
        <f>IF(COUNTIF(Table2[Emp_ID],Table2[[#This Row],[Emp_ID]])&gt;1,"Duplicate","Unique")</f>
        <v>Unique</v>
      </c>
      <c r="AE68" s="2"/>
      <c r="AG68" t="str">
        <f>IF(Table2[[#This Row],[Monthly_Salary]]="","Exclude",
IF(Table2[[#This Row],[Row_Status]]="Mismatch","Exclude",
IF(AND(Table2[[#This Row],[Row_Status]]="Exact Duplicate",
COUNTIFS(Table2[Emp_ID],Table2[[#This Row],[Emp_ID]],Table2[Row_Concat],Table2[[#This Row],[Row_Concat]],
Table2[Row_Number],"&lt;"&amp;Table2[[#This Row],[Row_Number]])&gt;=1),"Delete","")))</f>
        <v/>
      </c>
      <c r="AH68" t="str">
        <f>VLOOKUP(Table2[[#This Row],[Department]],Raw_2!A:B,2,0)</f>
        <v>Night</v>
      </c>
      <c r="AI68">
        <f>VLOOKUP(Table2[[#This Row],[Department]],Raw_2!A:C,3,0)</f>
        <v>20</v>
      </c>
    </row>
    <row r="69" spans="1:35">
      <c r="A69" t="s">
        <v>183</v>
      </c>
      <c r="B69" t="s">
        <v>184</v>
      </c>
      <c r="C69">
        <v>26</v>
      </c>
      <c r="D69" t="s">
        <v>34</v>
      </c>
      <c r="E69" t="str">
        <f>IF(OR(Table2[[#This Row],[Gender]]="Male",Table2[[#This Row],[Gender]]="M"),"M",
IF(OR(Table2[[#This Row],[Gender]]="Female",Table2[[#This Row],[Gender]]="F"),"F",""))</f>
        <v>F</v>
      </c>
      <c r="F69" t="s">
        <v>64</v>
      </c>
      <c r="G69" t="s">
        <v>18</v>
      </c>
      <c r="H69" t="s">
        <v>51</v>
      </c>
      <c r="I69" t="s">
        <v>1060</v>
      </c>
      <c r="J69" t="str">
        <f>IF(ISNUMBER(SEARCH("India",Table2[[#This Row],[Emp_Name]])),"INR",
IF(ISNUMBER(SEARCH("Foreign",Table2[[#This Row],[Emp_Name]])),Table2[[#This Row],[Currency]],Table2[[#This Row],[Currency]]))</f>
        <v>INR</v>
      </c>
      <c r="K69">
        <v>43000</v>
      </c>
      <c r="L69">
        <v>12</v>
      </c>
      <c r="M69">
        <f>IF(Table2[[#This Row],[Num_Month]]&lt;&gt;12,12,Table2[[#This Row],[Num_Month]])</f>
        <v>12</v>
      </c>
      <c r="N69">
        <f>IF(Table2[[#This Row],[Monthly_Salary]]="","",Table2[[#This Row],[Monthly_Salary]]*Table2[[#This Row],[Num_Month_Final]])</f>
        <v>516000</v>
      </c>
      <c r="O69">
        <v>3</v>
      </c>
      <c r="P69">
        <f>IF(Table2[[#This Row],[Exp_Years]]&lt;0,ABS(Table2[[#This Row],[Exp_Years]]),Table2[[#This Row],[Exp_Years]])</f>
        <v>3</v>
      </c>
      <c r="Q69">
        <v>2</v>
      </c>
      <c r="S69" t="str">
        <f>IF(Table2[[#This Row],[Performance_Rating]]&gt;=3,Table2[[#This Row],[Monthly_Salary]]*0.3,"")</f>
        <v/>
      </c>
      <c r="T69">
        <v>85</v>
      </c>
      <c r="U69">
        <v>10</v>
      </c>
      <c r="V69">
        <v>3</v>
      </c>
      <c r="W69" t="s">
        <v>37</v>
      </c>
      <c r="X69" t="s">
        <v>19</v>
      </c>
      <c r="Y69" t="str">
        <f>IF(Table2[[#This Row],[Work_Mode]]&lt;&gt;"",Table2[[#This Row],[Work_Mode]],
IF(ISNUMBER(SEARCH("India",Table2[[#This Row],[Emp_Name]])),"Office",
IF(ISNUMBER(SEARCH("Foreign",Table2[[#This Row],[Emp_Name]])),"Remote","")))</f>
        <v>Office</v>
      </c>
      <c r="Z69">
        <v>10</v>
      </c>
      <c r="AA6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69" t="s">
        <v>39</v>
      </c>
      <c r="AC69" t="str">
        <f>IF(COUNTIF(Table2[Emp_ID],Table2[[#This Row],[Emp_ID]])&gt;1,"Duplicate","Unique")</f>
        <v>Unique</v>
      </c>
      <c r="AE69" s="2"/>
      <c r="AG69" t="str">
        <f>IF(Table2[[#This Row],[Monthly_Salary]]="","Exclude",
IF(Table2[[#This Row],[Row_Status]]="Mismatch","Exclude",
IF(AND(Table2[[#This Row],[Row_Status]]="Exact Duplicate",
COUNTIFS(Table2[Emp_ID],Table2[[#This Row],[Emp_ID]],Table2[Row_Concat],Table2[[#This Row],[Row_Concat]],
Table2[Row_Number],"&lt;"&amp;Table2[[#This Row],[Row_Number]])&gt;=1),"Delete","")))</f>
        <v/>
      </c>
      <c r="AH69" t="str">
        <f>VLOOKUP(Table2[[#This Row],[Department]],Raw_2!A:B,2,0)</f>
        <v>Day</v>
      </c>
      <c r="AI69">
        <f>VLOOKUP(Table2[[#This Row],[Department]],Raw_2!A:C,3,0)</f>
        <v>10</v>
      </c>
    </row>
    <row r="70" spans="1:35">
      <c r="A70" t="s">
        <v>185</v>
      </c>
      <c r="B70" t="s">
        <v>186</v>
      </c>
      <c r="C70">
        <v>35</v>
      </c>
      <c r="D70" t="s">
        <v>25</v>
      </c>
      <c r="E70" t="str">
        <f>IF(OR(Table2[[#This Row],[Gender]]="Male",Table2[[#This Row],[Gender]]="M"),"M",
IF(OR(Table2[[#This Row],[Gender]]="Female",Table2[[#This Row],[Gender]]="F"),"F",""))</f>
        <v>F</v>
      </c>
      <c r="F70" t="s">
        <v>73</v>
      </c>
      <c r="G70" t="s">
        <v>42</v>
      </c>
      <c r="H70" t="s">
        <v>82</v>
      </c>
      <c r="I70" t="s">
        <v>1059</v>
      </c>
      <c r="J70" t="str">
        <f>IF(ISNUMBER(SEARCH("India",Table2[[#This Row],[Emp_Name]])),"INR",
IF(ISNUMBER(SEARCH("Foreign",Table2[[#This Row],[Emp_Name]])),Table2[[#This Row],[Currency]],Table2[[#This Row],[Currency]]))</f>
        <v>USD</v>
      </c>
      <c r="K70">
        <v>80000</v>
      </c>
      <c r="L70">
        <v>12</v>
      </c>
      <c r="M70">
        <f>IF(Table2[[#This Row],[Num_Month]]&lt;&gt;12,12,Table2[[#This Row],[Num_Month]])</f>
        <v>12</v>
      </c>
      <c r="N70">
        <f>IF(Table2[[#This Row],[Monthly_Salary]]="","",Table2[[#This Row],[Monthly_Salary]]*Table2[[#This Row],[Num_Month_Final]])</f>
        <v>960000</v>
      </c>
      <c r="O70">
        <v>9</v>
      </c>
      <c r="P70">
        <f>IF(Table2[[#This Row],[Exp_Years]]&lt;0,ABS(Table2[[#This Row],[Exp_Years]]),Table2[[#This Row],[Exp_Years]])</f>
        <v>9</v>
      </c>
      <c r="Q70">
        <v>1</v>
      </c>
      <c r="S70" t="str">
        <f>IF(Table2[[#This Row],[Performance_Rating]]&gt;=3,Table2[[#This Row],[Monthly_Salary]]*0.3,"")</f>
        <v/>
      </c>
      <c r="T70">
        <v>90</v>
      </c>
      <c r="U70">
        <v>10</v>
      </c>
      <c r="V70">
        <v>11</v>
      </c>
      <c r="W70" t="s">
        <v>37</v>
      </c>
      <c r="X70" t="s">
        <v>28</v>
      </c>
      <c r="Y70" t="str">
        <f>IF(Table2[[#This Row],[Work_Mode]]&lt;&gt;"",Table2[[#This Row],[Work_Mode]],
IF(ISNUMBER(SEARCH("India",Table2[[#This Row],[Emp_Name]])),"Office",
IF(ISNUMBER(SEARCH("Foreign",Table2[[#This Row],[Emp_Name]])),"Remote","")))</f>
        <v>Remote</v>
      </c>
      <c r="AA7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70" t="s">
        <v>39</v>
      </c>
      <c r="AC70" t="str">
        <f>IF(COUNTIF(Table2[Emp_ID],Table2[[#This Row],[Emp_ID]])&gt;1,"Duplicate","Unique")</f>
        <v>Unique</v>
      </c>
      <c r="AE70" s="2"/>
      <c r="AG70" t="str">
        <f>IF(Table2[[#This Row],[Monthly_Salary]]="","Exclude",
IF(Table2[[#This Row],[Row_Status]]="Mismatch","Exclude",
IF(AND(Table2[[#This Row],[Row_Status]]="Exact Duplicate",
COUNTIFS(Table2[Emp_ID],Table2[[#This Row],[Emp_ID]],Table2[Row_Concat],Table2[[#This Row],[Row_Concat]],
Table2[Row_Number],"&lt;"&amp;Table2[[#This Row],[Row_Number]])&gt;=1),"Delete","")))</f>
        <v/>
      </c>
      <c r="AH70" t="str">
        <f>VLOOKUP(Table2[[#This Row],[Department]],Raw_2!A:B,2,0)</f>
        <v>Day</v>
      </c>
      <c r="AI70">
        <f>VLOOKUP(Table2[[#This Row],[Department]],Raw_2!A:C,3,0)</f>
        <v>14</v>
      </c>
    </row>
    <row r="71" spans="1:35">
      <c r="A71" t="s">
        <v>187</v>
      </c>
      <c r="B71" t="s">
        <v>188</v>
      </c>
      <c r="C71">
        <v>26</v>
      </c>
      <c r="E71" t="str">
        <f>IF(OR(Table2[[#This Row],[Gender]]="Male",Table2[[#This Row],[Gender]]="M"),"M",
IF(OR(Table2[[#This Row],[Gender]]="Female",Table2[[#This Row],[Gender]]="F"),"F",""))</f>
        <v/>
      </c>
      <c r="F71" t="s">
        <v>61</v>
      </c>
      <c r="G71" t="s">
        <v>27</v>
      </c>
      <c r="H71" t="s">
        <v>51</v>
      </c>
      <c r="I71" t="s">
        <v>1060</v>
      </c>
      <c r="J71" t="str">
        <f>IF(ISNUMBER(SEARCH("India",Table2[[#This Row],[Emp_Name]])),"INR",
IF(ISNUMBER(SEARCH("Foreign",Table2[[#This Row],[Emp_Name]])),Table2[[#This Row],[Currency]],Table2[[#This Row],[Currency]]))</f>
        <v>INR</v>
      </c>
      <c r="K71">
        <v>43000</v>
      </c>
      <c r="L71">
        <v>12</v>
      </c>
      <c r="M71">
        <f>IF(Table2[[#This Row],[Num_Month]]&lt;&gt;12,12,Table2[[#This Row],[Num_Month]])</f>
        <v>12</v>
      </c>
      <c r="N71">
        <f>IF(Table2[[#This Row],[Monthly_Salary]]="","",Table2[[#This Row],[Monthly_Salary]]*Table2[[#This Row],[Num_Month_Final]])</f>
        <v>516000</v>
      </c>
      <c r="O71">
        <v>3</v>
      </c>
      <c r="P71">
        <f>IF(Table2[[#This Row],[Exp_Years]]&lt;0,ABS(Table2[[#This Row],[Exp_Years]]),Table2[[#This Row],[Exp_Years]])</f>
        <v>3</v>
      </c>
      <c r="Q71">
        <v>1</v>
      </c>
      <c r="S71" t="str">
        <f>IF(Table2[[#This Row],[Performance_Rating]]&gt;=3,Table2[[#This Row],[Monthly_Salary]]*0.3,"")</f>
        <v/>
      </c>
      <c r="T71">
        <v>87</v>
      </c>
      <c r="U71">
        <v>5</v>
      </c>
      <c r="V71">
        <v>5</v>
      </c>
      <c r="X71" t="s">
        <v>19</v>
      </c>
      <c r="Y71" t="str">
        <f>IF(Table2[[#This Row],[Work_Mode]]&lt;&gt;"",Table2[[#This Row],[Work_Mode]],
IF(ISNUMBER(SEARCH("India",Table2[[#This Row],[Emp_Name]])),"Office",
IF(ISNUMBER(SEARCH("Foreign",Table2[[#This Row],[Emp_Name]])),"Remote","")))</f>
        <v>Office</v>
      </c>
      <c r="Z71">
        <v>5</v>
      </c>
      <c r="AA7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71" t="s">
        <v>39</v>
      </c>
      <c r="AC71" t="str">
        <f>IF(COUNTIF(Table2[Emp_ID],Table2[[#This Row],[Emp_ID]])&gt;1,"Duplicate","Unique")</f>
        <v>Unique</v>
      </c>
      <c r="AE71" s="2"/>
      <c r="AG71" t="str">
        <f>IF(Table2[[#This Row],[Monthly_Salary]]="","Exclude",
IF(Table2[[#This Row],[Row_Status]]="Mismatch","Exclude",
IF(AND(Table2[[#This Row],[Row_Status]]="Exact Duplicate",
COUNTIFS(Table2[Emp_ID],Table2[[#This Row],[Emp_ID]],Table2[Row_Concat],Table2[[#This Row],[Row_Concat]],
Table2[Row_Number],"&lt;"&amp;Table2[[#This Row],[Row_Number]])&gt;=1),"Delete","")))</f>
        <v/>
      </c>
      <c r="AH71" t="str">
        <f>VLOOKUP(Table2[[#This Row],[Department]],Raw_2!A:B,2,0)</f>
        <v>Day</v>
      </c>
      <c r="AI71">
        <f>VLOOKUP(Table2[[#This Row],[Department]],Raw_2!A:C,3,0)</f>
        <v>12</v>
      </c>
    </row>
    <row r="72" spans="1:35">
      <c r="A72" t="s">
        <v>189</v>
      </c>
      <c r="B72" t="s">
        <v>190</v>
      </c>
      <c r="C72">
        <v>28</v>
      </c>
      <c r="D72" t="s">
        <v>16</v>
      </c>
      <c r="E72" t="str">
        <f>IF(OR(Table2[[#This Row],[Gender]]="Male",Table2[[#This Row],[Gender]]="M"),"M",
IF(OR(Table2[[#This Row],[Gender]]="Female",Table2[[#This Row],[Gender]]="F"),"F",""))</f>
        <v>M</v>
      </c>
      <c r="F72" t="s">
        <v>73</v>
      </c>
      <c r="G72" t="s">
        <v>18</v>
      </c>
      <c r="H72" t="s">
        <v>1045</v>
      </c>
      <c r="I72" t="s">
        <v>1060</v>
      </c>
      <c r="J72" t="str">
        <f>IF(ISNUMBER(SEARCH("India",Table2[[#This Row],[Emp_Name]])),"INR",
IF(ISNUMBER(SEARCH("Foreign",Table2[[#This Row],[Emp_Name]])),Table2[[#This Row],[Currency]],Table2[[#This Row],[Currency]]))</f>
        <v>INR</v>
      </c>
      <c r="K72">
        <v>78000</v>
      </c>
      <c r="L72">
        <v>12</v>
      </c>
      <c r="M72">
        <f>IF(Table2[[#This Row],[Num_Month]]&lt;&gt;12,12,Table2[[#This Row],[Num_Month]])</f>
        <v>12</v>
      </c>
      <c r="N72">
        <f>IF(Table2[[#This Row],[Monthly_Salary]]="","",Table2[[#This Row],[Monthly_Salary]]*Table2[[#This Row],[Num_Month_Final]])</f>
        <v>936000</v>
      </c>
      <c r="O72">
        <v>7</v>
      </c>
      <c r="P72">
        <f>IF(Table2[[#This Row],[Exp_Years]]&lt;0,ABS(Table2[[#This Row],[Exp_Years]]),Table2[[#This Row],[Exp_Years]])</f>
        <v>7</v>
      </c>
      <c r="Q72">
        <v>3</v>
      </c>
      <c r="R72">
        <v>11000</v>
      </c>
      <c r="S72">
        <f>IF(Table2[[#This Row],[Performance_Rating]]&gt;=3,Table2[[#This Row],[Monthly_Salary]]*0.3,"")</f>
        <v>23400</v>
      </c>
      <c r="T72">
        <v>90</v>
      </c>
      <c r="U72">
        <v>7</v>
      </c>
      <c r="V72">
        <v>2</v>
      </c>
      <c r="W72" t="s">
        <v>37</v>
      </c>
      <c r="X72" t="s">
        <v>19</v>
      </c>
      <c r="Y72" t="str">
        <f>IF(Table2[[#This Row],[Work_Mode]]&lt;&gt;"",Table2[[#This Row],[Work_Mode]],
IF(ISNUMBER(SEARCH("India",Table2[[#This Row],[Emp_Name]])),"Office",
IF(ISNUMBER(SEARCH("Foreign",Table2[[#This Row],[Emp_Name]])),"Remote","")))</f>
        <v>Office</v>
      </c>
      <c r="AA7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72" t="s">
        <v>22</v>
      </c>
      <c r="AC72" t="str">
        <f>IF(COUNTIF(Table2[Emp_ID],Table2[[#This Row],[Emp_ID]])&gt;1,"Duplicate","Unique")</f>
        <v>Unique</v>
      </c>
      <c r="AE72" s="2"/>
      <c r="AG72" t="str">
        <f>IF(Table2[[#This Row],[Monthly_Salary]]="","Exclude",
IF(Table2[[#This Row],[Row_Status]]="Mismatch","Exclude",
IF(AND(Table2[[#This Row],[Row_Status]]="Exact Duplicate",
COUNTIFS(Table2[Emp_ID],Table2[[#This Row],[Emp_ID]],Table2[Row_Concat],Table2[[#This Row],[Row_Concat]],
Table2[Row_Number],"&lt;"&amp;Table2[[#This Row],[Row_Number]])&gt;=1),"Delete","")))</f>
        <v/>
      </c>
      <c r="AH72" t="str">
        <f>VLOOKUP(Table2[[#This Row],[Department]],Raw_2!A:B,2,0)</f>
        <v>Day</v>
      </c>
      <c r="AI72">
        <f>VLOOKUP(Table2[[#This Row],[Department]],Raw_2!A:C,3,0)</f>
        <v>10</v>
      </c>
    </row>
    <row r="73" spans="1:35">
      <c r="A73" t="s">
        <v>191</v>
      </c>
      <c r="B73" t="s">
        <v>192</v>
      </c>
      <c r="C73">
        <v>40</v>
      </c>
      <c r="D73" t="s">
        <v>25</v>
      </c>
      <c r="E73" t="str">
        <f>IF(OR(Table2[[#This Row],[Gender]]="Male",Table2[[#This Row],[Gender]]="M"),"M",
IF(OR(Table2[[#This Row],[Gender]]="Female",Table2[[#This Row],[Gender]]="F"),"F",""))</f>
        <v>F</v>
      </c>
      <c r="F73" t="s">
        <v>50</v>
      </c>
      <c r="G73" t="s">
        <v>18</v>
      </c>
      <c r="H73" t="s">
        <v>1049</v>
      </c>
      <c r="I73" t="s">
        <v>1060</v>
      </c>
      <c r="J73" t="str">
        <f>IF(ISNUMBER(SEARCH("India",Table2[[#This Row],[Emp_Name]])),"INR",
IF(ISNUMBER(SEARCH("Foreign",Table2[[#This Row],[Emp_Name]])),Table2[[#This Row],[Currency]],Table2[[#This Row],[Currency]]))</f>
        <v>INR</v>
      </c>
      <c r="K73">
        <v>130000</v>
      </c>
      <c r="L73">
        <v>12</v>
      </c>
      <c r="M73">
        <f>IF(Table2[[#This Row],[Num_Month]]&lt;&gt;12,12,Table2[[#This Row],[Num_Month]])</f>
        <v>12</v>
      </c>
      <c r="N73">
        <f>IF(Table2[[#This Row],[Monthly_Salary]]="","",Table2[[#This Row],[Monthly_Salary]]*Table2[[#This Row],[Num_Month_Final]])</f>
        <v>1560000</v>
      </c>
      <c r="O73">
        <v>13</v>
      </c>
      <c r="P73">
        <f>IF(Table2[[#This Row],[Exp_Years]]&lt;0,ABS(Table2[[#This Row],[Exp_Years]]),Table2[[#This Row],[Exp_Years]])</f>
        <v>13</v>
      </c>
      <c r="Q73">
        <v>1</v>
      </c>
      <c r="S73" t="str">
        <f>IF(Table2[[#This Row],[Performance_Rating]]&gt;=3,Table2[[#This Row],[Monthly_Salary]]*0.3,"")</f>
        <v/>
      </c>
      <c r="T73">
        <v>87</v>
      </c>
      <c r="U73">
        <v>15</v>
      </c>
      <c r="V73">
        <v>2</v>
      </c>
      <c r="W73" t="s">
        <v>37</v>
      </c>
      <c r="X73" t="s">
        <v>19</v>
      </c>
      <c r="Y73" t="str">
        <f>IF(Table2[[#This Row],[Work_Mode]]&lt;&gt;"",Table2[[#This Row],[Work_Mode]],
IF(ISNUMBER(SEARCH("India",Table2[[#This Row],[Emp_Name]])),"Office",
IF(ISNUMBER(SEARCH("Foreign",Table2[[#This Row],[Emp_Name]])),"Remote","")))</f>
        <v>Office</v>
      </c>
      <c r="AA73"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73" t="s">
        <v>39</v>
      </c>
      <c r="AC73" t="str">
        <f>IF(COUNTIF(Table2[Emp_ID],Table2[[#This Row],[Emp_ID]])&gt;1,"Duplicate","Unique")</f>
        <v>Unique</v>
      </c>
      <c r="AE73" s="2"/>
      <c r="AG73" t="str">
        <f>IF(Table2[[#This Row],[Monthly_Salary]]="","Exclude",
IF(Table2[[#This Row],[Row_Status]]="Mismatch","Exclude",
IF(AND(Table2[[#This Row],[Row_Status]]="Exact Duplicate",
COUNTIFS(Table2[Emp_ID],Table2[[#This Row],[Emp_ID]],Table2[Row_Concat],Table2[[#This Row],[Row_Concat]],
Table2[Row_Number],"&lt;"&amp;Table2[[#This Row],[Row_Number]])&gt;=1),"Delete","")))</f>
        <v/>
      </c>
      <c r="AH73" t="str">
        <f>VLOOKUP(Table2[[#This Row],[Department]],Raw_2!A:B,2,0)</f>
        <v>Day</v>
      </c>
      <c r="AI73">
        <f>VLOOKUP(Table2[[#This Row],[Department]],Raw_2!A:C,3,0)</f>
        <v>10</v>
      </c>
    </row>
    <row r="74" spans="1:35">
      <c r="A74" t="s">
        <v>193</v>
      </c>
      <c r="B74" t="s">
        <v>194</v>
      </c>
      <c r="C74">
        <v>27</v>
      </c>
      <c r="D74" t="s">
        <v>16</v>
      </c>
      <c r="E74" t="str">
        <f>IF(OR(Table2[[#This Row],[Gender]]="Male",Table2[[#This Row],[Gender]]="M"),"M",
IF(OR(Table2[[#This Row],[Gender]]="Female",Table2[[#This Row],[Gender]]="F"),"F",""))</f>
        <v>M</v>
      </c>
      <c r="F74" t="s">
        <v>47</v>
      </c>
      <c r="G74" t="s">
        <v>31</v>
      </c>
      <c r="H74" t="s">
        <v>1045</v>
      </c>
      <c r="I74" t="s">
        <v>1060</v>
      </c>
      <c r="J74" t="str">
        <f>IF(ISNUMBER(SEARCH("India",Table2[[#This Row],[Emp_Name]])),"INR",
IF(ISNUMBER(SEARCH("Foreign",Table2[[#This Row],[Emp_Name]])),Table2[[#This Row],[Currency]],Table2[[#This Row],[Currency]]))</f>
        <v>INR</v>
      </c>
      <c r="K74">
        <v>78000</v>
      </c>
      <c r="L74">
        <v>12</v>
      </c>
      <c r="M74">
        <f>IF(Table2[[#This Row],[Num_Month]]&lt;&gt;12,12,Table2[[#This Row],[Num_Month]])</f>
        <v>12</v>
      </c>
      <c r="N74">
        <f>IF(Table2[[#This Row],[Monthly_Salary]]="","",Table2[[#This Row],[Monthly_Salary]]*Table2[[#This Row],[Num_Month_Final]])</f>
        <v>936000</v>
      </c>
      <c r="O74">
        <v>7</v>
      </c>
      <c r="P74">
        <f>IF(Table2[[#This Row],[Exp_Years]]&lt;0,ABS(Table2[[#This Row],[Exp_Years]]),Table2[[#This Row],[Exp_Years]])</f>
        <v>7</v>
      </c>
      <c r="Q74">
        <v>1</v>
      </c>
      <c r="S74" t="str">
        <f>IF(Table2[[#This Row],[Performance_Rating]]&gt;=3,Table2[[#This Row],[Monthly_Salary]]*0.3,"")</f>
        <v/>
      </c>
      <c r="T74">
        <v>87</v>
      </c>
      <c r="U74">
        <v>15</v>
      </c>
      <c r="V74">
        <v>5</v>
      </c>
      <c r="W74" t="s">
        <v>37</v>
      </c>
      <c r="X74" t="s">
        <v>19</v>
      </c>
      <c r="Y74" t="str">
        <f>IF(Table2[[#This Row],[Work_Mode]]&lt;&gt;"",Table2[[#This Row],[Work_Mode]],
IF(ISNUMBER(SEARCH("India",Table2[[#This Row],[Emp_Name]])),"Office",
IF(ISNUMBER(SEARCH("Foreign",Table2[[#This Row],[Emp_Name]])),"Remote","")))</f>
        <v>Office</v>
      </c>
      <c r="Z74">
        <v>10</v>
      </c>
      <c r="AA7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74" t="s">
        <v>39</v>
      </c>
      <c r="AC74" t="str">
        <f>IF(COUNTIF(Table2[Emp_ID],Table2[[#This Row],[Emp_ID]])&gt;1,"Duplicate","Unique")</f>
        <v>Unique</v>
      </c>
      <c r="AE74" s="2"/>
      <c r="AG74" t="str">
        <f>IF(Table2[[#This Row],[Monthly_Salary]]="","Exclude",
IF(Table2[[#This Row],[Row_Status]]="Mismatch","Exclude",
IF(AND(Table2[[#This Row],[Row_Status]]="Exact Duplicate",
COUNTIFS(Table2[Emp_ID],Table2[[#This Row],[Emp_ID]],Table2[Row_Concat],Table2[[#This Row],[Row_Concat]],
Table2[Row_Number],"&lt;"&amp;Table2[[#This Row],[Row_Number]])&gt;=1),"Delete","")))</f>
        <v/>
      </c>
      <c r="AH74" t="str">
        <f>VLOOKUP(Table2[[#This Row],[Department]],Raw_2!A:B,2,0)</f>
        <v>Night</v>
      </c>
      <c r="AI74">
        <f>VLOOKUP(Table2[[#This Row],[Department]],Raw_2!A:C,3,0)</f>
        <v>13</v>
      </c>
    </row>
    <row r="75" spans="1:35">
      <c r="A75" t="s">
        <v>195</v>
      </c>
      <c r="B75" t="s">
        <v>196</v>
      </c>
      <c r="C75">
        <v>25</v>
      </c>
      <c r="E75" t="str">
        <f>IF(OR(Table2[[#This Row],[Gender]]="Male",Table2[[#This Row],[Gender]]="M"),"M",
IF(OR(Table2[[#This Row],[Gender]]="Female",Table2[[#This Row],[Gender]]="F"),"F",""))</f>
        <v/>
      </c>
      <c r="F75" t="s">
        <v>47</v>
      </c>
      <c r="G75" t="s">
        <v>18</v>
      </c>
      <c r="H75" t="s">
        <v>51</v>
      </c>
      <c r="I75" t="s">
        <v>1060</v>
      </c>
      <c r="J75" t="str">
        <f>IF(ISNUMBER(SEARCH("India",Table2[[#This Row],[Emp_Name]])),"INR",
IF(ISNUMBER(SEARCH("Foreign",Table2[[#This Row],[Emp_Name]])),Table2[[#This Row],[Currency]],Table2[[#This Row],[Currency]]))</f>
        <v>INR</v>
      </c>
      <c r="K75">
        <v>38000</v>
      </c>
      <c r="L75">
        <v>12</v>
      </c>
      <c r="M75">
        <f>IF(Table2[[#This Row],[Num_Month]]&lt;&gt;12,12,Table2[[#This Row],[Num_Month]])</f>
        <v>12</v>
      </c>
      <c r="N75">
        <f>IF(Table2[[#This Row],[Monthly_Salary]]="","",Table2[[#This Row],[Monthly_Salary]]*Table2[[#This Row],[Num_Month_Final]])</f>
        <v>456000</v>
      </c>
      <c r="O75">
        <v>2</v>
      </c>
      <c r="P75">
        <f>IF(Table2[[#This Row],[Exp_Years]]&lt;0,ABS(Table2[[#This Row],[Exp_Years]]),Table2[[#This Row],[Exp_Years]])</f>
        <v>2</v>
      </c>
      <c r="Q75">
        <v>4</v>
      </c>
      <c r="R75">
        <v>10000</v>
      </c>
      <c r="S75">
        <f>IF(Table2[[#This Row],[Performance_Rating]]&gt;=3,Table2[[#This Row],[Monthly_Salary]]*0.3,"")</f>
        <v>11400</v>
      </c>
      <c r="T75">
        <v>85</v>
      </c>
      <c r="U75">
        <v>5</v>
      </c>
      <c r="V75">
        <v>2</v>
      </c>
      <c r="W75" t="s">
        <v>37</v>
      </c>
      <c r="X75" t="s">
        <v>38</v>
      </c>
      <c r="Y75" t="str">
        <f>IF(Table2[[#This Row],[Work_Mode]]&lt;&gt;"",Table2[[#This Row],[Work_Mode]],
IF(ISNUMBER(SEARCH("India",Table2[[#This Row],[Emp_Name]])),"Office",
IF(ISNUMBER(SEARCH("Foreign",Table2[[#This Row],[Emp_Name]])),"Remote","")))</f>
        <v>Hybrid</v>
      </c>
      <c r="Z75">
        <v>10</v>
      </c>
      <c r="AA7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75" t="s">
        <v>22</v>
      </c>
      <c r="AC75" t="str">
        <f>IF(COUNTIF(Table2[Emp_ID],Table2[[#This Row],[Emp_ID]])&gt;1,"Duplicate","Unique")</f>
        <v>Unique</v>
      </c>
      <c r="AE75" s="2"/>
      <c r="AG75" t="str">
        <f>IF(Table2[[#This Row],[Monthly_Salary]]="","Exclude",
IF(Table2[[#This Row],[Row_Status]]="Mismatch","Exclude",
IF(AND(Table2[[#This Row],[Row_Status]]="Exact Duplicate",
COUNTIFS(Table2[Emp_ID],Table2[[#This Row],[Emp_ID]],Table2[Row_Concat],Table2[[#This Row],[Row_Concat]],
Table2[Row_Number],"&lt;"&amp;Table2[[#This Row],[Row_Number]])&gt;=1),"Delete","")))</f>
        <v/>
      </c>
      <c r="AH75" t="str">
        <f>VLOOKUP(Table2[[#This Row],[Department]],Raw_2!A:B,2,0)</f>
        <v>Day</v>
      </c>
      <c r="AI75">
        <f>VLOOKUP(Table2[[#This Row],[Department]],Raw_2!A:C,3,0)</f>
        <v>10</v>
      </c>
    </row>
    <row r="76" spans="1:35">
      <c r="A76" t="s">
        <v>197</v>
      </c>
      <c r="B76" t="s">
        <v>198</v>
      </c>
      <c r="C76">
        <v>33</v>
      </c>
      <c r="D76" t="s">
        <v>16</v>
      </c>
      <c r="E76" t="str">
        <f>IF(OR(Table2[[#This Row],[Gender]]="Male",Table2[[#This Row],[Gender]]="M"),"M",
IF(OR(Table2[[#This Row],[Gender]]="Female",Table2[[#This Row],[Gender]]="F"),"F",""))</f>
        <v>M</v>
      </c>
      <c r="G76" t="s">
        <v>27</v>
      </c>
      <c r="H76" t="s">
        <v>32</v>
      </c>
      <c r="I76" t="s">
        <v>1060</v>
      </c>
      <c r="J76" t="str">
        <f>IF(ISNUMBER(SEARCH("India",Table2[[#This Row],[Emp_Name]])),"INR",
IF(ISNUMBER(SEARCH("Foreign",Table2[[#This Row],[Emp_Name]])),Table2[[#This Row],[Currency]],Table2[[#This Row],[Currency]]))</f>
        <v>INR</v>
      </c>
      <c r="K76">
        <v>94500</v>
      </c>
      <c r="L76">
        <v>12</v>
      </c>
      <c r="M76">
        <f>IF(Table2[[#This Row],[Num_Month]]&lt;&gt;12,12,Table2[[#This Row],[Num_Month]])</f>
        <v>12</v>
      </c>
      <c r="N76">
        <f>IF(Table2[[#This Row],[Monthly_Salary]]="","",Table2[[#This Row],[Monthly_Salary]]*Table2[[#This Row],[Num_Month_Final]])</f>
        <v>1134000</v>
      </c>
      <c r="O76">
        <v>9</v>
      </c>
      <c r="P76">
        <f>IF(Table2[[#This Row],[Exp_Years]]&lt;0,ABS(Table2[[#This Row],[Exp_Years]]),Table2[[#This Row],[Exp_Years]])</f>
        <v>9</v>
      </c>
      <c r="Q76">
        <v>5</v>
      </c>
      <c r="R76">
        <v>28381</v>
      </c>
      <c r="S76">
        <f>IF(Table2[[#This Row],[Performance_Rating]]&gt;=3,Table2[[#This Row],[Monthly_Salary]]*0.3,"")</f>
        <v>28350</v>
      </c>
      <c r="T76">
        <v>90</v>
      </c>
      <c r="U76">
        <v>5</v>
      </c>
      <c r="V76">
        <v>5</v>
      </c>
      <c r="W76" t="s">
        <v>21</v>
      </c>
      <c r="X76" t="s">
        <v>38</v>
      </c>
      <c r="Y76" t="str">
        <f>IF(Table2[[#This Row],[Work_Mode]]&lt;&gt;"",Table2[[#This Row],[Work_Mode]],
IF(ISNUMBER(SEARCH("India",Table2[[#This Row],[Emp_Name]])),"Office",
IF(ISNUMBER(SEARCH("Foreign",Table2[[#This Row],[Emp_Name]])),"Remote","")))</f>
        <v>Hybrid</v>
      </c>
      <c r="AA7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76" t="s">
        <v>58</v>
      </c>
      <c r="AC76" t="str">
        <f>IF(COUNTIF(Table2[Emp_ID],Table2[[#This Row],[Emp_ID]])&gt;1,"Duplicate","Unique")</f>
        <v>Unique</v>
      </c>
      <c r="AE76" s="2"/>
      <c r="AG76" t="str">
        <f>IF(Table2[[#This Row],[Monthly_Salary]]="","Exclude",
IF(Table2[[#This Row],[Row_Status]]="Mismatch","Exclude",
IF(AND(Table2[[#This Row],[Row_Status]]="Exact Duplicate",
COUNTIFS(Table2[Emp_ID],Table2[[#This Row],[Emp_ID]],Table2[Row_Concat],Table2[[#This Row],[Row_Concat]],
Table2[Row_Number],"&lt;"&amp;Table2[[#This Row],[Row_Number]])&gt;=1),"Delete","")))</f>
        <v/>
      </c>
      <c r="AH76" t="str">
        <f>VLOOKUP(Table2[[#This Row],[Department]],Raw_2!A:B,2,0)</f>
        <v>Day</v>
      </c>
      <c r="AI76">
        <f>VLOOKUP(Table2[[#This Row],[Department]],Raw_2!A:C,3,0)</f>
        <v>12</v>
      </c>
    </row>
    <row r="77" spans="1:35">
      <c r="A77" t="s">
        <v>199</v>
      </c>
      <c r="B77" t="s">
        <v>200</v>
      </c>
      <c r="C77">
        <v>25</v>
      </c>
      <c r="E77" t="str">
        <f>IF(OR(Table2[[#This Row],[Gender]]="Male",Table2[[#This Row],[Gender]]="M"),"M",
IF(OR(Table2[[#This Row],[Gender]]="Female",Table2[[#This Row],[Gender]]="F"),"F",""))</f>
        <v/>
      </c>
      <c r="F77" t="s">
        <v>26</v>
      </c>
      <c r="G77" t="s">
        <v>18</v>
      </c>
      <c r="H77" t="s">
        <v>51</v>
      </c>
      <c r="I77" t="s">
        <v>1059</v>
      </c>
      <c r="J77" t="str">
        <f>IF(ISNUMBER(SEARCH("India",Table2[[#This Row],[Emp_Name]])),"INR",
IF(ISNUMBER(SEARCH("Foreign",Table2[[#This Row],[Emp_Name]])),Table2[[#This Row],[Currency]],Table2[[#This Row],[Currency]]))</f>
        <v>USD</v>
      </c>
      <c r="K77">
        <v>48000</v>
      </c>
      <c r="L77">
        <v>12</v>
      </c>
      <c r="M77">
        <f>IF(Table2[[#This Row],[Num_Month]]&lt;&gt;12,12,Table2[[#This Row],[Num_Month]])</f>
        <v>12</v>
      </c>
      <c r="N77">
        <f>IF(Table2[[#This Row],[Monthly_Salary]]="","",Table2[[#This Row],[Monthly_Salary]]*Table2[[#This Row],[Num_Month_Final]])</f>
        <v>576000</v>
      </c>
      <c r="O77">
        <v>4</v>
      </c>
      <c r="P77">
        <f>IF(Table2[[#This Row],[Exp_Years]]&lt;0,ABS(Table2[[#This Row],[Exp_Years]]),Table2[[#This Row],[Exp_Years]])</f>
        <v>4</v>
      </c>
      <c r="Q77">
        <v>1</v>
      </c>
      <c r="S77" t="str">
        <f>IF(Table2[[#This Row],[Performance_Rating]]&gt;=3,Table2[[#This Row],[Monthly_Salary]]*0.3,"")</f>
        <v/>
      </c>
      <c r="T77">
        <v>95</v>
      </c>
      <c r="U77">
        <v>5</v>
      </c>
      <c r="V77">
        <v>1</v>
      </c>
      <c r="W77" t="s">
        <v>37</v>
      </c>
      <c r="X77" t="s">
        <v>28</v>
      </c>
      <c r="Y77" t="str">
        <f>IF(Table2[[#This Row],[Work_Mode]]&lt;&gt;"",Table2[[#This Row],[Work_Mode]],
IF(ISNUMBER(SEARCH("India",Table2[[#This Row],[Emp_Name]])),"Office",
IF(ISNUMBER(SEARCH("Foreign",Table2[[#This Row],[Emp_Name]])),"Remote","")))</f>
        <v>Remote</v>
      </c>
      <c r="Z77">
        <v>10</v>
      </c>
      <c r="AA7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77" t="s">
        <v>39</v>
      </c>
      <c r="AC77" t="str">
        <f>IF(COUNTIF(Table2[Emp_ID],Table2[[#This Row],[Emp_ID]])&gt;1,"Duplicate","Unique")</f>
        <v>Unique</v>
      </c>
      <c r="AE77" s="2"/>
      <c r="AG77" t="str">
        <f>IF(Table2[[#This Row],[Monthly_Salary]]="","Exclude",
IF(Table2[[#This Row],[Row_Status]]="Mismatch","Exclude",
IF(AND(Table2[[#This Row],[Row_Status]]="Exact Duplicate",
COUNTIFS(Table2[Emp_ID],Table2[[#This Row],[Emp_ID]],Table2[Row_Concat],Table2[[#This Row],[Row_Concat]],
Table2[Row_Number],"&lt;"&amp;Table2[[#This Row],[Row_Number]])&gt;=1),"Delete","")))</f>
        <v/>
      </c>
      <c r="AH77" t="str">
        <f>VLOOKUP(Table2[[#This Row],[Department]],Raw_2!A:B,2,0)</f>
        <v>Day</v>
      </c>
      <c r="AI77">
        <f>VLOOKUP(Table2[[#This Row],[Department]],Raw_2!A:C,3,0)</f>
        <v>10</v>
      </c>
    </row>
    <row r="78" spans="1:35">
      <c r="A78" t="s">
        <v>201</v>
      </c>
      <c r="B78" t="s">
        <v>202</v>
      </c>
      <c r="C78">
        <v>25</v>
      </c>
      <c r="D78" t="s">
        <v>34</v>
      </c>
      <c r="E78" t="str">
        <f>IF(OR(Table2[[#This Row],[Gender]]="Male",Table2[[#This Row],[Gender]]="M"),"M",
IF(OR(Table2[[#This Row],[Gender]]="Female",Table2[[#This Row],[Gender]]="F"),"F",""))</f>
        <v>F</v>
      </c>
      <c r="F78" t="s">
        <v>35</v>
      </c>
      <c r="G78" t="s">
        <v>66</v>
      </c>
      <c r="H78" t="s">
        <v>51</v>
      </c>
      <c r="I78" t="s">
        <v>1060</v>
      </c>
      <c r="J78" t="str">
        <f>IF(ISNUMBER(SEARCH("India",Table2[[#This Row],[Emp_Name]])),"INR",
IF(ISNUMBER(SEARCH("Foreign",Table2[[#This Row],[Emp_Name]])),Table2[[#This Row],[Currency]],Table2[[#This Row],[Currency]]))</f>
        <v>INR</v>
      </c>
      <c r="K78">
        <v>45000</v>
      </c>
      <c r="L78">
        <v>12</v>
      </c>
      <c r="M78">
        <f>IF(Table2[[#This Row],[Num_Month]]&lt;&gt;12,12,Table2[[#This Row],[Num_Month]])</f>
        <v>12</v>
      </c>
      <c r="N78">
        <f>IF(Table2[[#This Row],[Monthly_Salary]]="","",Table2[[#This Row],[Monthly_Salary]]*Table2[[#This Row],[Num_Month_Final]])</f>
        <v>540000</v>
      </c>
      <c r="O78">
        <v>3</v>
      </c>
      <c r="P78">
        <f>IF(Table2[[#This Row],[Exp_Years]]&lt;0,ABS(Table2[[#This Row],[Exp_Years]]),Table2[[#This Row],[Exp_Years]])</f>
        <v>3</v>
      </c>
      <c r="Q78">
        <v>4</v>
      </c>
      <c r="R78">
        <v>10000</v>
      </c>
      <c r="S78">
        <f>IF(Table2[[#This Row],[Performance_Rating]]&gt;=3,Table2[[#This Row],[Monthly_Salary]]*0.3,"")</f>
        <v>13500</v>
      </c>
      <c r="T78">
        <v>85</v>
      </c>
      <c r="U78">
        <v>5</v>
      </c>
      <c r="V78">
        <v>8</v>
      </c>
      <c r="W78" t="s">
        <v>21</v>
      </c>
      <c r="X78" t="s">
        <v>38</v>
      </c>
      <c r="Y78" t="str">
        <f>IF(Table2[[#This Row],[Work_Mode]]&lt;&gt;"",Table2[[#This Row],[Work_Mode]],
IF(ISNUMBER(SEARCH("India",Table2[[#This Row],[Emp_Name]])),"Office",
IF(ISNUMBER(SEARCH("Foreign",Table2[[#This Row],[Emp_Name]])),"Remote","")))</f>
        <v>Hybrid</v>
      </c>
      <c r="Z78">
        <v>5</v>
      </c>
      <c r="AA7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78" t="s">
        <v>22</v>
      </c>
      <c r="AC78" t="str">
        <f>IF(COUNTIF(Table2[Emp_ID],Table2[[#This Row],[Emp_ID]])&gt;1,"Duplicate","Unique")</f>
        <v>Unique</v>
      </c>
      <c r="AE78" s="2"/>
      <c r="AG78" t="str">
        <f>IF(Table2[[#This Row],[Monthly_Salary]]="","Exclude",
IF(Table2[[#This Row],[Row_Status]]="Mismatch","Exclude",
IF(AND(Table2[[#This Row],[Row_Status]]="Exact Duplicate",
COUNTIFS(Table2[Emp_ID],Table2[[#This Row],[Emp_ID]],Table2[Row_Concat],Table2[[#This Row],[Row_Concat]],
Table2[Row_Number],"&lt;"&amp;Table2[[#This Row],[Row_Number]])&gt;=1),"Delete","")))</f>
        <v/>
      </c>
      <c r="AH78" t="str">
        <f>VLOOKUP(Table2[[#This Row],[Department]],Raw_2!A:B,2,0)</f>
        <v>Night</v>
      </c>
      <c r="AI78">
        <f>VLOOKUP(Table2[[#This Row],[Department]],Raw_2!A:C,3,0)</f>
        <v>20</v>
      </c>
    </row>
    <row r="79" spans="1:35">
      <c r="A79" t="s">
        <v>203</v>
      </c>
      <c r="B79" t="s">
        <v>204</v>
      </c>
      <c r="C79">
        <v>27</v>
      </c>
      <c r="E79" t="str">
        <f>IF(OR(Table2[[#This Row],[Gender]]="Male",Table2[[#This Row],[Gender]]="M"),"M",
IF(OR(Table2[[#This Row],[Gender]]="Female",Table2[[#This Row],[Gender]]="F"),"F",""))</f>
        <v/>
      </c>
      <c r="F79" t="s">
        <v>50</v>
      </c>
      <c r="G79" t="s">
        <v>31</v>
      </c>
      <c r="H79" t="s">
        <v>51</v>
      </c>
      <c r="I79" t="s">
        <v>1060</v>
      </c>
      <c r="J79" t="str">
        <f>IF(ISNUMBER(SEARCH("India",Table2[[#This Row],[Emp_Name]])),"INR",
IF(ISNUMBER(SEARCH("Foreign",Table2[[#This Row],[Emp_Name]])),Table2[[#This Row],[Currency]],Table2[[#This Row],[Currency]]))</f>
        <v>INR</v>
      </c>
      <c r="K79">
        <v>37000</v>
      </c>
      <c r="L79">
        <v>12</v>
      </c>
      <c r="M79">
        <f>IF(Table2[[#This Row],[Num_Month]]&lt;&gt;12,12,Table2[[#This Row],[Num_Month]])</f>
        <v>12</v>
      </c>
      <c r="N79">
        <f>IF(Table2[[#This Row],[Monthly_Salary]]="","",Table2[[#This Row],[Monthly_Salary]]*Table2[[#This Row],[Num_Month_Final]])</f>
        <v>444000</v>
      </c>
      <c r="O79">
        <v>2</v>
      </c>
      <c r="P79">
        <f>IF(Table2[[#This Row],[Exp_Years]]&lt;0,ABS(Table2[[#This Row],[Exp_Years]]),Table2[[#This Row],[Exp_Years]])</f>
        <v>2</v>
      </c>
      <c r="Q79">
        <v>1</v>
      </c>
      <c r="S79" t="str">
        <f>IF(Table2[[#This Row],[Performance_Rating]]&gt;=3,Table2[[#This Row],[Monthly_Salary]]*0.3,"")</f>
        <v/>
      </c>
      <c r="T79">
        <v>85</v>
      </c>
      <c r="U79">
        <v>7</v>
      </c>
      <c r="V79">
        <v>13</v>
      </c>
      <c r="W79" t="s">
        <v>21</v>
      </c>
      <c r="X79" t="s">
        <v>38</v>
      </c>
      <c r="Y79" t="str">
        <f>IF(Table2[[#This Row],[Work_Mode]]&lt;&gt;"",Table2[[#This Row],[Work_Mode]],
IF(ISNUMBER(SEARCH("India",Table2[[#This Row],[Emp_Name]])),"Office",
IF(ISNUMBER(SEARCH("Foreign",Table2[[#This Row],[Emp_Name]])),"Remote","")))</f>
        <v>Hybrid</v>
      </c>
      <c r="Z79">
        <v>10</v>
      </c>
      <c r="AA7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79" t="s">
        <v>39</v>
      </c>
      <c r="AC79" t="str">
        <f>IF(COUNTIF(Table2[Emp_ID],Table2[[#This Row],[Emp_ID]])&gt;1,"Duplicate","Unique")</f>
        <v>Unique</v>
      </c>
      <c r="AE79" s="2"/>
      <c r="AG79" t="str">
        <f>IF(Table2[[#This Row],[Monthly_Salary]]="","Exclude",
IF(Table2[[#This Row],[Row_Status]]="Mismatch","Exclude",
IF(AND(Table2[[#This Row],[Row_Status]]="Exact Duplicate",
COUNTIFS(Table2[Emp_ID],Table2[[#This Row],[Emp_ID]],Table2[Row_Concat],Table2[[#This Row],[Row_Concat]],
Table2[Row_Number],"&lt;"&amp;Table2[[#This Row],[Row_Number]])&gt;=1),"Delete","")))</f>
        <v/>
      </c>
      <c r="AH79" t="str">
        <f>VLOOKUP(Table2[[#This Row],[Department]],Raw_2!A:B,2,0)</f>
        <v>Night</v>
      </c>
      <c r="AI79">
        <f>VLOOKUP(Table2[[#This Row],[Department]],Raw_2!A:C,3,0)</f>
        <v>13</v>
      </c>
    </row>
    <row r="80" spans="1:35">
      <c r="A80" t="s">
        <v>205</v>
      </c>
      <c r="B80" t="s">
        <v>206</v>
      </c>
      <c r="C80">
        <v>26</v>
      </c>
      <c r="D80" t="s">
        <v>46</v>
      </c>
      <c r="E80" t="str">
        <f>IF(OR(Table2[[#This Row],[Gender]]="Male",Table2[[#This Row],[Gender]]="M"),"M",
IF(OR(Table2[[#This Row],[Gender]]="Female",Table2[[#This Row],[Gender]]="F"),"F",""))</f>
        <v>M</v>
      </c>
      <c r="F80" t="s">
        <v>17</v>
      </c>
      <c r="G80" t="s">
        <v>18</v>
      </c>
      <c r="H80" t="s">
        <v>51</v>
      </c>
      <c r="I80" t="s">
        <v>1060</v>
      </c>
      <c r="J80" t="str">
        <f>IF(ISNUMBER(SEARCH("India",Table2[[#This Row],[Emp_Name]])),"INR",
IF(ISNUMBER(SEARCH("Foreign",Table2[[#This Row],[Emp_Name]])),Table2[[#This Row],[Currency]],Table2[[#This Row],[Currency]]))</f>
        <v>INR</v>
      </c>
      <c r="K80">
        <v>45000</v>
      </c>
      <c r="L80">
        <v>12</v>
      </c>
      <c r="M80">
        <f>IF(Table2[[#This Row],[Num_Month]]&lt;&gt;12,12,Table2[[#This Row],[Num_Month]])</f>
        <v>12</v>
      </c>
      <c r="N80">
        <f>IF(Table2[[#This Row],[Monthly_Salary]]="","",Table2[[#This Row],[Monthly_Salary]]*Table2[[#This Row],[Num_Month_Final]])</f>
        <v>540000</v>
      </c>
      <c r="O80">
        <v>3</v>
      </c>
      <c r="P80">
        <f>IF(Table2[[#This Row],[Exp_Years]]&lt;0,ABS(Table2[[#This Row],[Exp_Years]]),Table2[[#This Row],[Exp_Years]])</f>
        <v>3</v>
      </c>
      <c r="Q80">
        <v>4</v>
      </c>
      <c r="R80">
        <v>15000</v>
      </c>
      <c r="S80">
        <f>IF(Table2[[#This Row],[Performance_Rating]]&gt;=3,Table2[[#This Row],[Monthly_Salary]]*0.3,"")</f>
        <v>13500</v>
      </c>
      <c r="T80">
        <v>90</v>
      </c>
      <c r="U80">
        <v>7</v>
      </c>
      <c r="V80">
        <v>2</v>
      </c>
      <c r="W80" t="s">
        <v>21</v>
      </c>
      <c r="X80" t="s">
        <v>38</v>
      </c>
      <c r="Y80" t="str">
        <f>IF(Table2[[#This Row],[Work_Mode]]&lt;&gt;"",Table2[[#This Row],[Work_Mode]],
IF(ISNUMBER(SEARCH("India",Table2[[#This Row],[Emp_Name]])),"Office",
IF(ISNUMBER(SEARCH("Foreign",Table2[[#This Row],[Emp_Name]])),"Remote","")))</f>
        <v>Hybrid</v>
      </c>
      <c r="AA8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80" t="s">
        <v>22</v>
      </c>
      <c r="AC80" t="str">
        <f>IF(COUNTIF(Table2[Emp_ID],Table2[[#This Row],[Emp_ID]])&gt;1,"Duplicate","Unique")</f>
        <v>Unique</v>
      </c>
      <c r="AE80" s="2"/>
      <c r="AG80" t="str">
        <f>IF(Table2[[#This Row],[Monthly_Salary]]="","Exclude",
IF(Table2[[#This Row],[Row_Status]]="Mismatch","Exclude",
IF(AND(Table2[[#This Row],[Row_Status]]="Exact Duplicate",
COUNTIFS(Table2[Emp_ID],Table2[[#This Row],[Emp_ID]],Table2[Row_Concat],Table2[[#This Row],[Row_Concat]],
Table2[Row_Number],"&lt;"&amp;Table2[[#This Row],[Row_Number]])&gt;=1),"Delete","")))</f>
        <v/>
      </c>
      <c r="AH80" t="str">
        <f>VLOOKUP(Table2[[#This Row],[Department]],Raw_2!A:B,2,0)</f>
        <v>Day</v>
      </c>
      <c r="AI80">
        <f>VLOOKUP(Table2[[#This Row],[Department]],Raw_2!A:C,3,0)</f>
        <v>10</v>
      </c>
    </row>
    <row r="81" spans="1:35">
      <c r="A81" t="s">
        <v>207</v>
      </c>
      <c r="B81" t="s">
        <v>208</v>
      </c>
      <c r="C81">
        <v>33</v>
      </c>
      <c r="D81" t="s">
        <v>46</v>
      </c>
      <c r="E81" t="str">
        <f>IF(OR(Table2[[#This Row],[Gender]]="Male",Table2[[#This Row],[Gender]]="M"),"M",
IF(OR(Table2[[#This Row],[Gender]]="Female",Table2[[#This Row],[Gender]]="F"),"F",""))</f>
        <v>M</v>
      </c>
      <c r="G81" t="s">
        <v>27</v>
      </c>
      <c r="H81" t="s">
        <v>32</v>
      </c>
      <c r="I81" t="s">
        <v>1060</v>
      </c>
      <c r="J81" t="str">
        <f>IF(ISNUMBER(SEARCH("India",Table2[[#This Row],[Emp_Name]])),"INR",
IF(ISNUMBER(SEARCH("Foreign",Table2[[#This Row],[Emp_Name]])),Table2[[#This Row],[Currency]],Table2[[#This Row],[Currency]]))</f>
        <v>INR</v>
      </c>
      <c r="K81">
        <v>90000</v>
      </c>
      <c r="L81">
        <v>12</v>
      </c>
      <c r="M81">
        <f>IF(Table2[[#This Row],[Num_Month]]&lt;&gt;12,12,Table2[[#This Row],[Num_Month]])</f>
        <v>12</v>
      </c>
      <c r="N81">
        <f>IF(Table2[[#This Row],[Monthly_Salary]]="","",Table2[[#This Row],[Monthly_Salary]]*Table2[[#This Row],[Num_Month_Final]])</f>
        <v>1080000</v>
      </c>
      <c r="O81">
        <v>12</v>
      </c>
      <c r="P81">
        <f>IF(Table2[[#This Row],[Exp_Years]]&lt;0,ABS(Table2[[#This Row],[Exp_Years]]),Table2[[#This Row],[Exp_Years]])</f>
        <v>12</v>
      </c>
      <c r="Q81">
        <v>2</v>
      </c>
      <c r="S81" t="str">
        <f>IF(Table2[[#This Row],[Performance_Rating]]&gt;=3,Table2[[#This Row],[Monthly_Salary]]*0.3,"")</f>
        <v/>
      </c>
      <c r="T81">
        <v>85</v>
      </c>
      <c r="U81">
        <v>7</v>
      </c>
      <c r="V81">
        <v>2</v>
      </c>
      <c r="X81" t="s">
        <v>38</v>
      </c>
      <c r="Y81" t="str">
        <f>IF(Table2[[#This Row],[Work_Mode]]&lt;&gt;"",Table2[[#This Row],[Work_Mode]],
IF(ISNUMBER(SEARCH("India",Table2[[#This Row],[Emp_Name]])),"Office",
IF(ISNUMBER(SEARCH("Foreign",Table2[[#This Row],[Emp_Name]])),"Remote","")))</f>
        <v>Hybrid</v>
      </c>
      <c r="Z81">
        <v>5</v>
      </c>
      <c r="AA8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1750</v>
      </c>
      <c r="AB81" t="s">
        <v>39</v>
      </c>
      <c r="AC81" t="str">
        <f>IF(COUNTIF(Table2[Emp_ID],Table2[[#This Row],[Emp_ID]])&gt;1,"Duplicate","Unique")</f>
        <v>Unique</v>
      </c>
      <c r="AE81" s="2"/>
      <c r="AG81" t="str">
        <f>IF(Table2[[#This Row],[Monthly_Salary]]="","Exclude",
IF(Table2[[#This Row],[Row_Status]]="Mismatch","Exclude",
IF(AND(Table2[[#This Row],[Row_Status]]="Exact Duplicate",
COUNTIFS(Table2[Emp_ID],Table2[[#This Row],[Emp_ID]],Table2[Row_Concat],Table2[[#This Row],[Row_Concat]],
Table2[Row_Number],"&lt;"&amp;Table2[[#This Row],[Row_Number]])&gt;=1),"Delete","")))</f>
        <v/>
      </c>
      <c r="AH81" t="str">
        <f>VLOOKUP(Table2[[#This Row],[Department]],Raw_2!A:B,2,0)</f>
        <v>Day</v>
      </c>
      <c r="AI81">
        <f>VLOOKUP(Table2[[#This Row],[Department]],Raw_2!A:C,3,0)</f>
        <v>12</v>
      </c>
    </row>
    <row r="82" spans="1:35">
      <c r="A82" t="s">
        <v>209</v>
      </c>
      <c r="B82" t="s">
        <v>210</v>
      </c>
      <c r="C82">
        <v>27</v>
      </c>
      <c r="D82" t="s">
        <v>16</v>
      </c>
      <c r="E82" t="str">
        <f>IF(OR(Table2[[#This Row],[Gender]]="Male",Table2[[#This Row],[Gender]]="M"),"M",
IF(OR(Table2[[#This Row],[Gender]]="Female",Table2[[#This Row],[Gender]]="F"),"F",""))</f>
        <v>M</v>
      </c>
      <c r="F82" t="s">
        <v>17</v>
      </c>
      <c r="G82" t="s">
        <v>42</v>
      </c>
      <c r="H82" t="s">
        <v>51</v>
      </c>
      <c r="I82" t="s">
        <v>1059</v>
      </c>
      <c r="J82" t="str">
        <f>IF(ISNUMBER(SEARCH("India",Table2[[#This Row],[Emp_Name]])),"INR",
IF(ISNUMBER(SEARCH("Foreign",Table2[[#This Row],[Emp_Name]])),Table2[[#This Row],[Currency]],Table2[[#This Row],[Currency]]))</f>
        <v>USD</v>
      </c>
      <c r="K82">
        <v>37000</v>
      </c>
      <c r="L82">
        <v>12</v>
      </c>
      <c r="M82">
        <f>IF(Table2[[#This Row],[Num_Month]]&lt;&gt;12,12,Table2[[#This Row],[Num_Month]])</f>
        <v>12</v>
      </c>
      <c r="N82">
        <f>IF(Table2[[#This Row],[Monthly_Salary]]="","",Table2[[#This Row],[Monthly_Salary]]*Table2[[#This Row],[Num_Month_Final]])</f>
        <v>444000</v>
      </c>
      <c r="O82">
        <v>2</v>
      </c>
      <c r="P82">
        <f>IF(Table2[[#This Row],[Exp_Years]]&lt;0,ABS(Table2[[#This Row],[Exp_Years]]),Table2[[#This Row],[Exp_Years]])</f>
        <v>2</v>
      </c>
      <c r="Q82">
        <v>3</v>
      </c>
      <c r="R82">
        <v>8000</v>
      </c>
      <c r="S82">
        <f>IF(Table2[[#This Row],[Performance_Rating]]&gt;=3,Table2[[#This Row],[Monthly_Salary]]*0.3,"")</f>
        <v>11100</v>
      </c>
      <c r="T82">
        <v>90</v>
      </c>
      <c r="U82">
        <v>7</v>
      </c>
      <c r="V82">
        <v>6</v>
      </c>
      <c r="X82" t="s">
        <v>28</v>
      </c>
      <c r="Y82" t="str">
        <f>IF(Table2[[#This Row],[Work_Mode]]&lt;&gt;"",Table2[[#This Row],[Work_Mode]],
IF(ISNUMBER(SEARCH("India",Table2[[#This Row],[Emp_Name]])),"Office",
IF(ISNUMBER(SEARCH("Foreign",Table2[[#This Row],[Emp_Name]])),"Remote","")))</f>
        <v>Remote</v>
      </c>
      <c r="AA8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82" t="s">
        <v>22</v>
      </c>
      <c r="AC82" t="str">
        <f>IF(COUNTIF(Table2[Emp_ID],Table2[[#This Row],[Emp_ID]])&gt;1,"Duplicate","Unique")</f>
        <v>Unique</v>
      </c>
      <c r="AE82" s="2"/>
      <c r="AG82" t="str">
        <f>IF(Table2[[#This Row],[Monthly_Salary]]="","Exclude",
IF(Table2[[#This Row],[Row_Status]]="Mismatch","Exclude",
IF(AND(Table2[[#This Row],[Row_Status]]="Exact Duplicate",
COUNTIFS(Table2[Emp_ID],Table2[[#This Row],[Emp_ID]],Table2[Row_Concat],Table2[[#This Row],[Row_Concat]],
Table2[Row_Number],"&lt;"&amp;Table2[[#This Row],[Row_Number]])&gt;=1),"Delete","")))</f>
        <v/>
      </c>
      <c r="AH82" t="str">
        <f>VLOOKUP(Table2[[#This Row],[Department]],Raw_2!A:B,2,0)</f>
        <v>Day</v>
      </c>
      <c r="AI82">
        <f>VLOOKUP(Table2[[#This Row],[Department]],Raw_2!A:C,3,0)</f>
        <v>14</v>
      </c>
    </row>
    <row r="83" spans="1:35">
      <c r="A83" t="s">
        <v>211</v>
      </c>
      <c r="B83" t="s">
        <v>212</v>
      </c>
      <c r="C83">
        <v>19</v>
      </c>
      <c r="E83" t="str">
        <f>IF(OR(Table2[[#This Row],[Gender]]="Male",Table2[[#This Row],[Gender]]="M"),"M",
IF(OR(Table2[[#This Row],[Gender]]="Female",Table2[[#This Row],[Gender]]="F"),"F",""))</f>
        <v/>
      </c>
      <c r="F83" t="s">
        <v>35</v>
      </c>
      <c r="G83" t="s">
        <v>36</v>
      </c>
      <c r="H83" t="s">
        <v>1047</v>
      </c>
      <c r="I83" t="s">
        <v>1060</v>
      </c>
      <c r="J83" t="str">
        <f>IF(ISNUMBER(SEARCH("India",Table2[[#This Row],[Emp_Name]])),"INR",
IF(ISNUMBER(SEARCH("Foreign",Table2[[#This Row],[Emp_Name]])),Table2[[#This Row],[Currency]],Table2[[#This Row],[Currency]]))</f>
        <v>INR</v>
      </c>
      <c r="K83">
        <v>12000</v>
      </c>
      <c r="L83">
        <v>12</v>
      </c>
      <c r="M83">
        <f>IF(Table2[[#This Row],[Num_Month]]&lt;&gt;12,12,Table2[[#This Row],[Num_Month]])</f>
        <v>12</v>
      </c>
      <c r="N83">
        <f>IF(Table2[[#This Row],[Monthly_Salary]]="","",Table2[[#This Row],[Monthly_Salary]]*Table2[[#This Row],[Num_Month_Final]])</f>
        <v>144000</v>
      </c>
      <c r="O83">
        <v>0</v>
      </c>
      <c r="P83">
        <f>IF(Table2[[#This Row],[Exp_Years]]&lt;0,ABS(Table2[[#This Row],[Exp_Years]]),Table2[[#This Row],[Exp_Years]])</f>
        <v>0</v>
      </c>
      <c r="Q83">
        <v>1</v>
      </c>
      <c r="S83" t="str">
        <f>IF(Table2[[#This Row],[Performance_Rating]]&gt;=3,Table2[[#This Row],[Monthly_Salary]]*0.3,"")</f>
        <v/>
      </c>
      <c r="T83">
        <v>85</v>
      </c>
      <c r="U83">
        <v>10</v>
      </c>
      <c r="V83">
        <v>8</v>
      </c>
      <c r="W83" t="s">
        <v>21</v>
      </c>
      <c r="X83" t="s">
        <v>38</v>
      </c>
      <c r="Y83" t="str">
        <f>IF(Table2[[#This Row],[Work_Mode]]&lt;&gt;"",Table2[[#This Row],[Work_Mode]],
IF(ISNUMBER(SEARCH("India",Table2[[#This Row],[Emp_Name]])),"Office",
IF(ISNUMBER(SEARCH("Foreign",Table2[[#This Row],[Emp_Name]])),"Remote","")))</f>
        <v>Hybrid</v>
      </c>
      <c r="Z83">
        <v>5</v>
      </c>
      <c r="AA8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83" t="s">
        <v>39</v>
      </c>
      <c r="AC83" t="str">
        <f>IF(COUNTIF(Table2[Emp_ID],Table2[[#This Row],[Emp_ID]])&gt;1,"Duplicate","Unique")</f>
        <v>Unique</v>
      </c>
      <c r="AE83" s="2"/>
      <c r="AG83" t="str">
        <f>IF(Table2[[#This Row],[Monthly_Salary]]="","Exclude",
IF(Table2[[#This Row],[Row_Status]]="Mismatch","Exclude",
IF(AND(Table2[[#This Row],[Row_Status]]="Exact Duplicate",
COUNTIFS(Table2[Emp_ID],Table2[[#This Row],[Emp_ID]],Table2[Row_Concat],Table2[[#This Row],[Row_Concat]],
Table2[Row_Number],"&lt;"&amp;Table2[[#This Row],[Row_Number]])&gt;=1),"Delete","")))</f>
        <v/>
      </c>
      <c r="AH83" t="str">
        <f>VLOOKUP(Table2[[#This Row],[Department]],Raw_2!A:B,2,0)</f>
        <v>Day</v>
      </c>
      <c r="AI83">
        <f>VLOOKUP(Table2[[#This Row],[Department]],Raw_2!A:C,3,0)</f>
        <v>25</v>
      </c>
    </row>
    <row r="84" spans="1:35">
      <c r="A84" t="s">
        <v>213</v>
      </c>
      <c r="B84" t="s">
        <v>214</v>
      </c>
      <c r="C84">
        <v>27</v>
      </c>
      <c r="D84" t="s">
        <v>25</v>
      </c>
      <c r="E84" t="str">
        <f>IF(OR(Table2[[#This Row],[Gender]]="Male",Table2[[#This Row],[Gender]]="M"),"M",
IF(OR(Table2[[#This Row],[Gender]]="Female",Table2[[#This Row],[Gender]]="F"),"F",""))</f>
        <v>F</v>
      </c>
      <c r="F84" t="s">
        <v>17</v>
      </c>
      <c r="G84" t="s">
        <v>31</v>
      </c>
      <c r="H84" t="s">
        <v>1045</v>
      </c>
      <c r="I84" t="s">
        <v>1060</v>
      </c>
      <c r="J84" t="str">
        <f>IF(ISNUMBER(SEARCH("India",Table2[[#This Row],[Emp_Name]])),"INR",
IF(ISNUMBER(SEARCH("Foreign",Table2[[#This Row],[Emp_Name]])),Table2[[#This Row],[Currency]],Table2[[#This Row],[Currency]]))</f>
        <v>INR</v>
      </c>
      <c r="K84">
        <v>78000</v>
      </c>
      <c r="L84">
        <v>12</v>
      </c>
      <c r="M84">
        <f>IF(Table2[[#This Row],[Num_Month]]&lt;&gt;12,12,Table2[[#This Row],[Num_Month]])</f>
        <v>12</v>
      </c>
      <c r="N84">
        <f>IF(Table2[[#This Row],[Monthly_Salary]]="","",Table2[[#This Row],[Monthly_Salary]]*Table2[[#This Row],[Num_Month_Final]])</f>
        <v>936000</v>
      </c>
      <c r="O84">
        <v>7</v>
      </c>
      <c r="P84">
        <f>IF(Table2[[#This Row],[Exp_Years]]&lt;0,ABS(Table2[[#This Row],[Exp_Years]]),Table2[[#This Row],[Exp_Years]])</f>
        <v>7</v>
      </c>
      <c r="Q84">
        <v>2</v>
      </c>
      <c r="S84" t="str">
        <f>IF(Table2[[#This Row],[Performance_Rating]]&gt;=3,Table2[[#This Row],[Monthly_Salary]]*0.3,"")</f>
        <v/>
      </c>
      <c r="T84">
        <v>85</v>
      </c>
      <c r="U84">
        <v>7</v>
      </c>
      <c r="V84">
        <v>5</v>
      </c>
      <c r="X84" t="s">
        <v>38</v>
      </c>
      <c r="Y84" t="str">
        <f>IF(Table2[[#This Row],[Work_Mode]]&lt;&gt;"",Table2[[#This Row],[Work_Mode]],
IF(ISNUMBER(SEARCH("India",Table2[[#This Row],[Emp_Name]])),"Office",
IF(ISNUMBER(SEARCH("Foreign",Table2[[#This Row],[Emp_Name]])),"Remote","")))</f>
        <v>Hybrid</v>
      </c>
      <c r="AA8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84" t="s">
        <v>39</v>
      </c>
      <c r="AC84" t="str">
        <f>IF(COUNTIF(Table2[Emp_ID],Table2[[#This Row],[Emp_ID]])&gt;1,"Duplicate","Unique")</f>
        <v>Unique</v>
      </c>
      <c r="AE84" s="2"/>
      <c r="AG84" t="str">
        <f>IF(Table2[[#This Row],[Monthly_Salary]]="","Exclude",
IF(Table2[[#This Row],[Row_Status]]="Mismatch","Exclude",
IF(AND(Table2[[#This Row],[Row_Status]]="Exact Duplicate",
COUNTIFS(Table2[Emp_ID],Table2[[#This Row],[Emp_ID]],Table2[Row_Concat],Table2[[#This Row],[Row_Concat]],
Table2[Row_Number],"&lt;"&amp;Table2[[#This Row],[Row_Number]])&gt;=1),"Delete","")))</f>
        <v/>
      </c>
      <c r="AH84" t="str">
        <f>VLOOKUP(Table2[[#This Row],[Department]],Raw_2!A:B,2,0)</f>
        <v>Night</v>
      </c>
      <c r="AI84">
        <f>VLOOKUP(Table2[[#This Row],[Department]],Raw_2!A:C,3,0)</f>
        <v>13</v>
      </c>
    </row>
    <row r="85" spans="1:35">
      <c r="A85" t="s">
        <v>215</v>
      </c>
      <c r="B85" t="s">
        <v>216</v>
      </c>
      <c r="C85">
        <v>34</v>
      </c>
      <c r="D85" t="s">
        <v>34</v>
      </c>
      <c r="E85" t="str">
        <f>IF(OR(Table2[[#This Row],[Gender]]="Male",Table2[[#This Row],[Gender]]="M"),"M",
IF(OR(Table2[[#This Row],[Gender]]="Female",Table2[[#This Row],[Gender]]="F"),"F",""))</f>
        <v>F</v>
      </c>
      <c r="F85" t="s">
        <v>65</v>
      </c>
      <c r="G85" t="s">
        <v>42</v>
      </c>
      <c r="H85" t="s">
        <v>82</v>
      </c>
      <c r="I85" t="s">
        <v>1060</v>
      </c>
      <c r="J85" t="str">
        <f>IF(ISNUMBER(SEARCH("India",Table2[[#This Row],[Emp_Name]])),"INR",
IF(ISNUMBER(SEARCH("Foreign",Table2[[#This Row],[Emp_Name]])),Table2[[#This Row],[Currency]],Table2[[#This Row],[Currency]]))</f>
        <v>INR</v>
      </c>
      <c r="K85">
        <v>88000</v>
      </c>
      <c r="L85">
        <v>12</v>
      </c>
      <c r="M85">
        <f>IF(Table2[[#This Row],[Num_Month]]&lt;&gt;12,12,Table2[[#This Row],[Num_Month]])</f>
        <v>12</v>
      </c>
      <c r="N85">
        <f>IF(Table2[[#This Row],[Monthly_Salary]]="","",Table2[[#This Row],[Monthly_Salary]]*Table2[[#This Row],[Num_Month_Final]])</f>
        <v>1056000</v>
      </c>
      <c r="O85">
        <v>8</v>
      </c>
      <c r="P85">
        <f>IF(Table2[[#This Row],[Exp_Years]]&lt;0,ABS(Table2[[#This Row],[Exp_Years]]),Table2[[#This Row],[Exp_Years]])</f>
        <v>8</v>
      </c>
      <c r="Q85">
        <v>1</v>
      </c>
      <c r="S85" t="str">
        <f>IF(Table2[[#This Row],[Performance_Rating]]&gt;=3,Table2[[#This Row],[Monthly_Salary]]*0.3,"")</f>
        <v/>
      </c>
      <c r="T85">
        <v>85</v>
      </c>
      <c r="U85">
        <v>10</v>
      </c>
      <c r="V85">
        <v>5</v>
      </c>
      <c r="W85" t="s">
        <v>21</v>
      </c>
      <c r="X85" t="s">
        <v>38</v>
      </c>
      <c r="Y85" t="str">
        <f>IF(Table2[[#This Row],[Work_Mode]]&lt;&gt;"",Table2[[#This Row],[Work_Mode]],
IF(ISNUMBER(SEARCH("India",Table2[[#This Row],[Emp_Name]])),"Office",
IF(ISNUMBER(SEARCH("Foreign",Table2[[#This Row],[Emp_Name]])),"Remote","")))</f>
        <v>Hybrid</v>
      </c>
      <c r="Z85">
        <v>10</v>
      </c>
      <c r="AA8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3500</v>
      </c>
      <c r="AB85" t="s">
        <v>39</v>
      </c>
      <c r="AC85" t="str">
        <f>IF(COUNTIF(Table2[Emp_ID],Table2[[#This Row],[Emp_ID]])&gt;1,"Duplicate","Unique")</f>
        <v>Unique</v>
      </c>
      <c r="AE85" s="2"/>
      <c r="AG85" t="str">
        <f>IF(Table2[[#This Row],[Monthly_Salary]]="","Exclude",
IF(Table2[[#This Row],[Row_Status]]="Mismatch","Exclude",
IF(AND(Table2[[#This Row],[Row_Status]]="Exact Duplicate",
COUNTIFS(Table2[Emp_ID],Table2[[#This Row],[Emp_ID]],Table2[Row_Concat],Table2[[#This Row],[Row_Concat]],
Table2[Row_Number],"&lt;"&amp;Table2[[#This Row],[Row_Number]])&gt;=1),"Delete","")))</f>
        <v/>
      </c>
      <c r="AH85" t="str">
        <f>VLOOKUP(Table2[[#This Row],[Department]],Raw_2!A:B,2,0)</f>
        <v>Day</v>
      </c>
      <c r="AI85">
        <f>VLOOKUP(Table2[[#This Row],[Department]],Raw_2!A:C,3,0)</f>
        <v>14</v>
      </c>
    </row>
    <row r="86" spans="1:35">
      <c r="A86" t="s">
        <v>217</v>
      </c>
      <c r="B86" t="s">
        <v>218</v>
      </c>
      <c r="C86">
        <v>25</v>
      </c>
      <c r="D86" t="s">
        <v>46</v>
      </c>
      <c r="E86" t="str">
        <f>IF(OR(Table2[[#This Row],[Gender]]="Male",Table2[[#This Row],[Gender]]="M"),"M",
IF(OR(Table2[[#This Row],[Gender]]="Female",Table2[[#This Row],[Gender]]="F"),"F",""))</f>
        <v>M</v>
      </c>
      <c r="F86" t="s">
        <v>26</v>
      </c>
      <c r="G86" t="s">
        <v>18</v>
      </c>
      <c r="H86" t="s">
        <v>51</v>
      </c>
      <c r="I86" t="s">
        <v>1060</v>
      </c>
      <c r="J86" t="str">
        <f>IF(ISNUMBER(SEARCH("India",Table2[[#This Row],[Emp_Name]])),"INR",
IF(ISNUMBER(SEARCH("Foreign",Table2[[#This Row],[Emp_Name]])),Table2[[#This Row],[Currency]],Table2[[#This Row],[Currency]]))</f>
        <v>INR</v>
      </c>
      <c r="K86">
        <v>47000</v>
      </c>
      <c r="L86">
        <v>12</v>
      </c>
      <c r="M86">
        <f>IF(Table2[[#This Row],[Num_Month]]&lt;&gt;12,12,Table2[[#This Row],[Num_Month]])</f>
        <v>12</v>
      </c>
      <c r="N86">
        <f>IF(Table2[[#This Row],[Monthly_Salary]]="","",Table2[[#This Row],[Monthly_Salary]]*Table2[[#This Row],[Num_Month_Final]])</f>
        <v>564000</v>
      </c>
      <c r="O86">
        <v>3</v>
      </c>
      <c r="P86">
        <f>IF(Table2[[#This Row],[Exp_Years]]&lt;0,ABS(Table2[[#This Row],[Exp_Years]]),Table2[[#This Row],[Exp_Years]])</f>
        <v>3</v>
      </c>
      <c r="Q86">
        <v>2</v>
      </c>
      <c r="S86" t="str">
        <f>IF(Table2[[#This Row],[Performance_Rating]]&gt;=3,Table2[[#This Row],[Monthly_Salary]]*0.3,"")</f>
        <v/>
      </c>
      <c r="T86">
        <v>90</v>
      </c>
      <c r="U86">
        <v>15</v>
      </c>
      <c r="V86">
        <v>1</v>
      </c>
      <c r="X86" t="s">
        <v>38</v>
      </c>
      <c r="Y86" t="str">
        <f>IF(Table2[[#This Row],[Work_Mode]]&lt;&gt;"",Table2[[#This Row],[Work_Mode]],
IF(ISNUMBER(SEARCH("India",Table2[[#This Row],[Emp_Name]])),"Office",
IF(ISNUMBER(SEARCH("Foreign",Table2[[#This Row],[Emp_Name]])),"Remote","")))</f>
        <v>Hybrid</v>
      </c>
      <c r="Z86">
        <v>10</v>
      </c>
      <c r="AA8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86" t="s">
        <v>39</v>
      </c>
      <c r="AC86" t="str">
        <f>IF(COUNTIF(Table2[Emp_ID],Table2[[#This Row],[Emp_ID]])&gt;1,"Duplicate","Unique")</f>
        <v>Unique</v>
      </c>
      <c r="AE86" s="2"/>
      <c r="AG86" t="str">
        <f>IF(Table2[[#This Row],[Monthly_Salary]]="","Exclude",
IF(Table2[[#This Row],[Row_Status]]="Mismatch","Exclude",
IF(AND(Table2[[#This Row],[Row_Status]]="Exact Duplicate",
COUNTIFS(Table2[Emp_ID],Table2[[#This Row],[Emp_ID]],Table2[Row_Concat],Table2[[#This Row],[Row_Concat]],
Table2[Row_Number],"&lt;"&amp;Table2[[#This Row],[Row_Number]])&gt;=1),"Delete","")))</f>
        <v/>
      </c>
      <c r="AH86" t="str">
        <f>VLOOKUP(Table2[[#This Row],[Department]],Raw_2!A:B,2,0)</f>
        <v>Day</v>
      </c>
      <c r="AI86">
        <f>VLOOKUP(Table2[[#This Row],[Department]],Raw_2!A:C,3,0)</f>
        <v>10</v>
      </c>
    </row>
    <row r="87" spans="1:35">
      <c r="A87" t="s">
        <v>219</v>
      </c>
      <c r="B87" t="s">
        <v>220</v>
      </c>
      <c r="C87">
        <v>37</v>
      </c>
      <c r="D87" t="s">
        <v>34</v>
      </c>
      <c r="E87" t="str">
        <f>IF(OR(Table2[[#This Row],[Gender]]="Male",Table2[[#This Row],[Gender]]="M"),"M",
IF(OR(Table2[[#This Row],[Gender]]="Female",Table2[[#This Row],[Gender]]="F"),"F",""))</f>
        <v>F</v>
      </c>
      <c r="F87" t="s">
        <v>26</v>
      </c>
      <c r="G87" t="s">
        <v>18</v>
      </c>
      <c r="H87" t="s">
        <v>32</v>
      </c>
      <c r="I87" t="s">
        <v>1059</v>
      </c>
      <c r="J87" t="str">
        <f>IF(ISNUMBER(SEARCH("India",Table2[[#This Row],[Emp_Name]])),"INR",
IF(ISNUMBER(SEARCH("Foreign",Table2[[#This Row],[Emp_Name]])),Table2[[#This Row],[Currency]],Table2[[#This Row],[Currency]]))</f>
        <v>USD</v>
      </c>
      <c r="K87">
        <v>90000</v>
      </c>
      <c r="L87">
        <v>12</v>
      </c>
      <c r="M87">
        <f>IF(Table2[[#This Row],[Num_Month]]&lt;&gt;12,12,Table2[[#This Row],[Num_Month]])</f>
        <v>12</v>
      </c>
      <c r="N87">
        <f>IF(Table2[[#This Row],[Monthly_Salary]]="","",Table2[[#This Row],[Monthly_Salary]]*Table2[[#This Row],[Num_Month_Final]])</f>
        <v>1080000</v>
      </c>
      <c r="O87">
        <v>12</v>
      </c>
      <c r="P87">
        <f>IF(Table2[[#This Row],[Exp_Years]]&lt;0,ABS(Table2[[#This Row],[Exp_Years]]),Table2[[#This Row],[Exp_Years]])</f>
        <v>12</v>
      </c>
      <c r="Q87">
        <v>4</v>
      </c>
      <c r="R87">
        <v>43000</v>
      </c>
      <c r="S87">
        <f>IF(Table2[[#This Row],[Performance_Rating]]&gt;=3,Table2[[#This Row],[Monthly_Salary]]*0.3,"")</f>
        <v>27000</v>
      </c>
      <c r="T87">
        <v>80</v>
      </c>
      <c r="U87">
        <v>7</v>
      </c>
      <c r="V87">
        <v>2</v>
      </c>
      <c r="W87" t="s">
        <v>37</v>
      </c>
      <c r="X87" t="s">
        <v>28</v>
      </c>
      <c r="Y87" t="str">
        <f>IF(Table2[[#This Row],[Work_Mode]]&lt;&gt;"",Table2[[#This Row],[Work_Mode]],
IF(ISNUMBER(SEARCH("India",Table2[[#This Row],[Emp_Name]])),"Office",
IF(ISNUMBER(SEARCH("Foreign",Table2[[#This Row],[Emp_Name]])),"Remote","")))</f>
        <v>Remote</v>
      </c>
      <c r="Z87">
        <v>10</v>
      </c>
      <c r="AA8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3500</v>
      </c>
      <c r="AB87" t="s">
        <v>58</v>
      </c>
      <c r="AC87" t="str">
        <f>IF(COUNTIF(Table2[Emp_ID],Table2[[#This Row],[Emp_ID]])&gt;1,"Duplicate","Unique")</f>
        <v>Unique</v>
      </c>
      <c r="AE87" s="2"/>
      <c r="AG87" t="str">
        <f>IF(Table2[[#This Row],[Monthly_Salary]]="","Exclude",
IF(Table2[[#This Row],[Row_Status]]="Mismatch","Exclude",
IF(AND(Table2[[#This Row],[Row_Status]]="Exact Duplicate",
COUNTIFS(Table2[Emp_ID],Table2[[#This Row],[Emp_ID]],Table2[Row_Concat],Table2[[#This Row],[Row_Concat]],
Table2[Row_Number],"&lt;"&amp;Table2[[#This Row],[Row_Number]])&gt;=1),"Delete","")))</f>
        <v/>
      </c>
      <c r="AH87" t="str">
        <f>VLOOKUP(Table2[[#This Row],[Department]],Raw_2!A:B,2,0)</f>
        <v>Day</v>
      </c>
      <c r="AI87">
        <f>VLOOKUP(Table2[[#This Row],[Department]],Raw_2!A:C,3,0)</f>
        <v>10</v>
      </c>
    </row>
    <row r="88" spans="1:35">
      <c r="A88" t="s">
        <v>221</v>
      </c>
      <c r="B88" t="s">
        <v>222</v>
      </c>
      <c r="C88">
        <v>34</v>
      </c>
      <c r="D88" t="s">
        <v>34</v>
      </c>
      <c r="E88" t="str">
        <f>IF(OR(Table2[[#This Row],[Gender]]="Male",Table2[[#This Row],[Gender]]="M"),"M",
IF(OR(Table2[[#This Row],[Gender]]="Female",Table2[[#This Row],[Gender]]="F"),"F",""))</f>
        <v>F</v>
      </c>
      <c r="F88" t="s">
        <v>65</v>
      </c>
      <c r="G88" t="s">
        <v>36</v>
      </c>
      <c r="H88" t="s">
        <v>32</v>
      </c>
      <c r="I88" t="s">
        <v>1060</v>
      </c>
      <c r="J88" t="str">
        <f>IF(ISNUMBER(SEARCH("India",Table2[[#This Row],[Emp_Name]])),"INR",
IF(ISNUMBER(SEARCH("Foreign",Table2[[#This Row],[Emp_Name]])),Table2[[#This Row],[Currency]],Table2[[#This Row],[Currency]]))</f>
        <v>INR</v>
      </c>
      <c r="K88">
        <v>93200</v>
      </c>
      <c r="L88">
        <v>12</v>
      </c>
      <c r="M88">
        <f>IF(Table2[[#This Row],[Num_Month]]&lt;&gt;12,12,Table2[[#This Row],[Num_Month]])</f>
        <v>12</v>
      </c>
      <c r="N88">
        <f>IF(Table2[[#This Row],[Monthly_Salary]]="","",Table2[[#This Row],[Monthly_Salary]]*Table2[[#This Row],[Num_Month_Final]])</f>
        <v>1118400</v>
      </c>
      <c r="O88">
        <v>9</v>
      </c>
      <c r="P88">
        <f>IF(Table2[[#This Row],[Exp_Years]]&lt;0,ABS(Table2[[#This Row],[Exp_Years]]),Table2[[#This Row],[Exp_Years]])</f>
        <v>9</v>
      </c>
      <c r="Q88">
        <v>2</v>
      </c>
      <c r="S88" t="str">
        <f>IF(Table2[[#This Row],[Performance_Rating]]&gt;=3,Table2[[#This Row],[Monthly_Salary]]*0.3,"")</f>
        <v/>
      </c>
      <c r="T88">
        <v>80</v>
      </c>
      <c r="U88">
        <v>15</v>
      </c>
      <c r="V88">
        <v>6</v>
      </c>
      <c r="W88" t="s">
        <v>21</v>
      </c>
      <c r="X88" t="s">
        <v>38</v>
      </c>
      <c r="Y88" t="str">
        <f>IF(Table2[[#This Row],[Work_Mode]]&lt;&gt;"",Table2[[#This Row],[Work_Mode]],
IF(ISNUMBER(SEARCH("India",Table2[[#This Row],[Emp_Name]])),"Office",
IF(ISNUMBER(SEARCH("Foreign",Table2[[#This Row],[Emp_Name]])),"Remote","")))</f>
        <v>Hybrid</v>
      </c>
      <c r="Z88">
        <v>5</v>
      </c>
      <c r="AA8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1750</v>
      </c>
      <c r="AB88" t="s">
        <v>39</v>
      </c>
      <c r="AC88" t="str">
        <f>IF(COUNTIF(Table2[Emp_ID],Table2[[#This Row],[Emp_ID]])&gt;1,"Duplicate","Unique")</f>
        <v>Unique</v>
      </c>
      <c r="AE88" s="2"/>
      <c r="AG88" t="str">
        <f>IF(Table2[[#This Row],[Monthly_Salary]]="","Exclude",
IF(Table2[[#This Row],[Row_Status]]="Mismatch","Exclude",
IF(AND(Table2[[#This Row],[Row_Status]]="Exact Duplicate",
COUNTIFS(Table2[Emp_ID],Table2[[#This Row],[Emp_ID]],Table2[Row_Concat],Table2[[#This Row],[Row_Concat]],
Table2[Row_Number],"&lt;"&amp;Table2[[#This Row],[Row_Number]])&gt;=1),"Delete","")))</f>
        <v/>
      </c>
      <c r="AH88" t="str">
        <f>VLOOKUP(Table2[[#This Row],[Department]],Raw_2!A:B,2,0)</f>
        <v>Day</v>
      </c>
      <c r="AI88">
        <f>VLOOKUP(Table2[[#This Row],[Department]],Raw_2!A:C,3,0)</f>
        <v>25</v>
      </c>
    </row>
    <row r="89" spans="1:35">
      <c r="A89" t="s">
        <v>223</v>
      </c>
      <c r="B89" t="s">
        <v>224</v>
      </c>
      <c r="C89">
        <v>27</v>
      </c>
      <c r="D89" t="s">
        <v>25</v>
      </c>
      <c r="E89" t="str">
        <f>IF(OR(Table2[[#This Row],[Gender]]="Male",Table2[[#This Row],[Gender]]="M"),"M",
IF(OR(Table2[[#This Row],[Gender]]="Female",Table2[[#This Row],[Gender]]="F"),"F",""))</f>
        <v>F</v>
      </c>
      <c r="F89" t="s">
        <v>57</v>
      </c>
      <c r="G89" t="s">
        <v>31</v>
      </c>
      <c r="H89" t="s">
        <v>51</v>
      </c>
      <c r="I89" t="s">
        <v>1060</v>
      </c>
      <c r="J89" t="str">
        <f>IF(ISNUMBER(SEARCH("India",Table2[[#This Row],[Emp_Name]])),"INR",
IF(ISNUMBER(SEARCH("Foreign",Table2[[#This Row],[Emp_Name]])),Table2[[#This Row],[Currency]],Table2[[#This Row],[Currency]]))</f>
        <v>INR</v>
      </c>
      <c r="K89">
        <v>48000</v>
      </c>
      <c r="L89">
        <v>12</v>
      </c>
      <c r="M89">
        <f>IF(Table2[[#This Row],[Num_Month]]&lt;&gt;12,12,Table2[[#This Row],[Num_Month]])</f>
        <v>12</v>
      </c>
      <c r="N89">
        <f>IF(Table2[[#This Row],[Monthly_Salary]]="","",Table2[[#This Row],[Monthly_Salary]]*Table2[[#This Row],[Num_Month_Final]])</f>
        <v>576000</v>
      </c>
      <c r="O89">
        <v>4</v>
      </c>
      <c r="P89">
        <f>IF(Table2[[#This Row],[Exp_Years]]&lt;0,ABS(Table2[[#This Row],[Exp_Years]]),Table2[[#This Row],[Exp_Years]])</f>
        <v>4</v>
      </c>
      <c r="Q89">
        <v>1</v>
      </c>
      <c r="S89" t="str">
        <f>IF(Table2[[#This Row],[Performance_Rating]]&gt;=3,Table2[[#This Row],[Monthly_Salary]]*0.3,"")</f>
        <v/>
      </c>
      <c r="T89">
        <v>85</v>
      </c>
      <c r="U89">
        <v>10</v>
      </c>
      <c r="V89">
        <v>1</v>
      </c>
      <c r="W89" t="s">
        <v>21</v>
      </c>
      <c r="X89" t="s">
        <v>38</v>
      </c>
      <c r="Y89" t="str">
        <f>IF(Table2[[#This Row],[Work_Mode]]&lt;&gt;"",Table2[[#This Row],[Work_Mode]],
IF(ISNUMBER(SEARCH("India",Table2[[#This Row],[Emp_Name]])),"Office",
IF(ISNUMBER(SEARCH("Foreign",Table2[[#This Row],[Emp_Name]])),"Remote","")))</f>
        <v>Hybrid</v>
      </c>
      <c r="Z89">
        <v>5</v>
      </c>
      <c r="AA8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89" t="s">
        <v>39</v>
      </c>
      <c r="AC89" t="str">
        <f>IF(COUNTIF(Table2[Emp_ID],Table2[[#This Row],[Emp_ID]])&gt;1,"Duplicate","Unique")</f>
        <v>Unique</v>
      </c>
      <c r="AE89" s="2"/>
      <c r="AG89" t="str">
        <f>IF(Table2[[#This Row],[Monthly_Salary]]="","Exclude",
IF(Table2[[#This Row],[Row_Status]]="Mismatch","Exclude",
IF(AND(Table2[[#This Row],[Row_Status]]="Exact Duplicate",
COUNTIFS(Table2[Emp_ID],Table2[[#This Row],[Emp_ID]],Table2[Row_Concat],Table2[[#This Row],[Row_Concat]],
Table2[Row_Number],"&lt;"&amp;Table2[[#This Row],[Row_Number]])&gt;=1),"Delete","")))</f>
        <v/>
      </c>
      <c r="AH89" t="str">
        <f>VLOOKUP(Table2[[#This Row],[Department]],Raw_2!A:B,2,0)</f>
        <v>Night</v>
      </c>
      <c r="AI89">
        <f>VLOOKUP(Table2[[#This Row],[Department]],Raw_2!A:C,3,0)</f>
        <v>13</v>
      </c>
    </row>
    <row r="90" spans="1:35">
      <c r="A90" t="s">
        <v>225</v>
      </c>
      <c r="B90" t="s">
        <v>226</v>
      </c>
      <c r="C90">
        <v>27</v>
      </c>
      <c r="E90" t="str">
        <f>IF(OR(Table2[[#This Row],[Gender]]="Male",Table2[[#This Row],[Gender]]="M"),"M",
IF(OR(Table2[[#This Row],[Gender]]="Female",Table2[[#This Row],[Gender]]="F"),"F",""))</f>
        <v/>
      </c>
      <c r="F90" t="s">
        <v>47</v>
      </c>
      <c r="G90" t="s">
        <v>36</v>
      </c>
      <c r="H90" t="s">
        <v>51</v>
      </c>
      <c r="I90" t="s">
        <v>1060</v>
      </c>
      <c r="J90" t="str">
        <f>IF(ISNUMBER(SEARCH("India",Table2[[#This Row],[Emp_Name]])),"INR",
IF(ISNUMBER(SEARCH("Foreign",Table2[[#This Row],[Emp_Name]])),Table2[[#This Row],[Currency]],Table2[[#This Row],[Currency]]))</f>
        <v>INR</v>
      </c>
      <c r="K90">
        <v>47000</v>
      </c>
      <c r="L90">
        <v>12</v>
      </c>
      <c r="M90">
        <f>IF(Table2[[#This Row],[Num_Month]]&lt;&gt;12,12,Table2[[#This Row],[Num_Month]])</f>
        <v>12</v>
      </c>
      <c r="N90">
        <f>IF(Table2[[#This Row],[Monthly_Salary]]="","",Table2[[#This Row],[Monthly_Salary]]*Table2[[#This Row],[Num_Month_Final]])</f>
        <v>564000</v>
      </c>
      <c r="O90">
        <v>3</v>
      </c>
      <c r="P90">
        <f>IF(Table2[[#This Row],[Exp_Years]]&lt;0,ABS(Table2[[#This Row],[Exp_Years]]),Table2[[#This Row],[Exp_Years]])</f>
        <v>3</v>
      </c>
      <c r="Q90">
        <v>5</v>
      </c>
      <c r="R90">
        <v>21000</v>
      </c>
      <c r="S90">
        <f>IF(Table2[[#This Row],[Performance_Rating]]&gt;=3,Table2[[#This Row],[Monthly_Salary]]*0.3,"")</f>
        <v>14100</v>
      </c>
      <c r="T90">
        <v>85</v>
      </c>
      <c r="U90">
        <v>5</v>
      </c>
      <c r="V90">
        <v>5</v>
      </c>
      <c r="W90" t="s">
        <v>21</v>
      </c>
      <c r="X90" t="s">
        <v>38</v>
      </c>
      <c r="Y90" t="str">
        <f>IF(Table2[[#This Row],[Work_Mode]]&lt;&gt;"",Table2[[#This Row],[Work_Mode]],
IF(ISNUMBER(SEARCH("India",Table2[[#This Row],[Emp_Name]])),"Office",
IF(ISNUMBER(SEARCH("Foreign",Table2[[#This Row],[Emp_Name]])),"Remote","")))</f>
        <v>Hybrid</v>
      </c>
      <c r="Z90">
        <v>20</v>
      </c>
      <c r="AA9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90" t="s">
        <v>58</v>
      </c>
      <c r="AC90" t="str">
        <f>IF(COUNTIF(Table2[Emp_ID],Table2[[#This Row],[Emp_ID]])&gt;1,"Duplicate","Unique")</f>
        <v>Unique</v>
      </c>
      <c r="AE90" s="2"/>
      <c r="AG90" t="str">
        <f>IF(Table2[[#This Row],[Monthly_Salary]]="","Exclude",
IF(Table2[[#This Row],[Row_Status]]="Mismatch","Exclude",
IF(AND(Table2[[#This Row],[Row_Status]]="Exact Duplicate",
COUNTIFS(Table2[Emp_ID],Table2[[#This Row],[Emp_ID]],Table2[Row_Concat],Table2[[#This Row],[Row_Concat]],
Table2[Row_Number],"&lt;"&amp;Table2[[#This Row],[Row_Number]])&gt;=1),"Delete","")))</f>
        <v/>
      </c>
      <c r="AH90" t="str">
        <f>VLOOKUP(Table2[[#This Row],[Department]],Raw_2!A:B,2,0)</f>
        <v>Day</v>
      </c>
      <c r="AI90">
        <f>VLOOKUP(Table2[[#This Row],[Department]],Raw_2!A:C,3,0)</f>
        <v>25</v>
      </c>
    </row>
    <row r="91" spans="1:35">
      <c r="A91" t="s">
        <v>227</v>
      </c>
      <c r="B91" t="s">
        <v>228</v>
      </c>
      <c r="C91">
        <v>27</v>
      </c>
      <c r="E91" t="str">
        <f>IF(OR(Table2[[#This Row],[Gender]]="Male",Table2[[#This Row],[Gender]]="M"),"M",
IF(OR(Table2[[#This Row],[Gender]]="Female",Table2[[#This Row],[Gender]]="F"),"F",""))</f>
        <v/>
      </c>
      <c r="F91" t="s">
        <v>50</v>
      </c>
      <c r="G91" t="s">
        <v>36</v>
      </c>
      <c r="H91" t="s">
        <v>51</v>
      </c>
      <c r="I91" t="s">
        <v>1060</v>
      </c>
      <c r="J91" t="str">
        <f>IF(ISNUMBER(SEARCH("India",Table2[[#This Row],[Emp_Name]])),"INR",
IF(ISNUMBER(SEARCH("Foreign",Table2[[#This Row],[Emp_Name]])),Table2[[#This Row],[Currency]],Table2[[#This Row],[Currency]]))</f>
        <v>INR</v>
      </c>
      <c r="K91">
        <v>47500</v>
      </c>
      <c r="L91">
        <v>12</v>
      </c>
      <c r="M91">
        <f>IF(Table2[[#This Row],[Num_Month]]&lt;&gt;12,12,Table2[[#This Row],[Num_Month]])</f>
        <v>12</v>
      </c>
      <c r="N91">
        <f>IF(Table2[[#This Row],[Monthly_Salary]]="","",Table2[[#This Row],[Monthly_Salary]]*Table2[[#This Row],[Num_Month_Final]])</f>
        <v>570000</v>
      </c>
      <c r="O91">
        <v>4</v>
      </c>
      <c r="P91">
        <f>IF(Table2[[#This Row],[Exp_Years]]&lt;0,ABS(Table2[[#This Row],[Exp_Years]]),Table2[[#This Row],[Exp_Years]])</f>
        <v>4</v>
      </c>
      <c r="Q91">
        <v>5</v>
      </c>
      <c r="R91">
        <v>21000</v>
      </c>
      <c r="S91">
        <f>IF(Table2[[#This Row],[Performance_Rating]]&gt;=3,Table2[[#This Row],[Monthly_Salary]]*0.3,"")</f>
        <v>14250</v>
      </c>
      <c r="T91">
        <v>85</v>
      </c>
      <c r="U91">
        <v>5</v>
      </c>
      <c r="V91">
        <v>5</v>
      </c>
      <c r="X91" t="s">
        <v>38</v>
      </c>
      <c r="Y91" t="str">
        <f>IF(Table2[[#This Row],[Work_Mode]]&lt;&gt;"",Table2[[#This Row],[Work_Mode]],
IF(ISNUMBER(SEARCH("India",Table2[[#This Row],[Emp_Name]])),"Office",
IF(ISNUMBER(SEARCH("Foreign",Table2[[#This Row],[Emp_Name]])),"Remote","")))</f>
        <v>Hybrid</v>
      </c>
      <c r="Z91">
        <v>5</v>
      </c>
      <c r="AA9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91" t="s">
        <v>58</v>
      </c>
      <c r="AC91" t="str">
        <f>IF(COUNTIF(Table2[Emp_ID],Table2[[#This Row],[Emp_ID]])&gt;1,"Duplicate","Unique")</f>
        <v>Unique</v>
      </c>
      <c r="AE91" s="2"/>
      <c r="AG91" t="str">
        <f>IF(Table2[[#This Row],[Monthly_Salary]]="","Exclude",
IF(Table2[[#This Row],[Row_Status]]="Mismatch","Exclude",
IF(AND(Table2[[#This Row],[Row_Status]]="Exact Duplicate",
COUNTIFS(Table2[Emp_ID],Table2[[#This Row],[Emp_ID]],Table2[Row_Concat],Table2[[#This Row],[Row_Concat]],
Table2[Row_Number],"&lt;"&amp;Table2[[#This Row],[Row_Number]])&gt;=1),"Delete","")))</f>
        <v/>
      </c>
      <c r="AH91" t="str">
        <f>VLOOKUP(Table2[[#This Row],[Department]],Raw_2!A:B,2,0)</f>
        <v>Day</v>
      </c>
      <c r="AI91">
        <f>VLOOKUP(Table2[[#This Row],[Department]],Raw_2!A:C,3,0)</f>
        <v>25</v>
      </c>
    </row>
    <row r="92" spans="1:35">
      <c r="A92" t="s">
        <v>229</v>
      </c>
      <c r="B92" t="s">
        <v>230</v>
      </c>
      <c r="C92">
        <v>27</v>
      </c>
      <c r="D92" t="s">
        <v>16</v>
      </c>
      <c r="E92" t="str">
        <f>IF(OR(Table2[[#This Row],[Gender]]="Male",Table2[[#This Row],[Gender]]="M"),"M",
IF(OR(Table2[[#This Row],[Gender]]="Female",Table2[[#This Row],[Gender]]="F"),"F",""))</f>
        <v>M</v>
      </c>
      <c r="F92" t="s">
        <v>26</v>
      </c>
      <c r="G92" t="s">
        <v>66</v>
      </c>
      <c r="H92" t="s">
        <v>51</v>
      </c>
      <c r="I92" t="s">
        <v>1060</v>
      </c>
      <c r="J92" t="str">
        <f>IF(ISNUMBER(SEARCH("India",Table2[[#This Row],[Emp_Name]])),"INR",
IF(ISNUMBER(SEARCH("Foreign",Table2[[#This Row],[Emp_Name]])),Table2[[#This Row],[Currency]],Table2[[#This Row],[Currency]]))</f>
        <v>INR</v>
      </c>
      <c r="K92">
        <v>47000</v>
      </c>
      <c r="L92">
        <v>12</v>
      </c>
      <c r="M92">
        <f>IF(Table2[[#This Row],[Num_Month]]&lt;&gt;12,12,Table2[[#This Row],[Num_Month]])</f>
        <v>12</v>
      </c>
      <c r="N92">
        <f>IF(Table2[[#This Row],[Monthly_Salary]]="","",Table2[[#This Row],[Monthly_Salary]]*Table2[[#This Row],[Num_Month_Final]])</f>
        <v>564000</v>
      </c>
      <c r="O92">
        <v>3</v>
      </c>
      <c r="P92">
        <f>IF(Table2[[#This Row],[Exp_Years]]&lt;0,ABS(Table2[[#This Row],[Exp_Years]]),Table2[[#This Row],[Exp_Years]])</f>
        <v>3</v>
      </c>
      <c r="Q92">
        <v>3</v>
      </c>
      <c r="S92">
        <f>IF(Table2[[#This Row],[Performance_Rating]]&gt;=3,Table2[[#This Row],[Monthly_Salary]]*0.3,"")</f>
        <v>14100</v>
      </c>
      <c r="T92">
        <v>85</v>
      </c>
      <c r="U92">
        <v>7</v>
      </c>
      <c r="V92">
        <v>1</v>
      </c>
      <c r="W92" t="s">
        <v>37</v>
      </c>
      <c r="X92" t="s">
        <v>38</v>
      </c>
      <c r="Y92" t="str">
        <f>IF(Table2[[#This Row],[Work_Mode]]&lt;&gt;"",Table2[[#This Row],[Work_Mode]],
IF(ISNUMBER(SEARCH("India",Table2[[#This Row],[Emp_Name]])),"Office",
IF(ISNUMBER(SEARCH("Foreign",Table2[[#This Row],[Emp_Name]])),"Remote","")))</f>
        <v>Hybrid</v>
      </c>
      <c r="Z92">
        <v>20</v>
      </c>
      <c r="AA9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92" t="s">
        <v>22</v>
      </c>
      <c r="AC92" t="str">
        <f>IF(COUNTIF(Table2[Emp_ID],Table2[[#This Row],[Emp_ID]])&gt;1,"Duplicate","Unique")</f>
        <v>Unique</v>
      </c>
      <c r="AE92" s="2"/>
      <c r="AG92" t="str">
        <f>IF(Table2[[#This Row],[Monthly_Salary]]="","Exclude",
IF(Table2[[#This Row],[Row_Status]]="Mismatch","Exclude",
IF(AND(Table2[[#This Row],[Row_Status]]="Exact Duplicate",
COUNTIFS(Table2[Emp_ID],Table2[[#This Row],[Emp_ID]],Table2[Row_Concat],Table2[[#This Row],[Row_Concat]],
Table2[Row_Number],"&lt;"&amp;Table2[[#This Row],[Row_Number]])&gt;=1),"Delete","")))</f>
        <v/>
      </c>
      <c r="AH92" t="str">
        <f>VLOOKUP(Table2[[#This Row],[Department]],Raw_2!A:B,2,0)</f>
        <v>Night</v>
      </c>
      <c r="AI92">
        <f>VLOOKUP(Table2[[#This Row],[Department]],Raw_2!A:C,3,0)</f>
        <v>20</v>
      </c>
    </row>
    <row r="93" spans="1:35">
      <c r="A93" t="s">
        <v>231</v>
      </c>
      <c r="B93" t="s">
        <v>232</v>
      </c>
      <c r="C93">
        <v>26</v>
      </c>
      <c r="D93" t="s">
        <v>46</v>
      </c>
      <c r="E93" t="str">
        <f>IF(OR(Table2[[#This Row],[Gender]]="Male",Table2[[#This Row],[Gender]]="M"),"M",
IF(OR(Table2[[#This Row],[Gender]]="Female",Table2[[#This Row],[Gender]]="F"),"F",""))</f>
        <v>M</v>
      </c>
      <c r="F93" t="s">
        <v>35</v>
      </c>
      <c r="G93" t="s">
        <v>36</v>
      </c>
      <c r="H93" t="s">
        <v>51</v>
      </c>
      <c r="I93" t="s">
        <v>1060</v>
      </c>
      <c r="J93" t="str">
        <f>IF(ISNUMBER(SEARCH("India",Table2[[#This Row],[Emp_Name]])),"INR",
IF(ISNUMBER(SEARCH("Foreign",Table2[[#This Row],[Emp_Name]])),Table2[[#This Row],[Currency]],Table2[[#This Row],[Currency]]))</f>
        <v>INR</v>
      </c>
      <c r="K93">
        <v>47000</v>
      </c>
      <c r="L93">
        <v>12</v>
      </c>
      <c r="M93">
        <f>IF(Table2[[#This Row],[Num_Month]]&lt;&gt;12,12,Table2[[#This Row],[Num_Month]])</f>
        <v>12</v>
      </c>
      <c r="N93">
        <f>IF(Table2[[#This Row],[Monthly_Salary]]="","",Table2[[#This Row],[Monthly_Salary]]*Table2[[#This Row],[Num_Month_Final]])</f>
        <v>564000</v>
      </c>
      <c r="O93">
        <v>3</v>
      </c>
      <c r="P93">
        <f>IF(Table2[[#This Row],[Exp_Years]]&lt;0,ABS(Table2[[#This Row],[Exp_Years]]),Table2[[#This Row],[Exp_Years]])</f>
        <v>3</v>
      </c>
      <c r="Q93">
        <v>1</v>
      </c>
      <c r="S93" t="str">
        <f>IF(Table2[[#This Row],[Performance_Rating]]&gt;=3,Table2[[#This Row],[Monthly_Salary]]*0.3,"")</f>
        <v/>
      </c>
      <c r="T93">
        <v>95</v>
      </c>
      <c r="U93">
        <v>7</v>
      </c>
      <c r="V93">
        <v>3</v>
      </c>
      <c r="W93" t="s">
        <v>21</v>
      </c>
      <c r="X93" t="s">
        <v>38</v>
      </c>
      <c r="Y93" t="str">
        <f>IF(Table2[[#This Row],[Work_Mode]]&lt;&gt;"",Table2[[#This Row],[Work_Mode]],
IF(ISNUMBER(SEARCH("India",Table2[[#This Row],[Emp_Name]])),"Office",
IF(ISNUMBER(SEARCH("Foreign",Table2[[#This Row],[Emp_Name]])),"Remote","")))</f>
        <v>Hybrid</v>
      </c>
      <c r="Z93">
        <v>20</v>
      </c>
      <c r="AA9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93" t="s">
        <v>39</v>
      </c>
      <c r="AC93" t="str">
        <f>IF(COUNTIF(Table2[Emp_ID],Table2[[#This Row],[Emp_ID]])&gt;1,"Duplicate","Unique")</f>
        <v>Unique</v>
      </c>
      <c r="AE93" s="2"/>
      <c r="AG93" t="str">
        <f>IF(Table2[[#This Row],[Monthly_Salary]]="","Exclude",
IF(Table2[[#This Row],[Row_Status]]="Mismatch","Exclude",
IF(AND(Table2[[#This Row],[Row_Status]]="Exact Duplicate",
COUNTIFS(Table2[Emp_ID],Table2[[#This Row],[Emp_ID]],Table2[Row_Concat],Table2[[#This Row],[Row_Concat]],
Table2[Row_Number],"&lt;"&amp;Table2[[#This Row],[Row_Number]])&gt;=1),"Delete","")))</f>
        <v/>
      </c>
      <c r="AH93" t="str">
        <f>VLOOKUP(Table2[[#This Row],[Department]],Raw_2!A:B,2,0)</f>
        <v>Day</v>
      </c>
      <c r="AI93">
        <f>VLOOKUP(Table2[[#This Row],[Department]],Raw_2!A:C,3,0)</f>
        <v>25</v>
      </c>
    </row>
    <row r="94" spans="1:35">
      <c r="A94" t="s">
        <v>233</v>
      </c>
      <c r="B94" t="s">
        <v>234</v>
      </c>
      <c r="C94">
        <v>25</v>
      </c>
      <c r="D94" t="s">
        <v>16</v>
      </c>
      <c r="E94" t="str">
        <f>IF(OR(Table2[[#This Row],[Gender]]="Male",Table2[[#This Row],[Gender]]="M"),"M",
IF(OR(Table2[[#This Row],[Gender]]="Female",Table2[[#This Row],[Gender]]="F"),"F",""))</f>
        <v>M</v>
      </c>
      <c r="F94" t="s">
        <v>61</v>
      </c>
      <c r="G94" t="s">
        <v>66</v>
      </c>
      <c r="H94" t="s">
        <v>51</v>
      </c>
      <c r="I94" t="s">
        <v>1060</v>
      </c>
      <c r="J94" t="str">
        <f>IF(ISNUMBER(SEARCH("India",Table2[[#This Row],[Emp_Name]])),"INR",
IF(ISNUMBER(SEARCH("Foreign",Table2[[#This Row],[Emp_Name]])),Table2[[#This Row],[Currency]],Table2[[#This Row],[Currency]]))</f>
        <v>INR</v>
      </c>
      <c r="K94">
        <v>48000</v>
      </c>
      <c r="L94">
        <v>12</v>
      </c>
      <c r="M94">
        <f>IF(Table2[[#This Row],[Num_Month]]&lt;&gt;12,12,Table2[[#This Row],[Num_Month]])</f>
        <v>12</v>
      </c>
      <c r="N94">
        <f>IF(Table2[[#This Row],[Monthly_Salary]]="","",Table2[[#This Row],[Monthly_Salary]]*Table2[[#This Row],[Num_Month_Final]])</f>
        <v>576000</v>
      </c>
      <c r="O94">
        <v>4</v>
      </c>
      <c r="P94">
        <f>IF(Table2[[#This Row],[Exp_Years]]&lt;0,ABS(Table2[[#This Row],[Exp_Years]]),Table2[[#This Row],[Exp_Years]])</f>
        <v>4</v>
      </c>
      <c r="Q94">
        <v>4</v>
      </c>
      <c r="R94">
        <v>10000</v>
      </c>
      <c r="S94">
        <f>IF(Table2[[#This Row],[Performance_Rating]]&gt;=3,Table2[[#This Row],[Monthly_Salary]]*0.3,"")</f>
        <v>14400</v>
      </c>
      <c r="T94">
        <v>85</v>
      </c>
      <c r="U94">
        <v>5</v>
      </c>
      <c r="V94">
        <v>3</v>
      </c>
      <c r="W94" t="s">
        <v>37</v>
      </c>
      <c r="X94" t="s">
        <v>38</v>
      </c>
      <c r="Y94" t="str">
        <f>IF(Table2[[#This Row],[Work_Mode]]&lt;&gt;"",Table2[[#This Row],[Work_Mode]],
IF(ISNUMBER(SEARCH("India",Table2[[#This Row],[Emp_Name]])),"Office",
IF(ISNUMBER(SEARCH("Foreign",Table2[[#This Row],[Emp_Name]])),"Remote","")))</f>
        <v>Hybrid</v>
      </c>
      <c r="Z94">
        <v>20</v>
      </c>
      <c r="AA9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94" t="s">
        <v>58</v>
      </c>
      <c r="AC94" t="str">
        <f>IF(COUNTIF(Table2[Emp_ID],Table2[[#This Row],[Emp_ID]])&gt;1,"Duplicate","Unique")</f>
        <v>Unique</v>
      </c>
      <c r="AE94" s="2"/>
      <c r="AG94" t="str">
        <f>IF(Table2[[#This Row],[Monthly_Salary]]="","Exclude",
IF(Table2[[#This Row],[Row_Status]]="Mismatch","Exclude",
IF(AND(Table2[[#This Row],[Row_Status]]="Exact Duplicate",
COUNTIFS(Table2[Emp_ID],Table2[[#This Row],[Emp_ID]],Table2[Row_Concat],Table2[[#This Row],[Row_Concat]],
Table2[Row_Number],"&lt;"&amp;Table2[[#This Row],[Row_Number]])&gt;=1),"Delete","")))</f>
        <v/>
      </c>
      <c r="AH94" t="str">
        <f>VLOOKUP(Table2[[#This Row],[Department]],Raw_2!A:B,2,0)</f>
        <v>Night</v>
      </c>
      <c r="AI94">
        <f>VLOOKUP(Table2[[#This Row],[Department]],Raw_2!A:C,3,0)</f>
        <v>20</v>
      </c>
    </row>
    <row r="95" spans="1:35">
      <c r="A95" t="s">
        <v>235</v>
      </c>
      <c r="B95" t="s">
        <v>236</v>
      </c>
      <c r="C95">
        <v>25</v>
      </c>
      <c r="E95" t="str">
        <f>IF(OR(Table2[[#This Row],[Gender]]="Male",Table2[[#This Row],[Gender]]="M"),"M",
IF(OR(Table2[[#This Row],[Gender]]="Female",Table2[[#This Row],[Gender]]="F"),"F",""))</f>
        <v/>
      </c>
      <c r="F95" t="s">
        <v>64</v>
      </c>
      <c r="G95" t="s">
        <v>42</v>
      </c>
      <c r="H95" t="s">
        <v>51</v>
      </c>
      <c r="I95" t="s">
        <v>1060</v>
      </c>
      <c r="J95" t="str">
        <f>IF(ISNUMBER(SEARCH("India",Table2[[#This Row],[Emp_Name]])),"INR",
IF(ISNUMBER(SEARCH("Foreign",Table2[[#This Row],[Emp_Name]])),Table2[[#This Row],[Currency]],Table2[[#This Row],[Currency]]))</f>
        <v>INR</v>
      </c>
      <c r="K95">
        <v>48000</v>
      </c>
      <c r="L95">
        <v>12</v>
      </c>
      <c r="M95">
        <f>IF(Table2[[#This Row],[Num_Month]]&lt;&gt;12,12,Table2[[#This Row],[Num_Month]])</f>
        <v>12</v>
      </c>
      <c r="N95">
        <f>IF(Table2[[#This Row],[Monthly_Salary]]="","",Table2[[#This Row],[Monthly_Salary]]*Table2[[#This Row],[Num_Month_Final]])</f>
        <v>576000</v>
      </c>
      <c r="O95">
        <v>4</v>
      </c>
      <c r="P95">
        <f>IF(Table2[[#This Row],[Exp_Years]]&lt;0,ABS(Table2[[#This Row],[Exp_Years]]),Table2[[#This Row],[Exp_Years]])</f>
        <v>4</v>
      </c>
      <c r="Q95">
        <v>4</v>
      </c>
      <c r="R95">
        <v>15000</v>
      </c>
      <c r="S95">
        <f>IF(Table2[[#This Row],[Performance_Rating]]&gt;=3,Table2[[#This Row],[Monthly_Salary]]*0.3,"")</f>
        <v>14400</v>
      </c>
      <c r="T95">
        <v>80</v>
      </c>
      <c r="U95">
        <v>7</v>
      </c>
      <c r="V95">
        <v>1</v>
      </c>
      <c r="W95" t="s">
        <v>37</v>
      </c>
      <c r="X95" t="s">
        <v>38</v>
      </c>
      <c r="Y95" t="str">
        <f>IF(Table2[[#This Row],[Work_Mode]]&lt;&gt;"",Table2[[#This Row],[Work_Mode]],
IF(ISNUMBER(SEARCH("India",Table2[[#This Row],[Emp_Name]])),"Office",
IF(ISNUMBER(SEARCH("Foreign",Table2[[#This Row],[Emp_Name]])),"Remote","")))</f>
        <v>Hybrid</v>
      </c>
      <c r="Z95">
        <v>5</v>
      </c>
      <c r="AA9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95" t="s">
        <v>22</v>
      </c>
      <c r="AC95" t="str">
        <f>IF(COUNTIF(Table2[Emp_ID],Table2[[#This Row],[Emp_ID]])&gt;1,"Duplicate","Unique")</f>
        <v>Unique</v>
      </c>
      <c r="AE95" s="2"/>
      <c r="AG95" t="str">
        <f>IF(Table2[[#This Row],[Monthly_Salary]]="","Exclude",
IF(Table2[[#This Row],[Row_Status]]="Mismatch","Exclude",
IF(AND(Table2[[#This Row],[Row_Status]]="Exact Duplicate",
COUNTIFS(Table2[Emp_ID],Table2[[#This Row],[Emp_ID]],Table2[Row_Concat],Table2[[#This Row],[Row_Concat]],
Table2[Row_Number],"&lt;"&amp;Table2[[#This Row],[Row_Number]])&gt;=1),"Delete","")))</f>
        <v/>
      </c>
      <c r="AH95" t="str">
        <f>VLOOKUP(Table2[[#This Row],[Department]],Raw_2!A:B,2,0)</f>
        <v>Day</v>
      </c>
      <c r="AI95">
        <f>VLOOKUP(Table2[[#This Row],[Department]],Raw_2!A:C,3,0)</f>
        <v>14</v>
      </c>
    </row>
    <row r="96" spans="1:35">
      <c r="A96" t="s">
        <v>237</v>
      </c>
      <c r="B96" t="s">
        <v>238</v>
      </c>
      <c r="C96">
        <v>25</v>
      </c>
      <c r="E96" t="str">
        <f>IF(OR(Table2[[#This Row],[Gender]]="Male",Table2[[#This Row],[Gender]]="M"),"M",
IF(OR(Table2[[#This Row],[Gender]]="Female",Table2[[#This Row],[Gender]]="F"),"F",""))</f>
        <v/>
      </c>
      <c r="G96" t="s">
        <v>42</v>
      </c>
      <c r="H96" t="s">
        <v>51</v>
      </c>
      <c r="I96" t="s">
        <v>1060</v>
      </c>
      <c r="J96" t="str">
        <f>IF(ISNUMBER(SEARCH("India",Table2[[#This Row],[Emp_Name]])),"INR",
IF(ISNUMBER(SEARCH("Foreign",Table2[[#This Row],[Emp_Name]])),Table2[[#This Row],[Currency]],Table2[[#This Row],[Currency]]))</f>
        <v>INR</v>
      </c>
      <c r="K96">
        <v>44000</v>
      </c>
      <c r="L96">
        <v>12</v>
      </c>
      <c r="M96">
        <f>IF(Table2[[#This Row],[Num_Month]]&lt;&gt;12,12,Table2[[#This Row],[Num_Month]])</f>
        <v>12</v>
      </c>
      <c r="N96">
        <f>IF(Table2[[#This Row],[Monthly_Salary]]="","",Table2[[#This Row],[Monthly_Salary]]*Table2[[#This Row],[Num_Month_Final]])</f>
        <v>528000</v>
      </c>
      <c r="O96">
        <v>3</v>
      </c>
      <c r="P96">
        <f>IF(Table2[[#This Row],[Exp_Years]]&lt;0,ABS(Table2[[#This Row],[Exp_Years]]),Table2[[#This Row],[Exp_Years]])</f>
        <v>3</v>
      </c>
      <c r="Q96">
        <v>5</v>
      </c>
      <c r="R96">
        <v>21000</v>
      </c>
      <c r="S96">
        <f>IF(Table2[[#This Row],[Performance_Rating]]&gt;=3,Table2[[#This Row],[Monthly_Salary]]*0.3,"")</f>
        <v>13200</v>
      </c>
      <c r="T96">
        <v>95</v>
      </c>
      <c r="U96">
        <v>5</v>
      </c>
      <c r="V96">
        <v>2</v>
      </c>
      <c r="W96" t="s">
        <v>21</v>
      </c>
      <c r="X96" t="s">
        <v>19</v>
      </c>
      <c r="Y96" t="str">
        <f>IF(Table2[[#This Row],[Work_Mode]]&lt;&gt;"",Table2[[#This Row],[Work_Mode]],
IF(ISNUMBER(SEARCH("India",Table2[[#This Row],[Emp_Name]])),"Office",
IF(ISNUMBER(SEARCH("Foreign",Table2[[#This Row],[Emp_Name]])),"Remote","")))</f>
        <v>Office</v>
      </c>
      <c r="Z96">
        <v>5</v>
      </c>
      <c r="AA9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96" t="s">
        <v>58</v>
      </c>
      <c r="AC96" t="str">
        <f>IF(COUNTIF(Table2[Emp_ID],Table2[[#This Row],[Emp_ID]])&gt;1,"Duplicate","Unique")</f>
        <v>Unique</v>
      </c>
      <c r="AE96" s="2"/>
      <c r="AG96" t="str">
        <f>IF(Table2[[#This Row],[Monthly_Salary]]="","Exclude",
IF(Table2[[#This Row],[Row_Status]]="Mismatch","Exclude",
IF(AND(Table2[[#This Row],[Row_Status]]="Exact Duplicate",
COUNTIFS(Table2[Emp_ID],Table2[[#This Row],[Emp_ID]],Table2[Row_Concat],Table2[[#This Row],[Row_Concat]],
Table2[Row_Number],"&lt;"&amp;Table2[[#This Row],[Row_Number]])&gt;=1),"Delete","")))</f>
        <v/>
      </c>
      <c r="AH96" t="str">
        <f>VLOOKUP(Table2[[#This Row],[Department]],Raw_2!A:B,2,0)</f>
        <v>Day</v>
      </c>
      <c r="AI96">
        <f>VLOOKUP(Table2[[#This Row],[Department]],Raw_2!A:C,3,0)</f>
        <v>14</v>
      </c>
    </row>
    <row r="97" spans="1:35">
      <c r="A97" t="s">
        <v>239</v>
      </c>
      <c r="B97" t="s">
        <v>240</v>
      </c>
      <c r="C97">
        <v>26</v>
      </c>
      <c r="E97" t="str">
        <f>IF(OR(Table2[[#This Row],[Gender]]="Male",Table2[[#This Row],[Gender]]="M"),"M",
IF(OR(Table2[[#This Row],[Gender]]="Female",Table2[[#This Row],[Gender]]="F"),"F",""))</f>
        <v/>
      </c>
      <c r="F97" t="s">
        <v>50</v>
      </c>
      <c r="G97" t="s">
        <v>27</v>
      </c>
      <c r="H97" t="s">
        <v>51</v>
      </c>
      <c r="I97" t="s">
        <v>1060</v>
      </c>
      <c r="J97" t="str">
        <f>IF(ISNUMBER(SEARCH("India",Table2[[#This Row],[Emp_Name]])),"INR",
IF(ISNUMBER(SEARCH("Foreign",Table2[[#This Row],[Emp_Name]])),Table2[[#This Row],[Currency]],Table2[[#This Row],[Currency]]))</f>
        <v>INR</v>
      </c>
      <c r="K97">
        <v>33000</v>
      </c>
      <c r="L97">
        <v>12</v>
      </c>
      <c r="M97">
        <f>IF(Table2[[#This Row],[Num_Month]]&lt;&gt;12,12,Table2[[#This Row],[Num_Month]])</f>
        <v>12</v>
      </c>
      <c r="N97">
        <f>IF(Table2[[#This Row],[Monthly_Salary]]="","",Table2[[#This Row],[Monthly_Salary]]*Table2[[#This Row],[Num_Month_Final]])</f>
        <v>396000</v>
      </c>
      <c r="O97">
        <v>2</v>
      </c>
      <c r="P97">
        <f>IF(Table2[[#This Row],[Exp_Years]]&lt;0,ABS(Table2[[#This Row],[Exp_Years]]),Table2[[#This Row],[Exp_Years]])</f>
        <v>2</v>
      </c>
      <c r="Q97">
        <v>4</v>
      </c>
      <c r="R97">
        <v>15000</v>
      </c>
      <c r="S97">
        <f>IF(Table2[[#This Row],[Performance_Rating]]&gt;=3,Table2[[#This Row],[Monthly_Salary]]*0.3,"")</f>
        <v>9900</v>
      </c>
      <c r="T97">
        <v>80</v>
      </c>
      <c r="U97">
        <v>5</v>
      </c>
      <c r="V97">
        <v>1</v>
      </c>
      <c r="W97" t="s">
        <v>37</v>
      </c>
      <c r="X97" t="s">
        <v>38</v>
      </c>
      <c r="Y97" t="str">
        <f>IF(Table2[[#This Row],[Work_Mode]]&lt;&gt;"",Table2[[#This Row],[Work_Mode]],
IF(ISNUMBER(SEARCH("India",Table2[[#This Row],[Emp_Name]])),"Office",
IF(ISNUMBER(SEARCH("Foreign",Table2[[#This Row],[Emp_Name]])),"Remote","")))</f>
        <v>Hybrid</v>
      </c>
      <c r="AA9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97" t="s">
        <v>58</v>
      </c>
      <c r="AC97" t="str">
        <f>IF(COUNTIF(Table2[Emp_ID],Table2[[#This Row],[Emp_ID]])&gt;1,"Duplicate","Unique")</f>
        <v>Unique</v>
      </c>
      <c r="AE97" s="2"/>
      <c r="AG97" t="str">
        <f>IF(Table2[[#This Row],[Monthly_Salary]]="","Exclude",
IF(Table2[[#This Row],[Row_Status]]="Mismatch","Exclude",
IF(AND(Table2[[#This Row],[Row_Status]]="Exact Duplicate",
COUNTIFS(Table2[Emp_ID],Table2[[#This Row],[Emp_ID]],Table2[Row_Concat],Table2[[#This Row],[Row_Concat]],
Table2[Row_Number],"&lt;"&amp;Table2[[#This Row],[Row_Number]])&gt;=1),"Delete","")))</f>
        <v/>
      </c>
      <c r="AH97" t="str">
        <f>VLOOKUP(Table2[[#This Row],[Department]],Raw_2!A:B,2,0)</f>
        <v>Day</v>
      </c>
      <c r="AI97">
        <f>VLOOKUP(Table2[[#This Row],[Department]],Raw_2!A:C,3,0)</f>
        <v>12</v>
      </c>
    </row>
    <row r="98" spans="1:35">
      <c r="A98" t="s">
        <v>241</v>
      </c>
      <c r="B98" t="s">
        <v>242</v>
      </c>
      <c r="C98">
        <v>27</v>
      </c>
      <c r="E98" t="str">
        <f>IF(OR(Table2[[#This Row],[Gender]]="Male",Table2[[#This Row],[Gender]]="M"),"M",
IF(OR(Table2[[#This Row],[Gender]]="Female",Table2[[#This Row],[Gender]]="F"),"F",""))</f>
        <v/>
      </c>
      <c r="F98" t="s">
        <v>26</v>
      </c>
      <c r="G98" t="s">
        <v>18</v>
      </c>
      <c r="H98" t="s">
        <v>51</v>
      </c>
      <c r="I98" t="s">
        <v>1059</v>
      </c>
      <c r="J98" t="str">
        <f>IF(ISNUMBER(SEARCH("India",Table2[[#This Row],[Emp_Name]])),"INR",
IF(ISNUMBER(SEARCH("Foreign",Table2[[#This Row],[Emp_Name]])),Table2[[#This Row],[Currency]],Table2[[#This Row],[Currency]]))</f>
        <v>USD</v>
      </c>
      <c r="K98">
        <v>48000</v>
      </c>
      <c r="L98">
        <v>12</v>
      </c>
      <c r="M98">
        <f>IF(Table2[[#This Row],[Num_Month]]&lt;&gt;12,12,Table2[[#This Row],[Num_Month]])</f>
        <v>12</v>
      </c>
      <c r="N98">
        <f>IF(Table2[[#This Row],[Monthly_Salary]]="","",Table2[[#This Row],[Monthly_Salary]]*Table2[[#This Row],[Num_Month_Final]])</f>
        <v>576000</v>
      </c>
      <c r="O98">
        <v>4</v>
      </c>
      <c r="P98">
        <f>IF(Table2[[#This Row],[Exp_Years]]&lt;0,ABS(Table2[[#This Row],[Exp_Years]]),Table2[[#This Row],[Exp_Years]])</f>
        <v>4</v>
      </c>
      <c r="Q98">
        <v>5</v>
      </c>
      <c r="R98">
        <v>21000</v>
      </c>
      <c r="S98">
        <f>IF(Table2[[#This Row],[Performance_Rating]]&gt;=3,Table2[[#This Row],[Monthly_Salary]]*0.3,"")</f>
        <v>14400</v>
      </c>
      <c r="T98">
        <v>95</v>
      </c>
      <c r="U98">
        <v>10</v>
      </c>
      <c r="V98">
        <v>1</v>
      </c>
      <c r="W98" t="s">
        <v>37</v>
      </c>
      <c r="X98" t="s">
        <v>28</v>
      </c>
      <c r="Y98" t="str">
        <f>IF(Table2[[#This Row],[Work_Mode]]&lt;&gt;"",Table2[[#This Row],[Work_Mode]],
IF(ISNUMBER(SEARCH("India",Table2[[#This Row],[Emp_Name]])),"Office",
IF(ISNUMBER(SEARCH("Foreign",Table2[[#This Row],[Emp_Name]])),"Remote","")))</f>
        <v>Remote</v>
      </c>
      <c r="Z98">
        <v>10</v>
      </c>
      <c r="AA9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98" t="s">
        <v>58</v>
      </c>
      <c r="AC98" t="str">
        <f>IF(COUNTIF(Table2[Emp_ID],Table2[[#This Row],[Emp_ID]])&gt;1,"Duplicate","Unique")</f>
        <v>Unique</v>
      </c>
      <c r="AE98" s="2"/>
      <c r="AG98" t="str">
        <f>IF(Table2[[#This Row],[Monthly_Salary]]="","Exclude",
IF(Table2[[#This Row],[Row_Status]]="Mismatch","Exclude",
IF(AND(Table2[[#This Row],[Row_Status]]="Exact Duplicate",
COUNTIFS(Table2[Emp_ID],Table2[[#This Row],[Emp_ID]],Table2[Row_Concat],Table2[[#This Row],[Row_Concat]],
Table2[Row_Number],"&lt;"&amp;Table2[[#This Row],[Row_Number]])&gt;=1),"Delete","")))</f>
        <v/>
      </c>
      <c r="AH98" t="str">
        <f>VLOOKUP(Table2[[#This Row],[Department]],Raw_2!A:B,2,0)</f>
        <v>Day</v>
      </c>
      <c r="AI98">
        <f>VLOOKUP(Table2[[#This Row],[Department]],Raw_2!A:C,3,0)</f>
        <v>10</v>
      </c>
    </row>
    <row r="99" spans="1:35">
      <c r="A99" t="s">
        <v>243</v>
      </c>
      <c r="B99" t="s">
        <v>244</v>
      </c>
      <c r="C99">
        <v>26</v>
      </c>
      <c r="D99" t="s">
        <v>16</v>
      </c>
      <c r="E99" t="str">
        <f>IF(OR(Table2[[#This Row],[Gender]]="Male",Table2[[#This Row],[Gender]]="M"),"M",
IF(OR(Table2[[#This Row],[Gender]]="Female",Table2[[#This Row],[Gender]]="F"),"F",""))</f>
        <v>M</v>
      </c>
      <c r="F99" t="s">
        <v>73</v>
      </c>
      <c r="G99" t="s">
        <v>18</v>
      </c>
      <c r="H99" t="s">
        <v>51</v>
      </c>
      <c r="I99" t="s">
        <v>1060</v>
      </c>
      <c r="J99" t="str">
        <f>IF(ISNUMBER(SEARCH("India",Table2[[#This Row],[Emp_Name]])),"INR",
IF(ISNUMBER(SEARCH("Foreign",Table2[[#This Row],[Emp_Name]])),Table2[[#This Row],[Currency]],Table2[[#This Row],[Currency]]))</f>
        <v>INR</v>
      </c>
      <c r="K99">
        <v>37000</v>
      </c>
      <c r="L99">
        <v>12</v>
      </c>
      <c r="M99">
        <f>IF(Table2[[#This Row],[Num_Month]]&lt;&gt;12,12,Table2[[#This Row],[Num_Month]])</f>
        <v>12</v>
      </c>
      <c r="N99">
        <f>IF(Table2[[#This Row],[Monthly_Salary]]="","",Table2[[#This Row],[Monthly_Salary]]*Table2[[#This Row],[Num_Month_Final]])</f>
        <v>444000</v>
      </c>
      <c r="O99">
        <v>2</v>
      </c>
      <c r="P99">
        <f>IF(Table2[[#This Row],[Exp_Years]]&lt;0,ABS(Table2[[#This Row],[Exp_Years]]),Table2[[#This Row],[Exp_Years]])</f>
        <v>2</v>
      </c>
      <c r="Q99">
        <v>2</v>
      </c>
      <c r="S99" t="str">
        <f>IF(Table2[[#This Row],[Performance_Rating]]&gt;=3,Table2[[#This Row],[Monthly_Salary]]*0.3,"")</f>
        <v/>
      </c>
      <c r="T99">
        <v>80</v>
      </c>
      <c r="U99">
        <v>5</v>
      </c>
      <c r="V99">
        <v>1</v>
      </c>
      <c r="W99" t="s">
        <v>21</v>
      </c>
      <c r="X99" t="s">
        <v>38</v>
      </c>
      <c r="Y99" t="str">
        <f>IF(Table2[[#This Row],[Work_Mode]]&lt;&gt;"",Table2[[#This Row],[Work_Mode]],
IF(ISNUMBER(SEARCH("India",Table2[[#This Row],[Emp_Name]])),"Office",
IF(ISNUMBER(SEARCH("Foreign",Table2[[#This Row],[Emp_Name]])),"Remote","")))</f>
        <v>Hybrid</v>
      </c>
      <c r="Z99">
        <v>5</v>
      </c>
      <c r="AA9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99" t="s">
        <v>39</v>
      </c>
      <c r="AC99" t="str">
        <f>IF(COUNTIF(Table2[Emp_ID],Table2[[#This Row],[Emp_ID]])&gt;1,"Duplicate","Unique")</f>
        <v>Unique</v>
      </c>
      <c r="AE99" s="2"/>
      <c r="AG99" t="str">
        <f>IF(Table2[[#This Row],[Monthly_Salary]]="","Exclude",
IF(Table2[[#This Row],[Row_Status]]="Mismatch","Exclude",
IF(AND(Table2[[#This Row],[Row_Status]]="Exact Duplicate",
COUNTIFS(Table2[Emp_ID],Table2[[#This Row],[Emp_ID]],Table2[Row_Concat],Table2[[#This Row],[Row_Concat]],
Table2[Row_Number],"&lt;"&amp;Table2[[#This Row],[Row_Number]])&gt;=1),"Delete","")))</f>
        <v/>
      </c>
      <c r="AH99" t="str">
        <f>VLOOKUP(Table2[[#This Row],[Department]],Raw_2!A:B,2,0)</f>
        <v>Day</v>
      </c>
      <c r="AI99">
        <f>VLOOKUP(Table2[[#This Row],[Department]],Raw_2!A:C,3,0)</f>
        <v>10</v>
      </c>
    </row>
    <row r="100" spans="1:35">
      <c r="A100" t="s">
        <v>245</v>
      </c>
      <c r="B100" t="s">
        <v>246</v>
      </c>
      <c r="C100">
        <v>27</v>
      </c>
      <c r="E100" t="str">
        <f>IF(OR(Table2[[#This Row],[Gender]]="Male",Table2[[#This Row],[Gender]]="M"),"M",
IF(OR(Table2[[#This Row],[Gender]]="Female",Table2[[#This Row],[Gender]]="F"),"F",""))</f>
        <v/>
      </c>
      <c r="F100" t="s">
        <v>17</v>
      </c>
      <c r="G100" t="s">
        <v>42</v>
      </c>
      <c r="H100" t="s">
        <v>51</v>
      </c>
      <c r="I100" t="s">
        <v>1060</v>
      </c>
      <c r="J100" t="str">
        <f>IF(ISNUMBER(SEARCH("India",Table2[[#This Row],[Emp_Name]])),"INR",
IF(ISNUMBER(SEARCH("Foreign",Table2[[#This Row],[Emp_Name]])),Table2[[#This Row],[Currency]],Table2[[#This Row],[Currency]]))</f>
        <v>INR</v>
      </c>
      <c r="K100">
        <v>37000</v>
      </c>
      <c r="L100">
        <v>12</v>
      </c>
      <c r="M100">
        <f>IF(Table2[[#This Row],[Num_Month]]&lt;&gt;12,12,Table2[[#This Row],[Num_Month]])</f>
        <v>12</v>
      </c>
      <c r="N100">
        <f>IF(Table2[[#This Row],[Monthly_Salary]]="","",Table2[[#This Row],[Monthly_Salary]]*Table2[[#This Row],[Num_Month_Final]])</f>
        <v>444000</v>
      </c>
      <c r="O100">
        <v>2</v>
      </c>
      <c r="P100">
        <f>IF(Table2[[#This Row],[Exp_Years]]&lt;0,ABS(Table2[[#This Row],[Exp_Years]]),Table2[[#This Row],[Exp_Years]])</f>
        <v>2</v>
      </c>
      <c r="Q100">
        <v>1</v>
      </c>
      <c r="S100" t="str">
        <f>IF(Table2[[#This Row],[Performance_Rating]]&gt;=3,Table2[[#This Row],[Monthly_Salary]]*0.3,"")</f>
        <v/>
      </c>
      <c r="T100">
        <v>90</v>
      </c>
      <c r="U100">
        <v>15</v>
      </c>
      <c r="V100">
        <v>5</v>
      </c>
      <c r="W100" t="s">
        <v>37</v>
      </c>
      <c r="X100" t="s">
        <v>38</v>
      </c>
      <c r="Y100" t="str">
        <f>IF(Table2[[#This Row],[Work_Mode]]&lt;&gt;"",Table2[[#This Row],[Work_Mode]],
IF(ISNUMBER(SEARCH("India",Table2[[#This Row],[Emp_Name]])),"Office",
IF(ISNUMBER(SEARCH("Foreign",Table2[[#This Row],[Emp_Name]])),"Remote","")))</f>
        <v>Hybrid</v>
      </c>
      <c r="Z100">
        <v>5</v>
      </c>
      <c r="AA10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100" t="s">
        <v>39</v>
      </c>
      <c r="AC100" t="str">
        <f>IF(COUNTIF(Table2[Emp_ID],Table2[[#This Row],[Emp_ID]])&gt;1,"Duplicate","Unique")</f>
        <v>Unique</v>
      </c>
      <c r="AE100" s="2"/>
      <c r="AG100" t="str">
        <f>IF(Table2[[#This Row],[Monthly_Salary]]="","Exclude",
IF(Table2[[#This Row],[Row_Status]]="Mismatch","Exclude",
IF(AND(Table2[[#This Row],[Row_Status]]="Exact Duplicate",
COUNTIFS(Table2[Emp_ID],Table2[[#This Row],[Emp_ID]],Table2[Row_Concat],Table2[[#This Row],[Row_Concat]],
Table2[Row_Number],"&lt;"&amp;Table2[[#This Row],[Row_Number]])&gt;=1),"Delete","")))</f>
        <v/>
      </c>
      <c r="AH100" t="str">
        <f>VLOOKUP(Table2[[#This Row],[Department]],Raw_2!A:B,2,0)</f>
        <v>Day</v>
      </c>
      <c r="AI100">
        <f>VLOOKUP(Table2[[#This Row],[Department]],Raw_2!A:C,3,0)</f>
        <v>14</v>
      </c>
    </row>
    <row r="101" spans="1:35">
      <c r="A101" t="s">
        <v>247</v>
      </c>
      <c r="B101" t="s">
        <v>248</v>
      </c>
      <c r="C101">
        <v>25</v>
      </c>
      <c r="D101" t="s">
        <v>46</v>
      </c>
      <c r="E101" t="str">
        <f>IF(OR(Table2[[#This Row],[Gender]]="Male",Table2[[#This Row],[Gender]]="M"),"M",
IF(OR(Table2[[#This Row],[Gender]]="Female",Table2[[#This Row],[Gender]]="F"),"F",""))</f>
        <v>M</v>
      </c>
      <c r="F101" t="s">
        <v>26</v>
      </c>
      <c r="G101" t="s">
        <v>31</v>
      </c>
      <c r="H101" t="s">
        <v>51</v>
      </c>
      <c r="I101" t="s">
        <v>1060</v>
      </c>
      <c r="J101" t="str">
        <f>IF(ISNUMBER(SEARCH("India",Table2[[#This Row],[Emp_Name]])),"INR",
IF(ISNUMBER(SEARCH("Foreign",Table2[[#This Row],[Emp_Name]])),Table2[[#This Row],[Currency]],Table2[[#This Row],[Currency]]))</f>
        <v>INR</v>
      </c>
      <c r="K101">
        <v>37000</v>
      </c>
      <c r="L101">
        <v>12</v>
      </c>
      <c r="M101">
        <f>IF(Table2[[#This Row],[Num_Month]]&lt;&gt;12,12,Table2[[#This Row],[Num_Month]])</f>
        <v>12</v>
      </c>
      <c r="N101">
        <f>IF(Table2[[#This Row],[Monthly_Salary]]="","",Table2[[#This Row],[Monthly_Salary]]*Table2[[#This Row],[Num_Month_Final]])</f>
        <v>444000</v>
      </c>
      <c r="O101">
        <v>2</v>
      </c>
      <c r="P101">
        <f>IF(Table2[[#This Row],[Exp_Years]]&lt;0,ABS(Table2[[#This Row],[Exp_Years]]),Table2[[#This Row],[Exp_Years]])</f>
        <v>2</v>
      </c>
      <c r="Q101">
        <v>2</v>
      </c>
      <c r="S101" t="str">
        <f>IF(Table2[[#This Row],[Performance_Rating]]&gt;=3,Table2[[#This Row],[Monthly_Salary]]*0.3,"")</f>
        <v/>
      </c>
      <c r="T101">
        <v>85</v>
      </c>
      <c r="U101">
        <v>15</v>
      </c>
      <c r="V101">
        <v>3</v>
      </c>
      <c r="X101" t="s">
        <v>38</v>
      </c>
      <c r="Y101" t="str">
        <f>IF(Table2[[#This Row],[Work_Mode]]&lt;&gt;"",Table2[[#This Row],[Work_Mode]],
IF(ISNUMBER(SEARCH("India",Table2[[#This Row],[Emp_Name]])),"Office",
IF(ISNUMBER(SEARCH("Foreign",Table2[[#This Row],[Emp_Name]])),"Remote","")))</f>
        <v>Hybrid</v>
      </c>
      <c r="AA10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01" t="s">
        <v>39</v>
      </c>
      <c r="AC101" t="str">
        <f>IF(COUNTIF(Table2[Emp_ID],Table2[[#This Row],[Emp_ID]])&gt;1,"Duplicate","Unique")</f>
        <v>Unique</v>
      </c>
      <c r="AE101" s="2"/>
      <c r="AG101" t="str">
        <f>IF(Table2[[#This Row],[Monthly_Salary]]="","Exclude",
IF(Table2[[#This Row],[Row_Status]]="Mismatch","Exclude",
IF(AND(Table2[[#This Row],[Row_Status]]="Exact Duplicate",
COUNTIFS(Table2[Emp_ID],Table2[[#This Row],[Emp_ID]],Table2[Row_Concat],Table2[[#This Row],[Row_Concat]],
Table2[Row_Number],"&lt;"&amp;Table2[[#This Row],[Row_Number]])&gt;=1),"Delete","")))</f>
        <v/>
      </c>
      <c r="AH101" t="str">
        <f>VLOOKUP(Table2[[#This Row],[Department]],Raw_2!A:B,2,0)</f>
        <v>Night</v>
      </c>
      <c r="AI101">
        <f>VLOOKUP(Table2[[#This Row],[Department]],Raw_2!A:C,3,0)</f>
        <v>13</v>
      </c>
    </row>
    <row r="102" spans="1:35">
      <c r="A102" t="s">
        <v>249</v>
      </c>
      <c r="B102" t="s">
        <v>250</v>
      </c>
      <c r="C102">
        <v>26</v>
      </c>
      <c r="E102" t="str">
        <f>IF(OR(Table2[[#This Row],[Gender]]="Male",Table2[[#This Row],[Gender]]="M"),"M",
IF(OR(Table2[[#This Row],[Gender]]="Female",Table2[[#This Row],[Gender]]="F"),"F",""))</f>
        <v/>
      </c>
      <c r="F102" t="s">
        <v>26</v>
      </c>
      <c r="G102" t="s">
        <v>36</v>
      </c>
      <c r="H102" t="s">
        <v>51</v>
      </c>
      <c r="I102" t="s">
        <v>1060</v>
      </c>
      <c r="J102" t="str">
        <f>IF(ISNUMBER(SEARCH("India",Table2[[#This Row],[Emp_Name]])),"INR",
IF(ISNUMBER(SEARCH("Foreign",Table2[[#This Row],[Emp_Name]])),Table2[[#This Row],[Currency]],Table2[[#This Row],[Currency]]))</f>
        <v>INR</v>
      </c>
      <c r="K102">
        <v>47000</v>
      </c>
      <c r="L102">
        <v>12</v>
      </c>
      <c r="M102">
        <f>IF(Table2[[#This Row],[Num_Month]]&lt;&gt;12,12,Table2[[#This Row],[Num_Month]])</f>
        <v>12</v>
      </c>
      <c r="N102">
        <f>IF(Table2[[#This Row],[Monthly_Salary]]="","",Table2[[#This Row],[Monthly_Salary]]*Table2[[#This Row],[Num_Month_Final]])</f>
        <v>564000</v>
      </c>
      <c r="O102">
        <v>3</v>
      </c>
      <c r="P102">
        <f>IF(Table2[[#This Row],[Exp_Years]]&lt;0,ABS(Table2[[#This Row],[Exp_Years]]),Table2[[#This Row],[Exp_Years]])</f>
        <v>3</v>
      </c>
      <c r="Q102">
        <v>2</v>
      </c>
      <c r="S102" t="str">
        <f>IF(Table2[[#This Row],[Performance_Rating]]&gt;=3,Table2[[#This Row],[Monthly_Salary]]*0.3,"")</f>
        <v/>
      </c>
      <c r="T102">
        <v>95</v>
      </c>
      <c r="U102">
        <v>10</v>
      </c>
      <c r="V102">
        <v>3</v>
      </c>
      <c r="X102" t="s">
        <v>38</v>
      </c>
      <c r="Y102" t="str">
        <f>IF(Table2[[#This Row],[Work_Mode]]&lt;&gt;"",Table2[[#This Row],[Work_Mode]],
IF(ISNUMBER(SEARCH("India",Table2[[#This Row],[Emp_Name]])),"Office",
IF(ISNUMBER(SEARCH("Foreign",Table2[[#This Row],[Emp_Name]])),"Remote","")))</f>
        <v>Hybrid</v>
      </c>
      <c r="Z102">
        <v>20</v>
      </c>
      <c r="AA10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102" t="s">
        <v>39</v>
      </c>
      <c r="AC102" t="str">
        <f>IF(COUNTIF(Table2[Emp_ID],Table2[[#This Row],[Emp_ID]])&gt;1,"Duplicate","Unique")</f>
        <v>Unique</v>
      </c>
      <c r="AE102" s="2"/>
      <c r="AG102" t="str">
        <f>IF(Table2[[#This Row],[Monthly_Salary]]="","Exclude",
IF(Table2[[#This Row],[Row_Status]]="Mismatch","Exclude",
IF(AND(Table2[[#This Row],[Row_Status]]="Exact Duplicate",
COUNTIFS(Table2[Emp_ID],Table2[[#This Row],[Emp_ID]],Table2[Row_Concat],Table2[[#This Row],[Row_Concat]],
Table2[Row_Number],"&lt;"&amp;Table2[[#This Row],[Row_Number]])&gt;=1),"Delete","")))</f>
        <v/>
      </c>
      <c r="AH102" t="str">
        <f>VLOOKUP(Table2[[#This Row],[Department]],Raw_2!A:B,2,0)</f>
        <v>Day</v>
      </c>
      <c r="AI102">
        <f>VLOOKUP(Table2[[#This Row],[Department]],Raw_2!A:C,3,0)</f>
        <v>25</v>
      </c>
    </row>
    <row r="103" spans="1:35">
      <c r="A103" t="s">
        <v>251</v>
      </c>
      <c r="B103" t="s">
        <v>252</v>
      </c>
      <c r="C103">
        <v>26</v>
      </c>
      <c r="D103" t="s">
        <v>46</v>
      </c>
      <c r="E103" t="str">
        <f>IF(OR(Table2[[#This Row],[Gender]]="Male",Table2[[#This Row],[Gender]]="M"),"M",
IF(OR(Table2[[#This Row],[Gender]]="Female",Table2[[#This Row],[Gender]]="F"),"F",""))</f>
        <v>M</v>
      </c>
      <c r="G103" t="s">
        <v>31</v>
      </c>
      <c r="H103" t="s">
        <v>51</v>
      </c>
      <c r="I103" t="s">
        <v>1060</v>
      </c>
      <c r="J103" t="str">
        <f>IF(ISNUMBER(SEARCH("India",Table2[[#This Row],[Emp_Name]])),"INR",
IF(ISNUMBER(SEARCH("Foreign",Table2[[#This Row],[Emp_Name]])),Table2[[#This Row],[Currency]],Table2[[#This Row],[Currency]]))</f>
        <v>INR</v>
      </c>
      <c r="K103">
        <v>35000</v>
      </c>
      <c r="L103">
        <v>12</v>
      </c>
      <c r="M103">
        <f>IF(Table2[[#This Row],[Num_Month]]&lt;&gt;12,12,Table2[[#This Row],[Num_Month]])</f>
        <v>12</v>
      </c>
      <c r="N103">
        <f>IF(Table2[[#This Row],[Monthly_Salary]]="","",Table2[[#This Row],[Monthly_Salary]]*Table2[[#This Row],[Num_Month_Final]])</f>
        <v>420000</v>
      </c>
      <c r="O103">
        <v>2</v>
      </c>
      <c r="P103">
        <f>IF(Table2[[#This Row],[Exp_Years]]&lt;0,ABS(Table2[[#This Row],[Exp_Years]]),Table2[[#This Row],[Exp_Years]])</f>
        <v>2</v>
      </c>
      <c r="Q103">
        <v>4</v>
      </c>
      <c r="R103">
        <v>5000</v>
      </c>
      <c r="S103">
        <f>IF(Table2[[#This Row],[Performance_Rating]]&gt;=3,Table2[[#This Row],[Monthly_Salary]]*0.3,"")</f>
        <v>10500</v>
      </c>
      <c r="T103">
        <v>80</v>
      </c>
      <c r="U103">
        <v>7</v>
      </c>
      <c r="V103">
        <v>5</v>
      </c>
      <c r="W103" t="s">
        <v>21</v>
      </c>
      <c r="X103" t="s">
        <v>19</v>
      </c>
      <c r="Y103" t="str">
        <f>IF(Table2[[#This Row],[Work_Mode]]&lt;&gt;"",Table2[[#This Row],[Work_Mode]],
IF(ISNUMBER(SEARCH("India",Table2[[#This Row],[Emp_Name]])),"Office",
IF(ISNUMBER(SEARCH("Foreign",Table2[[#This Row],[Emp_Name]])),"Remote","")))</f>
        <v>Office</v>
      </c>
      <c r="Z103">
        <v>10</v>
      </c>
      <c r="AA10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103" t="s">
        <v>22</v>
      </c>
      <c r="AC103" t="str">
        <f>IF(COUNTIF(Table2[Emp_ID],Table2[[#This Row],[Emp_ID]])&gt;1,"Duplicate","Unique")</f>
        <v>Unique</v>
      </c>
      <c r="AE103" s="2"/>
      <c r="AG103" t="str">
        <f>IF(Table2[[#This Row],[Monthly_Salary]]="","Exclude",
IF(Table2[[#This Row],[Row_Status]]="Mismatch","Exclude",
IF(AND(Table2[[#This Row],[Row_Status]]="Exact Duplicate",
COUNTIFS(Table2[Emp_ID],Table2[[#This Row],[Emp_ID]],Table2[Row_Concat],Table2[[#This Row],[Row_Concat]],
Table2[Row_Number],"&lt;"&amp;Table2[[#This Row],[Row_Number]])&gt;=1),"Delete","")))</f>
        <v/>
      </c>
      <c r="AH103" t="str">
        <f>VLOOKUP(Table2[[#This Row],[Department]],Raw_2!A:B,2,0)</f>
        <v>Night</v>
      </c>
      <c r="AI103">
        <f>VLOOKUP(Table2[[#This Row],[Department]],Raw_2!A:C,3,0)</f>
        <v>13</v>
      </c>
    </row>
    <row r="104" spans="1:35">
      <c r="A104" t="s">
        <v>253</v>
      </c>
      <c r="B104" t="s">
        <v>254</v>
      </c>
      <c r="C104">
        <v>27</v>
      </c>
      <c r="D104" t="s">
        <v>46</v>
      </c>
      <c r="E104" t="str">
        <f>IF(OR(Table2[[#This Row],[Gender]]="Male",Table2[[#This Row],[Gender]]="M"),"M",
IF(OR(Table2[[#This Row],[Gender]]="Female",Table2[[#This Row],[Gender]]="F"),"F",""))</f>
        <v>M</v>
      </c>
      <c r="F104" t="s">
        <v>73</v>
      </c>
      <c r="G104" t="s">
        <v>42</v>
      </c>
      <c r="H104" t="s">
        <v>51</v>
      </c>
      <c r="I104" t="s">
        <v>1060</v>
      </c>
      <c r="J104" t="str">
        <f>IF(ISNUMBER(SEARCH("India",Table2[[#This Row],[Emp_Name]])),"INR",
IF(ISNUMBER(SEARCH("Foreign",Table2[[#This Row],[Emp_Name]])),Table2[[#This Row],[Currency]],Table2[[#This Row],[Currency]]))</f>
        <v>INR</v>
      </c>
      <c r="L104">
        <v>12</v>
      </c>
      <c r="M104">
        <f>IF(Table2[[#This Row],[Num_Month]]&lt;&gt;12,12,Table2[[#This Row],[Num_Month]])</f>
        <v>12</v>
      </c>
      <c r="N104" t="str">
        <f>IF(Table2[[#This Row],[Monthly_Salary]]="","",Table2[[#This Row],[Monthly_Salary]]*Table2[[#This Row],[Num_Month_Final]])</f>
        <v/>
      </c>
      <c r="O104">
        <v>4</v>
      </c>
      <c r="P104">
        <f>IF(Table2[[#This Row],[Exp_Years]]&lt;0,ABS(Table2[[#This Row],[Exp_Years]]),Table2[[#This Row],[Exp_Years]])</f>
        <v>4</v>
      </c>
      <c r="Q104">
        <v>2</v>
      </c>
      <c r="S104" t="str">
        <f>IF(Table2[[#This Row],[Performance_Rating]]&gt;=3,Table2[[#This Row],[Monthly_Salary]]*0.3,"")</f>
        <v/>
      </c>
      <c r="T104">
        <v>85</v>
      </c>
      <c r="U104">
        <v>10</v>
      </c>
      <c r="V104">
        <v>1</v>
      </c>
      <c r="W104" t="s">
        <v>37</v>
      </c>
      <c r="X104" t="s">
        <v>19</v>
      </c>
      <c r="Y104" t="str">
        <f>IF(Table2[[#This Row],[Work_Mode]]&lt;&gt;"",Table2[[#This Row],[Work_Mode]],
IF(ISNUMBER(SEARCH("India",Table2[[#This Row],[Emp_Name]])),"Office",
IF(ISNUMBER(SEARCH("Foreign",Table2[[#This Row],[Emp_Name]])),"Remote","")))</f>
        <v>Office</v>
      </c>
      <c r="Z104">
        <v>20</v>
      </c>
      <c r="AA10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104" t="s">
        <v>39</v>
      </c>
      <c r="AC104" t="str">
        <f>IF(COUNTIF(Table2[Emp_ID],Table2[[#This Row],[Emp_ID]])&gt;1,"Duplicate","Unique")</f>
        <v>Unique</v>
      </c>
      <c r="AE104" s="2"/>
      <c r="AG104" t="str">
        <f>IF(Table2[[#This Row],[Monthly_Salary]]="","Exclude",
IF(Table2[[#This Row],[Row_Status]]="Mismatch","Exclude",
IF(AND(Table2[[#This Row],[Row_Status]]="Exact Duplicate",
COUNTIFS(Table2[Emp_ID],Table2[[#This Row],[Emp_ID]],Table2[Row_Concat],Table2[[#This Row],[Row_Concat]],
Table2[Row_Number],"&lt;"&amp;Table2[[#This Row],[Row_Number]])&gt;=1),"Delete","")))</f>
        <v>Exclude</v>
      </c>
      <c r="AH104" t="str">
        <f>VLOOKUP(Table2[[#This Row],[Department]],Raw_2!A:B,2,0)</f>
        <v>Day</v>
      </c>
      <c r="AI104">
        <f>VLOOKUP(Table2[[#This Row],[Department]],Raw_2!A:C,3,0)</f>
        <v>14</v>
      </c>
    </row>
    <row r="105" spans="1:35">
      <c r="A105" t="s">
        <v>255</v>
      </c>
      <c r="B105" t="s">
        <v>256</v>
      </c>
      <c r="C105">
        <v>27</v>
      </c>
      <c r="E105" t="str">
        <f>IF(OR(Table2[[#This Row],[Gender]]="Male",Table2[[#This Row],[Gender]]="M"),"M",
IF(OR(Table2[[#This Row],[Gender]]="Female",Table2[[#This Row],[Gender]]="F"),"F",""))</f>
        <v/>
      </c>
      <c r="F105" t="s">
        <v>26</v>
      </c>
      <c r="G105" t="s">
        <v>31</v>
      </c>
      <c r="H105" t="s">
        <v>1045</v>
      </c>
      <c r="I105" t="s">
        <v>1059</v>
      </c>
      <c r="J105" t="str">
        <f>IF(ISNUMBER(SEARCH("India",Table2[[#This Row],[Emp_Name]])),"INR",
IF(ISNUMBER(SEARCH("Foreign",Table2[[#This Row],[Emp_Name]])),Table2[[#This Row],[Currency]],Table2[[#This Row],[Currency]]))</f>
        <v>USD</v>
      </c>
      <c r="K105">
        <v>81000</v>
      </c>
      <c r="L105">
        <v>12</v>
      </c>
      <c r="M105">
        <f>IF(Table2[[#This Row],[Num_Month]]&lt;&gt;12,12,Table2[[#This Row],[Num_Month]])</f>
        <v>12</v>
      </c>
      <c r="N105">
        <f>IF(Table2[[#This Row],[Monthly_Salary]]="","",Table2[[#This Row],[Monthly_Salary]]*Table2[[#This Row],[Num_Month_Final]])</f>
        <v>972000</v>
      </c>
      <c r="O105">
        <v>6</v>
      </c>
      <c r="P105">
        <f>IF(Table2[[#This Row],[Exp_Years]]&lt;0,ABS(Table2[[#This Row],[Exp_Years]]),Table2[[#This Row],[Exp_Years]])</f>
        <v>6</v>
      </c>
      <c r="Q105">
        <v>1</v>
      </c>
      <c r="S105" t="str">
        <f>IF(Table2[[#This Row],[Performance_Rating]]&gt;=3,Table2[[#This Row],[Monthly_Salary]]*0.3,"")</f>
        <v/>
      </c>
      <c r="T105">
        <v>80</v>
      </c>
      <c r="U105">
        <v>15</v>
      </c>
      <c r="V105">
        <v>11</v>
      </c>
      <c r="W105" t="s">
        <v>37</v>
      </c>
      <c r="X105" t="s">
        <v>28</v>
      </c>
      <c r="Y105" t="str">
        <f>IF(Table2[[#This Row],[Work_Mode]]&lt;&gt;"",Table2[[#This Row],[Work_Mode]],
IF(ISNUMBER(SEARCH("India",Table2[[#This Row],[Emp_Name]])),"Office",
IF(ISNUMBER(SEARCH("Foreign",Table2[[#This Row],[Emp_Name]])),"Remote","")))</f>
        <v>Remote</v>
      </c>
      <c r="Z105">
        <v>10</v>
      </c>
      <c r="AA10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105" t="s">
        <v>39</v>
      </c>
      <c r="AC105" t="str">
        <f>IF(COUNTIF(Table2[Emp_ID],Table2[[#This Row],[Emp_ID]])&gt;1,"Duplicate","Unique")</f>
        <v>Unique</v>
      </c>
      <c r="AE105" s="2"/>
      <c r="AG105" t="str">
        <f>IF(Table2[[#This Row],[Monthly_Salary]]="","Exclude",
IF(Table2[[#This Row],[Row_Status]]="Mismatch","Exclude",
IF(AND(Table2[[#This Row],[Row_Status]]="Exact Duplicate",
COUNTIFS(Table2[Emp_ID],Table2[[#This Row],[Emp_ID]],Table2[Row_Concat],Table2[[#This Row],[Row_Concat]],
Table2[Row_Number],"&lt;"&amp;Table2[[#This Row],[Row_Number]])&gt;=1),"Delete","")))</f>
        <v/>
      </c>
      <c r="AH105" t="str">
        <f>VLOOKUP(Table2[[#This Row],[Department]],Raw_2!A:B,2,0)</f>
        <v>Night</v>
      </c>
      <c r="AI105">
        <f>VLOOKUP(Table2[[#This Row],[Department]],Raw_2!A:C,3,0)</f>
        <v>13</v>
      </c>
    </row>
    <row r="106" spans="1:35">
      <c r="A106" t="s">
        <v>257</v>
      </c>
      <c r="B106" t="s">
        <v>258</v>
      </c>
      <c r="C106">
        <v>29</v>
      </c>
      <c r="E106" t="str">
        <f>IF(OR(Table2[[#This Row],[Gender]]="Male",Table2[[#This Row],[Gender]]="M"),"M",
IF(OR(Table2[[#This Row],[Gender]]="Female",Table2[[#This Row],[Gender]]="F"),"F",""))</f>
        <v/>
      </c>
      <c r="F106" t="s">
        <v>50</v>
      </c>
      <c r="G106" t="s">
        <v>42</v>
      </c>
      <c r="H106" t="s">
        <v>1045</v>
      </c>
      <c r="I106" t="s">
        <v>1060</v>
      </c>
      <c r="J106" t="str">
        <f>IF(ISNUMBER(SEARCH("India",Table2[[#This Row],[Emp_Name]])),"INR",
IF(ISNUMBER(SEARCH("Foreign",Table2[[#This Row],[Emp_Name]])),Table2[[#This Row],[Currency]],Table2[[#This Row],[Currency]]))</f>
        <v>INR</v>
      </c>
      <c r="K106">
        <v>78000</v>
      </c>
      <c r="L106">
        <v>12</v>
      </c>
      <c r="M106">
        <f>IF(Table2[[#This Row],[Num_Month]]&lt;&gt;12,12,Table2[[#This Row],[Num_Month]])</f>
        <v>12</v>
      </c>
      <c r="N106">
        <f>IF(Table2[[#This Row],[Monthly_Salary]]="","",Table2[[#This Row],[Monthly_Salary]]*Table2[[#This Row],[Num_Month_Final]])</f>
        <v>936000</v>
      </c>
      <c r="O106">
        <v>5</v>
      </c>
      <c r="P106">
        <f>IF(Table2[[#This Row],[Exp_Years]]&lt;0,ABS(Table2[[#This Row],[Exp_Years]]),Table2[[#This Row],[Exp_Years]])</f>
        <v>5</v>
      </c>
      <c r="Q106">
        <v>5</v>
      </c>
      <c r="R106">
        <v>10005</v>
      </c>
      <c r="S106">
        <f>IF(Table2[[#This Row],[Performance_Rating]]&gt;=3,Table2[[#This Row],[Monthly_Salary]]*0.3,"")</f>
        <v>23400</v>
      </c>
      <c r="T106">
        <v>85</v>
      </c>
      <c r="U106">
        <v>10</v>
      </c>
      <c r="V106">
        <v>1</v>
      </c>
      <c r="X106" t="s">
        <v>19</v>
      </c>
      <c r="Y106" t="str">
        <f>IF(Table2[[#This Row],[Work_Mode]]&lt;&gt;"",Table2[[#This Row],[Work_Mode]],
IF(ISNUMBER(SEARCH("India",Table2[[#This Row],[Emp_Name]])),"Office",
IF(ISNUMBER(SEARCH("Foreign",Table2[[#This Row],[Emp_Name]])),"Remote","")))</f>
        <v>Office</v>
      </c>
      <c r="Z106">
        <v>20</v>
      </c>
      <c r="AA10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106" t="s">
        <v>58</v>
      </c>
      <c r="AC106" t="str">
        <f>IF(COUNTIF(Table2[Emp_ID],Table2[[#This Row],[Emp_ID]])&gt;1,"Duplicate","Unique")</f>
        <v>Unique</v>
      </c>
      <c r="AE106" s="2"/>
      <c r="AG106" t="str">
        <f>IF(Table2[[#This Row],[Monthly_Salary]]="","Exclude",
IF(Table2[[#This Row],[Row_Status]]="Mismatch","Exclude",
IF(AND(Table2[[#This Row],[Row_Status]]="Exact Duplicate",
COUNTIFS(Table2[Emp_ID],Table2[[#This Row],[Emp_ID]],Table2[Row_Concat],Table2[[#This Row],[Row_Concat]],
Table2[Row_Number],"&lt;"&amp;Table2[[#This Row],[Row_Number]])&gt;=1),"Delete","")))</f>
        <v/>
      </c>
      <c r="AH106" t="str">
        <f>VLOOKUP(Table2[[#This Row],[Department]],Raw_2!A:B,2,0)</f>
        <v>Day</v>
      </c>
      <c r="AI106">
        <f>VLOOKUP(Table2[[#This Row],[Department]],Raw_2!A:C,3,0)</f>
        <v>14</v>
      </c>
    </row>
    <row r="107" spans="1:35">
      <c r="A107" t="s">
        <v>259</v>
      </c>
      <c r="B107" t="s">
        <v>260</v>
      </c>
      <c r="C107">
        <v>34</v>
      </c>
      <c r="D107" t="s">
        <v>25</v>
      </c>
      <c r="E107" t="str">
        <f>IF(OR(Table2[[#This Row],[Gender]]="Male",Table2[[#This Row],[Gender]]="M"),"M",
IF(OR(Table2[[#This Row],[Gender]]="Female",Table2[[#This Row],[Gender]]="F"),"F",""))</f>
        <v>F</v>
      </c>
      <c r="F107" t="s">
        <v>17</v>
      </c>
      <c r="G107" t="s">
        <v>27</v>
      </c>
      <c r="H107" t="s">
        <v>32</v>
      </c>
      <c r="I107" t="s">
        <v>1060</v>
      </c>
      <c r="J107" t="str">
        <f>IF(ISNUMBER(SEARCH("India",Table2[[#This Row],[Emp_Name]])),"INR",
IF(ISNUMBER(SEARCH("Foreign",Table2[[#This Row],[Emp_Name]])),Table2[[#This Row],[Currency]],Table2[[#This Row],[Currency]]))</f>
        <v>INR</v>
      </c>
      <c r="K107">
        <v>90000</v>
      </c>
      <c r="L107">
        <v>12</v>
      </c>
      <c r="M107">
        <f>IF(Table2[[#This Row],[Num_Month]]&lt;&gt;12,12,Table2[[#This Row],[Num_Month]])</f>
        <v>12</v>
      </c>
      <c r="N107">
        <f>IF(Table2[[#This Row],[Monthly_Salary]]="","",Table2[[#This Row],[Monthly_Salary]]*Table2[[#This Row],[Num_Month_Final]])</f>
        <v>1080000</v>
      </c>
      <c r="O107">
        <v>9</v>
      </c>
      <c r="P107">
        <f>IF(Table2[[#This Row],[Exp_Years]]&lt;0,ABS(Table2[[#This Row],[Exp_Years]]),Table2[[#This Row],[Exp_Years]])</f>
        <v>9</v>
      </c>
      <c r="Q107">
        <v>1</v>
      </c>
      <c r="S107" t="str">
        <f>IF(Table2[[#This Row],[Performance_Rating]]&gt;=3,Table2[[#This Row],[Monthly_Salary]]*0.3,"")</f>
        <v/>
      </c>
      <c r="T107">
        <v>85</v>
      </c>
      <c r="U107">
        <v>10</v>
      </c>
      <c r="V107">
        <v>3</v>
      </c>
      <c r="X107" t="s">
        <v>38</v>
      </c>
      <c r="Y107" t="str">
        <f>IF(Table2[[#This Row],[Work_Mode]]&lt;&gt;"",Table2[[#This Row],[Work_Mode]],
IF(ISNUMBER(SEARCH("India",Table2[[#This Row],[Emp_Name]])),"Office",
IF(ISNUMBER(SEARCH("Foreign",Table2[[#This Row],[Emp_Name]])),"Remote","")))</f>
        <v>Hybrid</v>
      </c>
      <c r="AA10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07" t="s">
        <v>39</v>
      </c>
      <c r="AC107" t="str">
        <f>IF(COUNTIF(Table2[Emp_ID],Table2[[#This Row],[Emp_ID]])&gt;1,"Duplicate","Unique")</f>
        <v>Unique</v>
      </c>
      <c r="AE107" s="2"/>
      <c r="AG107" t="str">
        <f>IF(Table2[[#This Row],[Monthly_Salary]]="","Exclude",
IF(Table2[[#This Row],[Row_Status]]="Mismatch","Exclude",
IF(AND(Table2[[#This Row],[Row_Status]]="Exact Duplicate",
COUNTIFS(Table2[Emp_ID],Table2[[#This Row],[Emp_ID]],Table2[Row_Concat],Table2[[#This Row],[Row_Concat]],
Table2[Row_Number],"&lt;"&amp;Table2[[#This Row],[Row_Number]])&gt;=1),"Delete","")))</f>
        <v/>
      </c>
      <c r="AH107" t="str">
        <f>VLOOKUP(Table2[[#This Row],[Department]],Raw_2!A:B,2,0)</f>
        <v>Day</v>
      </c>
      <c r="AI107">
        <f>VLOOKUP(Table2[[#This Row],[Department]],Raw_2!A:C,3,0)</f>
        <v>12</v>
      </c>
    </row>
    <row r="108" spans="1:35">
      <c r="A108" t="s">
        <v>261</v>
      </c>
      <c r="B108" t="s">
        <v>262</v>
      </c>
      <c r="C108">
        <v>43</v>
      </c>
      <c r="E108" t="str">
        <f>IF(OR(Table2[[#This Row],[Gender]]="Male",Table2[[#This Row],[Gender]]="M"),"M",
IF(OR(Table2[[#This Row],[Gender]]="Female",Table2[[#This Row],[Gender]]="F"),"F",""))</f>
        <v/>
      </c>
      <c r="F108" t="s">
        <v>65</v>
      </c>
      <c r="G108" t="s">
        <v>66</v>
      </c>
      <c r="H108" t="s">
        <v>1049</v>
      </c>
      <c r="I108" t="s">
        <v>1060</v>
      </c>
      <c r="J108" t="str">
        <f>IF(ISNUMBER(SEARCH("India",Table2[[#This Row],[Emp_Name]])),"INR",
IF(ISNUMBER(SEARCH("Foreign",Table2[[#This Row],[Emp_Name]])),Table2[[#This Row],[Currency]],Table2[[#This Row],[Currency]]))</f>
        <v>INR</v>
      </c>
      <c r="K108">
        <v>120000</v>
      </c>
      <c r="L108">
        <v>12</v>
      </c>
      <c r="M108">
        <f>IF(Table2[[#This Row],[Num_Month]]&lt;&gt;12,12,Table2[[#This Row],[Num_Month]])</f>
        <v>12</v>
      </c>
      <c r="N108">
        <f>IF(Table2[[#This Row],[Monthly_Salary]]="","",Table2[[#This Row],[Monthly_Salary]]*Table2[[#This Row],[Num_Month_Final]])</f>
        <v>1440000</v>
      </c>
      <c r="O108">
        <v>13</v>
      </c>
      <c r="P108">
        <f>IF(Table2[[#This Row],[Exp_Years]]&lt;0,ABS(Table2[[#This Row],[Exp_Years]]),Table2[[#This Row],[Exp_Years]])</f>
        <v>13</v>
      </c>
      <c r="Q108">
        <v>3</v>
      </c>
      <c r="R108">
        <v>51000</v>
      </c>
      <c r="S108">
        <f>IF(Table2[[#This Row],[Performance_Rating]]&gt;=3,Table2[[#This Row],[Monthly_Salary]]*0.3,"")</f>
        <v>36000</v>
      </c>
      <c r="T108">
        <v>95</v>
      </c>
      <c r="U108">
        <v>5</v>
      </c>
      <c r="V108">
        <v>1</v>
      </c>
      <c r="X108" t="s">
        <v>38</v>
      </c>
      <c r="Y108" t="str">
        <f>IF(Table2[[#This Row],[Work_Mode]]&lt;&gt;"",Table2[[#This Row],[Work_Mode]],
IF(ISNUMBER(SEARCH("India",Table2[[#This Row],[Emp_Name]])),"Office",
IF(ISNUMBER(SEARCH("Foreign",Table2[[#This Row],[Emp_Name]])),"Remote","")))</f>
        <v>Hybrid</v>
      </c>
      <c r="AA108"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108" t="s">
        <v>22</v>
      </c>
      <c r="AC108" t="str">
        <f>IF(COUNTIF(Table2[Emp_ID],Table2[[#This Row],[Emp_ID]])&gt;1,"Duplicate","Unique")</f>
        <v>Unique</v>
      </c>
      <c r="AE108" s="2"/>
      <c r="AG108" t="str">
        <f>IF(Table2[[#This Row],[Monthly_Salary]]="","Exclude",
IF(Table2[[#This Row],[Row_Status]]="Mismatch","Exclude",
IF(AND(Table2[[#This Row],[Row_Status]]="Exact Duplicate",
COUNTIFS(Table2[Emp_ID],Table2[[#This Row],[Emp_ID]],Table2[Row_Concat],Table2[[#This Row],[Row_Concat]],
Table2[Row_Number],"&lt;"&amp;Table2[[#This Row],[Row_Number]])&gt;=1),"Delete","")))</f>
        <v/>
      </c>
      <c r="AH108" t="str">
        <f>VLOOKUP(Table2[[#This Row],[Department]],Raw_2!A:B,2,0)</f>
        <v>Night</v>
      </c>
      <c r="AI108">
        <f>VLOOKUP(Table2[[#This Row],[Department]],Raw_2!A:C,3,0)</f>
        <v>20</v>
      </c>
    </row>
    <row r="109" spans="1:35">
      <c r="A109" t="s">
        <v>263</v>
      </c>
      <c r="B109" t="s">
        <v>264</v>
      </c>
      <c r="C109">
        <v>38</v>
      </c>
      <c r="D109" t="s">
        <v>16</v>
      </c>
      <c r="E109" t="str">
        <f>IF(OR(Table2[[#This Row],[Gender]]="Male",Table2[[#This Row],[Gender]]="M"),"M",
IF(OR(Table2[[#This Row],[Gender]]="Female",Table2[[#This Row],[Gender]]="F"),"F",""))</f>
        <v>M</v>
      </c>
      <c r="F109" t="s">
        <v>47</v>
      </c>
      <c r="G109" t="s">
        <v>27</v>
      </c>
      <c r="H109" t="s">
        <v>32</v>
      </c>
      <c r="I109" t="s">
        <v>1060</v>
      </c>
      <c r="J109" t="str">
        <f>IF(ISNUMBER(SEARCH("India",Table2[[#This Row],[Emp_Name]])),"INR",
IF(ISNUMBER(SEARCH("Foreign",Table2[[#This Row],[Emp_Name]])),Table2[[#This Row],[Currency]],Table2[[#This Row],[Currency]]))</f>
        <v>INR</v>
      </c>
      <c r="K109">
        <v>93500</v>
      </c>
      <c r="L109">
        <v>12</v>
      </c>
      <c r="M109">
        <f>IF(Table2[[#This Row],[Num_Month]]&lt;&gt;12,12,Table2[[#This Row],[Num_Month]])</f>
        <v>12</v>
      </c>
      <c r="N109">
        <f>IF(Table2[[#This Row],[Monthly_Salary]]="","",Table2[[#This Row],[Monthly_Salary]]*Table2[[#This Row],[Num_Month_Final]])</f>
        <v>1122000</v>
      </c>
      <c r="O109">
        <v>12</v>
      </c>
      <c r="P109">
        <f>IF(Table2[[#This Row],[Exp_Years]]&lt;0,ABS(Table2[[#This Row],[Exp_Years]]),Table2[[#This Row],[Exp_Years]])</f>
        <v>12</v>
      </c>
      <c r="Q109">
        <v>2</v>
      </c>
      <c r="S109" t="str">
        <f>IF(Table2[[#This Row],[Performance_Rating]]&gt;=3,Table2[[#This Row],[Monthly_Salary]]*0.3,"")</f>
        <v/>
      </c>
      <c r="T109">
        <v>90</v>
      </c>
      <c r="U109">
        <v>10</v>
      </c>
      <c r="V109">
        <v>5</v>
      </c>
      <c r="W109" t="s">
        <v>37</v>
      </c>
      <c r="X109" t="s">
        <v>19</v>
      </c>
      <c r="Y109" t="str">
        <f>IF(Table2[[#This Row],[Work_Mode]]&lt;&gt;"",Table2[[#This Row],[Work_Mode]],
IF(ISNUMBER(SEARCH("India",Table2[[#This Row],[Emp_Name]])),"Office",
IF(ISNUMBER(SEARCH("Foreign",Table2[[#This Row],[Emp_Name]])),"Remote","")))</f>
        <v>Office</v>
      </c>
      <c r="Z109">
        <v>5</v>
      </c>
      <c r="AA10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1750</v>
      </c>
      <c r="AB109" t="s">
        <v>39</v>
      </c>
      <c r="AC109" t="str">
        <f>IF(COUNTIF(Table2[Emp_ID],Table2[[#This Row],[Emp_ID]])&gt;1,"Duplicate","Unique")</f>
        <v>Unique</v>
      </c>
      <c r="AE109" s="2"/>
      <c r="AG109" t="str">
        <f>IF(Table2[[#This Row],[Monthly_Salary]]="","Exclude",
IF(Table2[[#This Row],[Row_Status]]="Mismatch","Exclude",
IF(AND(Table2[[#This Row],[Row_Status]]="Exact Duplicate",
COUNTIFS(Table2[Emp_ID],Table2[[#This Row],[Emp_ID]],Table2[Row_Concat],Table2[[#This Row],[Row_Concat]],
Table2[Row_Number],"&lt;"&amp;Table2[[#This Row],[Row_Number]])&gt;=1),"Delete","")))</f>
        <v/>
      </c>
      <c r="AH109" t="str">
        <f>VLOOKUP(Table2[[#This Row],[Department]],Raw_2!A:B,2,0)</f>
        <v>Day</v>
      </c>
      <c r="AI109">
        <f>VLOOKUP(Table2[[#This Row],[Department]],Raw_2!A:C,3,0)</f>
        <v>12</v>
      </c>
    </row>
    <row r="110" spans="1:35">
      <c r="A110" t="s">
        <v>265</v>
      </c>
      <c r="B110" t="s">
        <v>266</v>
      </c>
      <c r="C110">
        <v>24</v>
      </c>
      <c r="D110" t="s">
        <v>46</v>
      </c>
      <c r="E110" t="str">
        <f>IF(OR(Table2[[#This Row],[Gender]]="Male",Table2[[#This Row],[Gender]]="M"),"M",
IF(OR(Table2[[#This Row],[Gender]]="Female",Table2[[#This Row],[Gender]]="F"),"F",""))</f>
        <v>M</v>
      </c>
      <c r="F110" t="s">
        <v>17</v>
      </c>
      <c r="G110" t="s">
        <v>42</v>
      </c>
      <c r="H110" t="s">
        <v>1045</v>
      </c>
      <c r="I110" t="s">
        <v>1059</v>
      </c>
      <c r="J110" t="str">
        <f>IF(ISNUMBER(SEARCH("India",Table2[[#This Row],[Emp_Name]])),"INR",
IF(ISNUMBER(SEARCH("Foreign",Table2[[#This Row],[Emp_Name]])),Table2[[#This Row],[Currency]],Table2[[#This Row],[Currency]]))</f>
        <v>USD</v>
      </c>
      <c r="K110">
        <v>78000</v>
      </c>
      <c r="L110">
        <v>12</v>
      </c>
      <c r="M110">
        <f>IF(Table2[[#This Row],[Num_Month]]&lt;&gt;12,12,Table2[[#This Row],[Num_Month]])</f>
        <v>12</v>
      </c>
      <c r="N110">
        <f>IF(Table2[[#This Row],[Monthly_Salary]]="","",Table2[[#This Row],[Monthly_Salary]]*Table2[[#This Row],[Num_Month_Final]])</f>
        <v>936000</v>
      </c>
      <c r="O110">
        <v>5</v>
      </c>
      <c r="P110">
        <f>IF(Table2[[#This Row],[Exp_Years]]&lt;0,ABS(Table2[[#This Row],[Exp_Years]]),Table2[[#This Row],[Exp_Years]])</f>
        <v>5</v>
      </c>
      <c r="Q110">
        <v>4</v>
      </c>
      <c r="R110">
        <v>13000</v>
      </c>
      <c r="S110">
        <f>IF(Table2[[#This Row],[Performance_Rating]]&gt;=3,Table2[[#This Row],[Monthly_Salary]]*0.3,"")</f>
        <v>23400</v>
      </c>
      <c r="T110">
        <v>85</v>
      </c>
      <c r="U110">
        <v>7</v>
      </c>
      <c r="V110">
        <v>4</v>
      </c>
      <c r="W110" t="s">
        <v>21</v>
      </c>
      <c r="X110" t="s">
        <v>28</v>
      </c>
      <c r="Y110" t="str">
        <f>IF(Table2[[#This Row],[Work_Mode]]&lt;&gt;"",Table2[[#This Row],[Work_Mode]],
IF(ISNUMBER(SEARCH("India",Table2[[#This Row],[Emp_Name]])),"Office",
IF(ISNUMBER(SEARCH("Foreign",Table2[[#This Row],[Emp_Name]])),"Remote","")))</f>
        <v>Remote</v>
      </c>
      <c r="Z110">
        <v>5</v>
      </c>
      <c r="AA11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110" t="s">
        <v>22</v>
      </c>
      <c r="AC110" t="str">
        <f>IF(COUNTIF(Table2[Emp_ID],Table2[[#This Row],[Emp_ID]])&gt;1,"Duplicate","Unique")</f>
        <v>Unique</v>
      </c>
      <c r="AE110" s="2"/>
      <c r="AG110" t="str">
        <f>IF(Table2[[#This Row],[Monthly_Salary]]="","Exclude",
IF(Table2[[#This Row],[Row_Status]]="Mismatch","Exclude",
IF(AND(Table2[[#This Row],[Row_Status]]="Exact Duplicate",
COUNTIFS(Table2[Emp_ID],Table2[[#This Row],[Emp_ID]],Table2[Row_Concat],Table2[[#This Row],[Row_Concat]],
Table2[Row_Number],"&lt;"&amp;Table2[[#This Row],[Row_Number]])&gt;=1),"Delete","")))</f>
        <v/>
      </c>
      <c r="AH110" t="str">
        <f>VLOOKUP(Table2[[#This Row],[Department]],Raw_2!A:B,2,0)</f>
        <v>Day</v>
      </c>
      <c r="AI110">
        <f>VLOOKUP(Table2[[#This Row],[Department]],Raw_2!A:C,3,0)</f>
        <v>14</v>
      </c>
    </row>
    <row r="111" spans="1:35">
      <c r="A111" t="s">
        <v>267</v>
      </c>
      <c r="B111" t="s">
        <v>268</v>
      </c>
      <c r="C111">
        <v>26</v>
      </c>
      <c r="E111" t="str">
        <f>IF(OR(Table2[[#This Row],[Gender]]="Male",Table2[[#This Row],[Gender]]="M"),"M",
IF(OR(Table2[[#This Row],[Gender]]="Female",Table2[[#This Row],[Gender]]="F"),"F",""))</f>
        <v/>
      </c>
      <c r="F111" t="s">
        <v>26</v>
      </c>
      <c r="G111" t="s">
        <v>27</v>
      </c>
      <c r="H111" t="s">
        <v>51</v>
      </c>
      <c r="I111" t="s">
        <v>1060</v>
      </c>
      <c r="J111" t="str">
        <f>IF(ISNUMBER(SEARCH("India",Table2[[#This Row],[Emp_Name]])),"INR",
IF(ISNUMBER(SEARCH("Foreign",Table2[[#This Row],[Emp_Name]])),Table2[[#This Row],[Currency]],Table2[[#This Row],[Currency]]))</f>
        <v>INR</v>
      </c>
      <c r="K111">
        <v>48000</v>
      </c>
      <c r="L111">
        <v>12</v>
      </c>
      <c r="M111">
        <f>IF(Table2[[#This Row],[Num_Month]]&lt;&gt;12,12,Table2[[#This Row],[Num_Month]])</f>
        <v>12</v>
      </c>
      <c r="N111">
        <f>IF(Table2[[#This Row],[Monthly_Salary]]="","",Table2[[#This Row],[Monthly_Salary]]*Table2[[#This Row],[Num_Month_Final]])</f>
        <v>576000</v>
      </c>
      <c r="O111">
        <v>4</v>
      </c>
      <c r="P111">
        <f>IF(Table2[[#This Row],[Exp_Years]]&lt;0,ABS(Table2[[#This Row],[Exp_Years]]),Table2[[#This Row],[Exp_Years]])</f>
        <v>4</v>
      </c>
      <c r="Q111">
        <v>2</v>
      </c>
      <c r="S111" t="str">
        <f>IF(Table2[[#This Row],[Performance_Rating]]&gt;=3,Table2[[#This Row],[Monthly_Salary]]*0.3,"")</f>
        <v/>
      </c>
      <c r="T111">
        <v>95</v>
      </c>
      <c r="U111">
        <v>7</v>
      </c>
      <c r="V111">
        <v>3</v>
      </c>
      <c r="X111" t="s">
        <v>19</v>
      </c>
      <c r="Y111" t="str">
        <f>IF(Table2[[#This Row],[Work_Mode]]&lt;&gt;"",Table2[[#This Row],[Work_Mode]],
IF(ISNUMBER(SEARCH("India",Table2[[#This Row],[Emp_Name]])),"Office",
IF(ISNUMBER(SEARCH("Foreign",Table2[[#This Row],[Emp_Name]])),"Remote","")))</f>
        <v>Office</v>
      </c>
      <c r="Z111">
        <v>5</v>
      </c>
      <c r="AA11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111" t="s">
        <v>39</v>
      </c>
      <c r="AC111" t="str">
        <f>IF(COUNTIF(Table2[Emp_ID],Table2[[#This Row],[Emp_ID]])&gt;1,"Duplicate","Unique")</f>
        <v>Unique</v>
      </c>
      <c r="AE111" s="2"/>
      <c r="AG111" t="str">
        <f>IF(Table2[[#This Row],[Monthly_Salary]]="","Exclude",
IF(Table2[[#This Row],[Row_Status]]="Mismatch","Exclude",
IF(AND(Table2[[#This Row],[Row_Status]]="Exact Duplicate",
COUNTIFS(Table2[Emp_ID],Table2[[#This Row],[Emp_ID]],Table2[Row_Concat],Table2[[#This Row],[Row_Concat]],
Table2[Row_Number],"&lt;"&amp;Table2[[#This Row],[Row_Number]])&gt;=1),"Delete","")))</f>
        <v/>
      </c>
      <c r="AH111" t="str">
        <f>VLOOKUP(Table2[[#This Row],[Department]],Raw_2!A:B,2,0)</f>
        <v>Day</v>
      </c>
      <c r="AI111">
        <f>VLOOKUP(Table2[[#This Row],[Department]],Raw_2!A:C,3,0)</f>
        <v>12</v>
      </c>
    </row>
    <row r="112" spans="1:35">
      <c r="A112" t="s">
        <v>269</v>
      </c>
      <c r="B112" t="s">
        <v>270</v>
      </c>
      <c r="C112">
        <v>27</v>
      </c>
      <c r="D112" t="s">
        <v>16</v>
      </c>
      <c r="E112" t="str">
        <f>IF(OR(Table2[[#This Row],[Gender]]="Male",Table2[[#This Row],[Gender]]="M"),"M",
IF(OR(Table2[[#This Row],[Gender]]="Female",Table2[[#This Row],[Gender]]="F"),"F",""))</f>
        <v>M</v>
      </c>
      <c r="F112" t="s">
        <v>50</v>
      </c>
      <c r="G112" t="s">
        <v>42</v>
      </c>
      <c r="H112" t="s">
        <v>1045</v>
      </c>
      <c r="I112" t="s">
        <v>1060</v>
      </c>
      <c r="J112" t="str">
        <f>IF(ISNUMBER(SEARCH("India",Table2[[#This Row],[Emp_Name]])),"INR",
IF(ISNUMBER(SEARCH("Foreign",Table2[[#This Row],[Emp_Name]])),Table2[[#This Row],[Currency]],Table2[[#This Row],[Currency]]))</f>
        <v>INR</v>
      </c>
      <c r="K112">
        <v>78000</v>
      </c>
      <c r="L112">
        <v>12</v>
      </c>
      <c r="M112">
        <f>IF(Table2[[#This Row],[Num_Month]]&lt;&gt;12,12,Table2[[#This Row],[Num_Month]])</f>
        <v>12</v>
      </c>
      <c r="N112">
        <f>IF(Table2[[#This Row],[Monthly_Salary]]="","",Table2[[#This Row],[Monthly_Salary]]*Table2[[#This Row],[Num_Month_Final]])</f>
        <v>936000</v>
      </c>
      <c r="O112">
        <v>7</v>
      </c>
      <c r="P112">
        <f>IF(Table2[[#This Row],[Exp_Years]]&lt;0,ABS(Table2[[#This Row],[Exp_Years]]),Table2[[#This Row],[Exp_Years]])</f>
        <v>7</v>
      </c>
      <c r="Q112">
        <v>4</v>
      </c>
      <c r="R112">
        <v>13000</v>
      </c>
      <c r="S112">
        <f>IF(Table2[[#This Row],[Performance_Rating]]&gt;=3,Table2[[#This Row],[Monthly_Salary]]*0.3,"")</f>
        <v>23400</v>
      </c>
      <c r="T112">
        <v>90</v>
      </c>
      <c r="U112">
        <v>5</v>
      </c>
      <c r="V112">
        <v>1</v>
      </c>
      <c r="W112" t="s">
        <v>37</v>
      </c>
      <c r="X112" t="s">
        <v>19</v>
      </c>
      <c r="Y112" t="str">
        <f>IF(Table2[[#This Row],[Work_Mode]]&lt;&gt;"",Table2[[#This Row],[Work_Mode]],
IF(ISNUMBER(SEARCH("India",Table2[[#This Row],[Emp_Name]])),"Office",
IF(ISNUMBER(SEARCH("Foreign",Table2[[#This Row],[Emp_Name]])),"Remote","")))</f>
        <v>Office</v>
      </c>
      <c r="Z112">
        <v>20</v>
      </c>
      <c r="AA11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112" t="s">
        <v>58</v>
      </c>
      <c r="AC112" t="str">
        <f>IF(COUNTIF(Table2[Emp_ID],Table2[[#This Row],[Emp_ID]])&gt;1,"Duplicate","Unique")</f>
        <v>Unique</v>
      </c>
      <c r="AE112" s="2"/>
      <c r="AG112" t="str">
        <f>IF(Table2[[#This Row],[Monthly_Salary]]="","Exclude",
IF(Table2[[#This Row],[Row_Status]]="Mismatch","Exclude",
IF(AND(Table2[[#This Row],[Row_Status]]="Exact Duplicate",
COUNTIFS(Table2[Emp_ID],Table2[[#This Row],[Emp_ID]],Table2[Row_Concat],Table2[[#This Row],[Row_Concat]],
Table2[Row_Number],"&lt;"&amp;Table2[[#This Row],[Row_Number]])&gt;=1),"Delete","")))</f>
        <v/>
      </c>
      <c r="AH112" t="str">
        <f>VLOOKUP(Table2[[#This Row],[Department]],Raw_2!A:B,2,0)</f>
        <v>Day</v>
      </c>
      <c r="AI112">
        <f>VLOOKUP(Table2[[#This Row],[Department]],Raw_2!A:C,3,0)</f>
        <v>14</v>
      </c>
    </row>
    <row r="113" spans="1:35">
      <c r="A113" t="s">
        <v>271</v>
      </c>
      <c r="B113" t="s">
        <v>272</v>
      </c>
      <c r="C113">
        <v>25</v>
      </c>
      <c r="D113" t="s">
        <v>16</v>
      </c>
      <c r="E113" t="str">
        <f>IF(OR(Table2[[#This Row],[Gender]]="Male",Table2[[#This Row],[Gender]]="M"),"M",
IF(OR(Table2[[#This Row],[Gender]]="Female",Table2[[#This Row],[Gender]]="F"),"F",""))</f>
        <v>M</v>
      </c>
      <c r="F113" t="s">
        <v>61</v>
      </c>
      <c r="G113" t="s">
        <v>31</v>
      </c>
      <c r="H113" t="s">
        <v>51</v>
      </c>
      <c r="I113" t="s">
        <v>1060</v>
      </c>
      <c r="J113" t="str">
        <f>IF(ISNUMBER(SEARCH("India",Table2[[#This Row],[Emp_Name]])),"INR",
IF(ISNUMBER(SEARCH("Foreign",Table2[[#This Row],[Emp_Name]])),Table2[[#This Row],[Currency]],Table2[[#This Row],[Currency]]))</f>
        <v>INR</v>
      </c>
      <c r="K113">
        <v>37000</v>
      </c>
      <c r="L113">
        <v>12</v>
      </c>
      <c r="M113">
        <f>IF(Table2[[#This Row],[Num_Month]]&lt;&gt;12,12,Table2[[#This Row],[Num_Month]])</f>
        <v>12</v>
      </c>
      <c r="N113">
        <f>IF(Table2[[#This Row],[Monthly_Salary]]="","",Table2[[#This Row],[Monthly_Salary]]*Table2[[#This Row],[Num_Month_Final]])</f>
        <v>444000</v>
      </c>
      <c r="O113">
        <v>2</v>
      </c>
      <c r="P113">
        <f>IF(Table2[[#This Row],[Exp_Years]]&lt;0,ABS(Table2[[#This Row],[Exp_Years]]),Table2[[#This Row],[Exp_Years]])</f>
        <v>2</v>
      </c>
      <c r="Q113">
        <v>2</v>
      </c>
      <c r="S113" t="str">
        <f>IF(Table2[[#This Row],[Performance_Rating]]&gt;=3,Table2[[#This Row],[Monthly_Salary]]*0.3,"")</f>
        <v/>
      </c>
      <c r="T113">
        <v>80</v>
      </c>
      <c r="U113">
        <v>15</v>
      </c>
      <c r="V113">
        <v>5</v>
      </c>
      <c r="X113" t="s">
        <v>19</v>
      </c>
      <c r="Y113" t="str">
        <f>IF(Table2[[#This Row],[Work_Mode]]&lt;&gt;"",Table2[[#This Row],[Work_Mode]],
IF(ISNUMBER(SEARCH("India",Table2[[#This Row],[Emp_Name]])),"Office",
IF(ISNUMBER(SEARCH("Foreign",Table2[[#This Row],[Emp_Name]])),"Remote","")))</f>
        <v>Office</v>
      </c>
      <c r="AA11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13" t="s">
        <v>39</v>
      </c>
      <c r="AC113" t="str">
        <f>IF(COUNTIF(Table2[Emp_ID],Table2[[#This Row],[Emp_ID]])&gt;1,"Duplicate","Unique")</f>
        <v>Unique</v>
      </c>
      <c r="AE113" s="2"/>
      <c r="AG113" t="str">
        <f>IF(Table2[[#This Row],[Monthly_Salary]]="","Exclude",
IF(Table2[[#This Row],[Row_Status]]="Mismatch","Exclude",
IF(AND(Table2[[#This Row],[Row_Status]]="Exact Duplicate",
COUNTIFS(Table2[Emp_ID],Table2[[#This Row],[Emp_ID]],Table2[Row_Concat],Table2[[#This Row],[Row_Concat]],
Table2[Row_Number],"&lt;"&amp;Table2[[#This Row],[Row_Number]])&gt;=1),"Delete","")))</f>
        <v/>
      </c>
      <c r="AH113" t="str">
        <f>VLOOKUP(Table2[[#This Row],[Department]],Raw_2!A:B,2,0)</f>
        <v>Night</v>
      </c>
      <c r="AI113">
        <f>VLOOKUP(Table2[[#This Row],[Department]],Raw_2!A:C,3,0)</f>
        <v>13</v>
      </c>
    </row>
    <row r="114" spans="1:35">
      <c r="A114" t="s">
        <v>273</v>
      </c>
      <c r="B114" t="s">
        <v>274</v>
      </c>
      <c r="C114">
        <v>27</v>
      </c>
      <c r="D114" t="s">
        <v>16</v>
      </c>
      <c r="E114" t="str">
        <f>IF(OR(Table2[[#This Row],[Gender]]="Male",Table2[[#This Row],[Gender]]="M"),"M",
IF(OR(Table2[[#This Row],[Gender]]="Female",Table2[[#This Row],[Gender]]="F"),"F",""))</f>
        <v>M</v>
      </c>
      <c r="F114" t="s">
        <v>47</v>
      </c>
      <c r="G114" t="s">
        <v>18</v>
      </c>
      <c r="H114" t="s">
        <v>51</v>
      </c>
      <c r="I114" t="s">
        <v>1060</v>
      </c>
      <c r="J114" t="str">
        <f>IF(ISNUMBER(SEARCH("India",Table2[[#This Row],[Emp_Name]])),"INR",
IF(ISNUMBER(SEARCH("Foreign",Table2[[#This Row],[Emp_Name]])),Table2[[#This Row],[Currency]],Table2[[#This Row],[Currency]]))</f>
        <v>INR</v>
      </c>
      <c r="K114">
        <v>47000</v>
      </c>
      <c r="L114">
        <v>12</v>
      </c>
      <c r="M114">
        <f>IF(Table2[[#This Row],[Num_Month]]&lt;&gt;12,12,Table2[[#This Row],[Num_Month]])</f>
        <v>12</v>
      </c>
      <c r="N114">
        <f>IF(Table2[[#This Row],[Monthly_Salary]]="","",Table2[[#This Row],[Monthly_Salary]]*Table2[[#This Row],[Num_Month_Final]])</f>
        <v>564000</v>
      </c>
      <c r="O114">
        <v>3</v>
      </c>
      <c r="P114">
        <f>IF(Table2[[#This Row],[Exp_Years]]&lt;0,ABS(Table2[[#This Row],[Exp_Years]]),Table2[[#This Row],[Exp_Years]])</f>
        <v>3</v>
      </c>
      <c r="Q114">
        <v>5</v>
      </c>
      <c r="R114">
        <v>21000</v>
      </c>
      <c r="S114">
        <f>IF(Table2[[#This Row],[Performance_Rating]]&gt;=3,Table2[[#This Row],[Monthly_Salary]]*0.3,"")</f>
        <v>14100</v>
      </c>
      <c r="T114">
        <v>85</v>
      </c>
      <c r="U114">
        <v>5</v>
      </c>
      <c r="V114">
        <v>10</v>
      </c>
      <c r="W114" t="s">
        <v>37</v>
      </c>
      <c r="X114" t="s">
        <v>38</v>
      </c>
      <c r="Y114" t="str">
        <f>IF(Table2[[#This Row],[Work_Mode]]&lt;&gt;"",Table2[[#This Row],[Work_Mode]],
IF(ISNUMBER(SEARCH("India",Table2[[#This Row],[Emp_Name]])),"Office",
IF(ISNUMBER(SEARCH("Foreign",Table2[[#This Row],[Emp_Name]])),"Remote","")))</f>
        <v>Hybrid</v>
      </c>
      <c r="AA11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14" t="s">
        <v>58</v>
      </c>
      <c r="AC114" t="str">
        <f>IF(COUNTIF(Table2[Emp_ID],Table2[[#This Row],[Emp_ID]])&gt;1,"Duplicate","Unique")</f>
        <v>Unique</v>
      </c>
      <c r="AE114" s="2"/>
      <c r="AG114" t="str">
        <f>IF(Table2[[#This Row],[Monthly_Salary]]="","Exclude",
IF(Table2[[#This Row],[Row_Status]]="Mismatch","Exclude",
IF(AND(Table2[[#This Row],[Row_Status]]="Exact Duplicate",
COUNTIFS(Table2[Emp_ID],Table2[[#This Row],[Emp_ID]],Table2[Row_Concat],Table2[[#This Row],[Row_Concat]],
Table2[Row_Number],"&lt;"&amp;Table2[[#This Row],[Row_Number]])&gt;=1),"Delete","")))</f>
        <v/>
      </c>
      <c r="AH114" t="str">
        <f>VLOOKUP(Table2[[#This Row],[Department]],Raw_2!A:B,2,0)</f>
        <v>Day</v>
      </c>
      <c r="AI114">
        <f>VLOOKUP(Table2[[#This Row],[Department]],Raw_2!A:C,3,0)</f>
        <v>10</v>
      </c>
    </row>
    <row r="115" spans="1:35">
      <c r="A115" t="s">
        <v>275</v>
      </c>
      <c r="B115" t="s">
        <v>276</v>
      </c>
      <c r="C115">
        <v>27</v>
      </c>
      <c r="D115" t="s">
        <v>25</v>
      </c>
      <c r="E115" t="str">
        <f>IF(OR(Table2[[#This Row],[Gender]]="Male",Table2[[#This Row],[Gender]]="M"),"M",
IF(OR(Table2[[#This Row],[Gender]]="Female",Table2[[#This Row],[Gender]]="F"),"F",""))</f>
        <v>F</v>
      </c>
      <c r="F115" t="s">
        <v>57</v>
      </c>
      <c r="G115" t="s">
        <v>42</v>
      </c>
      <c r="H115" t="s">
        <v>51</v>
      </c>
      <c r="I115" t="s">
        <v>1060</v>
      </c>
      <c r="J115" t="str">
        <f>IF(ISNUMBER(SEARCH("India",Table2[[#This Row],[Emp_Name]])),"INR",
IF(ISNUMBER(SEARCH("Foreign",Table2[[#This Row],[Emp_Name]])),Table2[[#This Row],[Currency]],Table2[[#This Row],[Currency]]))</f>
        <v>INR</v>
      </c>
      <c r="K115">
        <v>47000</v>
      </c>
      <c r="L115">
        <v>12</v>
      </c>
      <c r="M115">
        <f>IF(Table2[[#This Row],[Num_Month]]&lt;&gt;12,12,Table2[[#This Row],[Num_Month]])</f>
        <v>12</v>
      </c>
      <c r="N115">
        <f>IF(Table2[[#This Row],[Monthly_Salary]]="","",Table2[[#This Row],[Monthly_Salary]]*Table2[[#This Row],[Num_Month_Final]])</f>
        <v>564000</v>
      </c>
      <c r="O115">
        <v>3</v>
      </c>
      <c r="P115">
        <f>IF(Table2[[#This Row],[Exp_Years]]&lt;0,ABS(Table2[[#This Row],[Exp_Years]]),Table2[[#This Row],[Exp_Years]])</f>
        <v>3</v>
      </c>
      <c r="Q115">
        <v>2</v>
      </c>
      <c r="S115" t="str">
        <f>IF(Table2[[#This Row],[Performance_Rating]]&gt;=3,Table2[[#This Row],[Monthly_Salary]]*0.3,"")</f>
        <v/>
      </c>
      <c r="T115">
        <v>80</v>
      </c>
      <c r="U115">
        <v>5</v>
      </c>
      <c r="V115">
        <v>3</v>
      </c>
      <c r="W115" t="s">
        <v>37</v>
      </c>
      <c r="X115" t="s">
        <v>38</v>
      </c>
      <c r="Y115" t="str">
        <f>IF(Table2[[#This Row],[Work_Mode]]&lt;&gt;"",Table2[[#This Row],[Work_Mode]],
IF(ISNUMBER(SEARCH("India",Table2[[#This Row],[Emp_Name]])),"Office",
IF(ISNUMBER(SEARCH("Foreign",Table2[[#This Row],[Emp_Name]])),"Remote","")))</f>
        <v>Hybrid</v>
      </c>
      <c r="Z115">
        <v>10</v>
      </c>
      <c r="AA11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115" t="s">
        <v>39</v>
      </c>
      <c r="AC115" t="str">
        <f>IF(COUNTIF(Table2[Emp_ID],Table2[[#This Row],[Emp_ID]])&gt;1,"Duplicate","Unique")</f>
        <v>Unique</v>
      </c>
      <c r="AE115" s="2"/>
      <c r="AG115" t="str">
        <f>IF(Table2[[#This Row],[Monthly_Salary]]="","Exclude",
IF(Table2[[#This Row],[Row_Status]]="Mismatch","Exclude",
IF(AND(Table2[[#This Row],[Row_Status]]="Exact Duplicate",
COUNTIFS(Table2[Emp_ID],Table2[[#This Row],[Emp_ID]],Table2[Row_Concat],Table2[[#This Row],[Row_Concat]],
Table2[Row_Number],"&lt;"&amp;Table2[[#This Row],[Row_Number]])&gt;=1),"Delete","")))</f>
        <v/>
      </c>
      <c r="AH115" t="str">
        <f>VLOOKUP(Table2[[#This Row],[Department]],Raw_2!A:B,2,0)</f>
        <v>Day</v>
      </c>
      <c r="AI115">
        <f>VLOOKUP(Table2[[#This Row],[Department]],Raw_2!A:C,3,0)</f>
        <v>14</v>
      </c>
    </row>
    <row r="116" spans="1:35">
      <c r="A116" t="s">
        <v>277</v>
      </c>
      <c r="B116" t="s">
        <v>278</v>
      </c>
      <c r="C116">
        <v>25</v>
      </c>
      <c r="D116" t="s">
        <v>34</v>
      </c>
      <c r="E116" t="str">
        <f>IF(OR(Table2[[#This Row],[Gender]]="Male",Table2[[#This Row],[Gender]]="M"),"M",
IF(OR(Table2[[#This Row],[Gender]]="Female",Table2[[#This Row],[Gender]]="F"),"F",""))</f>
        <v>F</v>
      </c>
      <c r="F116" t="s">
        <v>50</v>
      </c>
      <c r="G116" t="s">
        <v>42</v>
      </c>
      <c r="H116" t="s">
        <v>51</v>
      </c>
      <c r="I116" t="s">
        <v>1060</v>
      </c>
      <c r="J116" t="str">
        <f>IF(ISNUMBER(SEARCH("India",Table2[[#This Row],[Emp_Name]])),"INR",
IF(ISNUMBER(SEARCH("Foreign",Table2[[#This Row],[Emp_Name]])),Table2[[#This Row],[Currency]],Table2[[#This Row],[Currency]]))</f>
        <v>INR</v>
      </c>
      <c r="K116">
        <v>35500</v>
      </c>
      <c r="L116">
        <v>12</v>
      </c>
      <c r="M116">
        <f>IF(Table2[[#This Row],[Num_Month]]&lt;&gt;12,12,Table2[[#This Row],[Num_Month]])</f>
        <v>12</v>
      </c>
      <c r="N116">
        <f>IF(Table2[[#This Row],[Monthly_Salary]]="","",Table2[[#This Row],[Monthly_Salary]]*Table2[[#This Row],[Num_Month_Final]])</f>
        <v>426000</v>
      </c>
      <c r="O116">
        <v>2</v>
      </c>
      <c r="P116">
        <f>IF(Table2[[#This Row],[Exp_Years]]&lt;0,ABS(Table2[[#This Row],[Exp_Years]]),Table2[[#This Row],[Exp_Years]])</f>
        <v>2</v>
      </c>
      <c r="Q116">
        <v>1</v>
      </c>
      <c r="S116" t="str">
        <f>IF(Table2[[#This Row],[Performance_Rating]]&gt;=3,Table2[[#This Row],[Monthly_Salary]]*0.3,"")</f>
        <v/>
      </c>
      <c r="T116">
        <v>90</v>
      </c>
      <c r="U116">
        <v>5</v>
      </c>
      <c r="V116">
        <v>5</v>
      </c>
      <c r="W116" t="s">
        <v>37</v>
      </c>
      <c r="X116" t="s">
        <v>38</v>
      </c>
      <c r="Y116" t="str">
        <f>IF(Table2[[#This Row],[Work_Mode]]&lt;&gt;"",Table2[[#This Row],[Work_Mode]],
IF(ISNUMBER(SEARCH("India",Table2[[#This Row],[Emp_Name]])),"Office",
IF(ISNUMBER(SEARCH("Foreign",Table2[[#This Row],[Emp_Name]])),"Remote","")))</f>
        <v>Hybrid</v>
      </c>
      <c r="AA11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16" t="s">
        <v>39</v>
      </c>
      <c r="AC116" t="str">
        <f>IF(COUNTIF(Table2[Emp_ID],Table2[[#This Row],[Emp_ID]])&gt;1,"Duplicate","Unique")</f>
        <v>Unique</v>
      </c>
      <c r="AE116" s="2"/>
      <c r="AG116" t="str">
        <f>IF(Table2[[#This Row],[Monthly_Salary]]="","Exclude",
IF(Table2[[#This Row],[Row_Status]]="Mismatch","Exclude",
IF(AND(Table2[[#This Row],[Row_Status]]="Exact Duplicate",
COUNTIFS(Table2[Emp_ID],Table2[[#This Row],[Emp_ID]],Table2[Row_Concat],Table2[[#This Row],[Row_Concat]],
Table2[Row_Number],"&lt;"&amp;Table2[[#This Row],[Row_Number]])&gt;=1),"Delete","")))</f>
        <v/>
      </c>
      <c r="AH116" t="str">
        <f>VLOOKUP(Table2[[#This Row],[Department]],Raw_2!A:B,2,0)</f>
        <v>Day</v>
      </c>
      <c r="AI116">
        <f>VLOOKUP(Table2[[#This Row],[Department]],Raw_2!A:C,3,0)</f>
        <v>14</v>
      </c>
    </row>
    <row r="117" spans="1:35">
      <c r="A117" t="s">
        <v>279</v>
      </c>
      <c r="B117" t="s">
        <v>280</v>
      </c>
      <c r="C117">
        <v>26</v>
      </c>
      <c r="E117" t="str">
        <f>IF(OR(Table2[[#This Row],[Gender]]="Male",Table2[[#This Row],[Gender]]="M"),"M",
IF(OR(Table2[[#This Row],[Gender]]="Female",Table2[[#This Row],[Gender]]="F"),"F",""))</f>
        <v/>
      </c>
      <c r="G117" t="s">
        <v>36</v>
      </c>
      <c r="H117" t="s">
        <v>51</v>
      </c>
      <c r="I117" t="s">
        <v>1060</v>
      </c>
      <c r="J117" t="str">
        <f>IF(ISNUMBER(SEARCH("India",Table2[[#This Row],[Emp_Name]])),"INR",
IF(ISNUMBER(SEARCH("Foreign",Table2[[#This Row],[Emp_Name]])),Table2[[#This Row],[Currency]],Table2[[#This Row],[Currency]]))</f>
        <v>INR</v>
      </c>
      <c r="K117">
        <v>48000</v>
      </c>
      <c r="L117">
        <v>12</v>
      </c>
      <c r="M117">
        <f>IF(Table2[[#This Row],[Num_Month]]&lt;&gt;12,12,Table2[[#This Row],[Num_Month]])</f>
        <v>12</v>
      </c>
      <c r="N117">
        <f>IF(Table2[[#This Row],[Monthly_Salary]]="","",Table2[[#This Row],[Monthly_Salary]]*Table2[[#This Row],[Num_Month_Final]])</f>
        <v>576000</v>
      </c>
      <c r="O117">
        <v>4</v>
      </c>
      <c r="P117">
        <f>IF(Table2[[#This Row],[Exp_Years]]&lt;0,ABS(Table2[[#This Row],[Exp_Years]]),Table2[[#This Row],[Exp_Years]])</f>
        <v>4</v>
      </c>
      <c r="Q117">
        <v>1</v>
      </c>
      <c r="S117" t="str">
        <f>IF(Table2[[#This Row],[Performance_Rating]]&gt;=3,Table2[[#This Row],[Monthly_Salary]]*0.3,"")</f>
        <v/>
      </c>
      <c r="T117">
        <v>85</v>
      </c>
      <c r="U117">
        <v>5</v>
      </c>
      <c r="V117">
        <v>5</v>
      </c>
      <c r="W117" t="s">
        <v>37</v>
      </c>
      <c r="X117" t="s">
        <v>38</v>
      </c>
      <c r="Y117" t="str">
        <f>IF(Table2[[#This Row],[Work_Mode]]&lt;&gt;"",Table2[[#This Row],[Work_Mode]],
IF(ISNUMBER(SEARCH("India",Table2[[#This Row],[Emp_Name]])),"Office",
IF(ISNUMBER(SEARCH("Foreign",Table2[[#This Row],[Emp_Name]])),"Remote","")))</f>
        <v>Hybrid</v>
      </c>
      <c r="Z117">
        <v>20</v>
      </c>
      <c r="AA11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117" t="s">
        <v>39</v>
      </c>
      <c r="AC117" t="str">
        <f>IF(COUNTIF(Table2[Emp_ID],Table2[[#This Row],[Emp_ID]])&gt;1,"Duplicate","Unique")</f>
        <v>Unique</v>
      </c>
      <c r="AE117" s="2"/>
      <c r="AG117" t="str">
        <f>IF(Table2[[#This Row],[Monthly_Salary]]="","Exclude",
IF(Table2[[#This Row],[Row_Status]]="Mismatch","Exclude",
IF(AND(Table2[[#This Row],[Row_Status]]="Exact Duplicate",
COUNTIFS(Table2[Emp_ID],Table2[[#This Row],[Emp_ID]],Table2[Row_Concat],Table2[[#This Row],[Row_Concat]],
Table2[Row_Number],"&lt;"&amp;Table2[[#This Row],[Row_Number]])&gt;=1),"Delete","")))</f>
        <v/>
      </c>
      <c r="AH117" t="str">
        <f>VLOOKUP(Table2[[#This Row],[Department]],Raw_2!A:B,2,0)</f>
        <v>Day</v>
      </c>
      <c r="AI117">
        <f>VLOOKUP(Table2[[#This Row],[Department]],Raw_2!A:C,3,0)</f>
        <v>25</v>
      </c>
    </row>
    <row r="118" spans="1:35">
      <c r="A118" t="s">
        <v>281</v>
      </c>
      <c r="B118" t="s">
        <v>282</v>
      </c>
      <c r="C118">
        <v>25</v>
      </c>
      <c r="D118" t="s">
        <v>16</v>
      </c>
      <c r="E118" t="str">
        <f>IF(OR(Table2[[#This Row],[Gender]]="Male",Table2[[#This Row],[Gender]]="M"),"M",
IF(OR(Table2[[#This Row],[Gender]]="Female",Table2[[#This Row],[Gender]]="F"),"F",""))</f>
        <v>M</v>
      </c>
      <c r="F118" t="s">
        <v>35</v>
      </c>
      <c r="G118" t="s">
        <v>66</v>
      </c>
      <c r="H118" t="s">
        <v>51</v>
      </c>
      <c r="I118" t="s">
        <v>1060</v>
      </c>
      <c r="J118" t="str">
        <f>IF(ISNUMBER(SEARCH("India",Table2[[#This Row],[Emp_Name]])),"INR",
IF(ISNUMBER(SEARCH("Foreign",Table2[[#This Row],[Emp_Name]])),Table2[[#This Row],[Currency]],Table2[[#This Row],[Currency]]))</f>
        <v>INR</v>
      </c>
      <c r="K118">
        <v>43000</v>
      </c>
      <c r="L118">
        <v>12</v>
      </c>
      <c r="M118">
        <f>IF(Table2[[#This Row],[Num_Month]]&lt;&gt;12,12,Table2[[#This Row],[Num_Month]])</f>
        <v>12</v>
      </c>
      <c r="N118">
        <f>IF(Table2[[#This Row],[Monthly_Salary]]="","",Table2[[#This Row],[Monthly_Salary]]*Table2[[#This Row],[Num_Month_Final]])</f>
        <v>516000</v>
      </c>
      <c r="O118">
        <v>3</v>
      </c>
      <c r="P118">
        <f>IF(Table2[[#This Row],[Exp_Years]]&lt;0,ABS(Table2[[#This Row],[Exp_Years]]),Table2[[#This Row],[Exp_Years]])</f>
        <v>3</v>
      </c>
      <c r="Q118">
        <v>2</v>
      </c>
      <c r="S118" t="str">
        <f>IF(Table2[[#This Row],[Performance_Rating]]&gt;=3,Table2[[#This Row],[Monthly_Salary]]*0.3,"")</f>
        <v/>
      </c>
      <c r="T118">
        <v>80</v>
      </c>
      <c r="U118">
        <v>23</v>
      </c>
      <c r="V118">
        <v>9</v>
      </c>
      <c r="X118" t="s">
        <v>38</v>
      </c>
      <c r="Y118" t="str">
        <f>IF(Table2[[#This Row],[Work_Mode]]&lt;&gt;"",Table2[[#This Row],[Work_Mode]],
IF(ISNUMBER(SEARCH("India",Table2[[#This Row],[Emp_Name]])),"Office",
IF(ISNUMBER(SEARCH("Foreign",Table2[[#This Row],[Emp_Name]])),"Remote","")))</f>
        <v>Hybrid</v>
      </c>
      <c r="AA11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18" t="s">
        <v>39</v>
      </c>
      <c r="AC118" t="str">
        <f>IF(COUNTIF(Table2[Emp_ID],Table2[[#This Row],[Emp_ID]])&gt;1,"Duplicate","Unique")</f>
        <v>Unique</v>
      </c>
      <c r="AE118" s="2"/>
      <c r="AG118" t="str">
        <f>IF(Table2[[#This Row],[Monthly_Salary]]="","Exclude",
IF(Table2[[#This Row],[Row_Status]]="Mismatch","Exclude",
IF(AND(Table2[[#This Row],[Row_Status]]="Exact Duplicate",
COUNTIFS(Table2[Emp_ID],Table2[[#This Row],[Emp_ID]],Table2[Row_Concat],Table2[[#This Row],[Row_Concat]],
Table2[Row_Number],"&lt;"&amp;Table2[[#This Row],[Row_Number]])&gt;=1),"Delete","")))</f>
        <v/>
      </c>
      <c r="AH118" t="str">
        <f>VLOOKUP(Table2[[#This Row],[Department]],Raw_2!A:B,2,0)</f>
        <v>Night</v>
      </c>
      <c r="AI118">
        <f>VLOOKUP(Table2[[#This Row],[Department]],Raw_2!A:C,3,0)</f>
        <v>20</v>
      </c>
    </row>
    <row r="119" spans="1:35">
      <c r="A119" t="s">
        <v>283</v>
      </c>
      <c r="B119" t="s">
        <v>284</v>
      </c>
      <c r="C119">
        <v>26</v>
      </c>
      <c r="D119" t="s">
        <v>25</v>
      </c>
      <c r="E119" t="str">
        <f>IF(OR(Table2[[#This Row],[Gender]]="Male",Table2[[#This Row],[Gender]]="M"),"M",
IF(OR(Table2[[#This Row],[Gender]]="Female",Table2[[#This Row],[Gender]]="F"),"F",""))</f>
        <v>F</v>
      </c>
      <c r="F119" t="s">
        <v>26</v>
      </c>
      <c r="G119" t="s">
        <v>66</v>
      </c>
      <c r="H119" t="s">
        <v>51</v>
      </c>
      <c r="I119" t="s">
        <v>1060</v>
      </c>
      <c r="J119" t="str">
        <f>IF(ISNUMBER(SEARCH("India",Table2[[#This Row],[Emp_Name]])),"INR",
IF(ISNUMBER(SEARCH("Foreign",Table2[[#This Row],[Emp_Name]])),Table2[[#This Row],[Currency]],Table2[[#This Row],[Currency]]))</f>
        <v>INR</v>
      </c>
      <c r="K119">
        <v>48000</v>
      </c>
      <c r="L119">
        <v>12</v>
      </c>
      <c r="M119">
        <f>IF(Table2[[#This Row],[Num_Month]]&lt;&gt;12,12,Table2[[#This Row],[Num_Month]])</f>
        <v>12</v>
      </c>
      <c r="N119">
        <f>IF(Table2[[#This Row],[Monthly_Salary]]="","",Table2[[#This Row],[Monthly_Salary]]*Table2[[#This Row],[Num_Month_Final]])</f>
        <v>576000</v>
      </c>
      <c r="O119">
        <v>4</v>
      </c>
      <c r="P119">
        <f>IF(Table2[[#This Row],[Exp_Years]]&lt;0,ABS(Table2[[#This Row],[Exp_Years]]),Table2[[#This Row],[Exp_Years]])</f>
        <v>4</v>
      </c>
      <c r="Q119">
        <v>2</v>
      </c>
      <c r="S119" t="str">
        <f>IF(Table2[[#This Row],[Performance_Rating]]&gt;=3,Table2[[#This Row],[Monthly_Salary]]*0.3,"")</f>
        <v/>
      </c>
      <c r="T119">
        <v>80</v>
      </c>
      <c r="U119">
        <v>10</v>
      </c>
      <c r="V119">
        <v>3</v>
      </c>
      <c r="W119" t="s">
        <v>21</v>
      </c>
      <c r="X119" t="s">
        <v>19</v>
      </c>
      <c r="Y119" t="str">
        <f>IF(Table2[[#This Row],[Work_Mode]]&lt;&gt;"",Table2[[#This Row],[Work_Mode]],
IF(ISNUMBER(SEARCH("India",Table2[[#This Row],[Emp_Name]])),"Office",
IF(ISNUMBER(SEARCH("Foreign",Table2[[#This Row],[Emp_Name]])),"Remote","")))</f>
        <v>Office</v>
      </c>
      <c r="Z119">
        <v>20</v>
      </c>
      <c r="AA11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119" t="s">
        <v>39</v>
      </c>
      <c r="AC119" t="str">
        <f>IF(COUNTIF(Table2[Emp_ID],Table2[[#This Row],[Emp_ID]])&gt;1,"Duplicate","Unique")</f>
        <v>Unique</v>
      </c>
      <c r="AE119" s="2"/>
      <c r="AG119" t="str">
        <f>IF(Table2[[#This Row],[Monthly_Salary]]="","Exclude",
IF(Table2[[#This Row],[Row_Status]]="Mismatch","Exclude",
IF(AND(Table2[[#This Row],[Row_Status]]="Exact Duplicate",
COUNTIFS(Table2[Emp_ID],Table2[[#This Row],[Emp_ID]],Table2[Row_Concat],Table2[[#This Row],[Row_Concat]],
Table2[Row_Number],"&lt;"&amp;Table2[[#This Row],[Row_Number]])&gt;=1),"Delete","")))</f>
        <v/>
      </c>
      <c r="AH119" t="str">
        <f>VLOOKUP(Table2[[#This Row],[Department]],Raw_2!A:B,2,0)</f>
        <v>Night</v>
      </c>
      <c r="AI119">
        <f>VLOOKUP(Table2[[#This Row],[Department]],Raw_2!A:C,3,0)</f>
        <v>20</v>
      </c>
    </row>
    <row r="120" spans="1:35">
      <c r="A120" t="s">
        <v>285</v>
      </c>
      <c r="B120" t="s">
        <v>286</v>
      </c>
      <c r="C120">
        <v>27</v>
      </c>
      <c r="D120" t="s">
        <v>25</v>
      </c>
      <c r="E120" t="str">
        <f>IF(OR(Table2[[#This Row],[Gender]]="Male",Table2[[#This Row],[Gender]]="M"),"M",
IF(OR(Table2[[#This Row],[Gender]]="Female",Table2[[#This Row],[Gender]]="F"),"F",""))</f>
        <v>F</v>
      </c>
      <c r="F120" t="s">
        <v>73</v>
      </c>
      <c r="G120" t="s">
        <v>31</v>
      </c>
      <c r="H120" t="s">
        <v>51</v>
      </c>
      <c r="I120" t="s">
        <v>1060</v>
      </c>
      <c r="J120" t="str">
        <f>IF(ISNUMBER(SEARCH("India",Table2[[#This Row],[Emp_Name]])),"INR",
IF(ISNUMBER(SEARCH("Foreign",Table2[[#This Row],[Emp_Name]])),Table2[[#This Row],[Currency]],Table2[[#This Row],[Currency]]))</f>
        <v>INR</v>
      </c>
      <c r="K120">
        <v>43000</v>
      </c>
      <c r="L120">
        <v>12</v>
      </c>
      <c r="M120">
        <f>IF(Table2[[#This Row],[Num_Month]]&lt;&gt;12,12,Table2[[#This Row],[Num_Month]])</f>
        <v>12</v>
      </c>
      <c r="N120">
        <f>IF(Table2[[#This Row],[Monthly_Salary]]="","",Table2[[#This Row],[Monthly_Salary]]*Table2[[#This Row],[Num_Month_Final]])</f>
        <v>516000</v>
      </c>
      <c r="O120">
        <v>3</v>
      </c>
      <c r="P120">
        <f>IF(Table2[[#This Row],[Exp_Years]]&lt;0,ABS(Table2[[#This Row],[Exp_Years]]),Table2[[#This Row],[Exp_Years]])</f>
        <v>3</v>
      </c>
      <c r="Q120">
        <v>5</v>
      </c>
      <c r="R120">
        <v>21000</v>
      </c>
      <c r="S120">
        <f>IF(Table2[[#This Row],[Performance_Rating]]&gt;=3,Table2[[#This Row],[Monthly_Salary]]*0.3,"")</f>
        <v>12900</v>
      </c>
      <c r="T120">
        <v>90</v>
      </c>
      <c r="U120">
        <v>15</v>
      </c>
      <c r="V120">
        <v>3</v>
      </c>
      <c r="W120" t="s">
        <v>37</v>
      </c>
      <c r="X120" t="s">
        <v>19</v>
      </c>
      <c r="Y120" t="str">
        <f>IF(Table2[[#This Row],[Work_Mode]]&lt;&gt;"",Table2[[#This Row],[Work_Mode]],
IF(ISNUMBER(SEARCH("India",Table2[[#This Row],[Emp_Name]])),"Office",
IF(ISNUMBER(SEARCH("Foreign",Table2[[#This Row],[Emp_Name]])),"Remote","")))</f>
        <v>Office</v>
      </c>
      <c r="Z120">
        <v>10</v>
      </c>
      <c r="AA12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120" t="s">
        <v>58</v>
      </c>
      <c r="AC120" t="str">
        <f>IF(COUNTIF(Table2[Emp_ID],Table2[[#This Row],[Emp_ID]])&gt;1,"Duplicate","Unique")</f>
        <v>Unique</v>
      </c>
      <c r="AE120" s="2"/>
      <c r="AG120" t="str">
        <f>IF(Table2[[#This Row],[Monthly_Salary]]="","Exclude",
IF(Table2[[#This Row],[Row_Status]]="Mismatch","Exclude",
IF(AND(Table2[[#This Row],[Row_Status]]="Exact Duplicate",
COUNTIFS(Table2[Emp_ID],Table2[[#This Row],[Emp_ID]],Table2[Row_Concat],Table2[[#This Row],[Row_Concat]],
Table2[Row_Number],"&lt;"&amp;Table2[[#This Row],[Row_Number]])&gt;=1),"Delete","")))</f>
        <v/>
      </c>
      <c r="AH120" t="str">
        <f>VLOOKUP(Table2[[#This Row],[Department]],Raw_2!A:B,2,0)</f>
        <v>Night</v>
      </c>
      <c r="AI120">
        <f>VLOOKUP(Table2[[#This Row],[Department]],Raw_2!A:C,3,0)</f>
        <v>13</v>
      </c>
    </row>
    <row r="121" spans="1:35">
      <c r="A121" t="s">
        <v>287</v>
      </c>
      <c r="B121" t="s">
        <v>288</v>
      </c>
      <c r="C121">
        <v>26</v>
      </c>
      <c r="D121" t="s">
        <v>34</v>
      </c>
      <c r="E121" t="str">
        <f>IF(OR(Table2[[#This Row],[Gender]]="Male",Table2[[#This Row],[Gender]]="M"),"M",
IF(OR(Table2[[#This Row],[Gender]]="Female",Table2[[#This Row],[Gender]]="F"),"F",""))</f>
        <v>F</v>
      </c>
      <c r="F121" t="s">
        <v>26</v>
      </c>
      <c r="G121" t="s">
        <v>31</v>
      </c>
      <c r="H121" t="s">
        <v>51</v>
      </c>
      <c r="I121" t="s">
        <v>1060</v>
      </c>
      <c r="J121" t="str">
        <f>IF(ISNUMBER(SEARCH("India",Table2[[#This Row],[Emp_Name]])),"INR",
IF(ISNUMBER(SEARCH("Foreign",Table2[[#This Row],[Emp_Name]])),Table2[[#This Row],[Currency]],Table2[[#This Row],[Currency]]))</f>
        <v>INR</v>
      </c>
      <c r="K121">
        <v>37000</v>
      </c>
      <c r="L121">
        <v>12</v>
      </c>
      <c r="M121">
        <f>IF(Table2[[#This Row],[Num_Month]]&lt;&gt;12,12,Table2[[#This Row],[Num_Month]])</f>
        <v>12</v>
      </c>
      <c r="N121">
        <f>IF(Table2[[#This Row],[Monthly_Salary]]="","",Table2[[#This Row],[Monthly_Salary]]*Table2[[#This Row],[Num_Month_Final]])</f>
        <v>444000</v>
      </c>
      <c r="O121">
        <v>2</v>
      </c>
      <c r="P121">
        <f>IF(Table2[[#This Row],[Exp_Years]]&lt;0,ABS(Table2[[#This Row],[Exp_Years]]),Table2[[#This Row],[Exp_Years]])</f>
        <v>2</v>
      </c>
      <c r="Q121">
        <v>2</v>
      </c>
      <c r="S121" t="str">
        <f>IF(Table2[[#This Row],[Performance_Rating]]&gt;=3,Table2[[#This Row],[Monthly_Salary]]*0.3,"")</f>
        <v/>
      </c>
      <c r="T121">
        <v>85</v>
      </c>
      <c r="U121">
        <v>5</v>
      </c>
      <c r="V121">
        <v>1</v>
      </c>
      <c r="W121" t="s">
        <v>37</v>
      </c>
      <c r="X121" t="s">
        <v>38</v>
      </c>
      <c r="Y121" t="str">
        <f>IF(Table2[[#This Row],[Work_Mode]]&lt;&gt;"",Table2[[#This Row],[Work_Mode]],
IF(ISNUMBER(SEARCH("India",Table2[[#This Row],[Emp_Name]])),"Office",
IF(ISNUMBER(SEARCH("Foreign",Table2[[#This Row],[Emp_Name]])),"Remote","")))</f>
        <v>Hybrid</v>
      </c>
      <c r="Z121">
        <v>20</v>
      </c>
      <c r="AA12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121" t="s">
        <v>39</v>
      </c>
      <c r="AC121" t="str">
        <f>IF(COUNTIF(Table2[Emp_ID],Table2[[#This Row],[Emp_ID]])&gt;1,"Duplicate","Unique")</f>
        <v>Unique</v>
      </c>
      <c r="AE121" s="2"/>
      <c r="AG121" t="str">
        <f>IF(Table2[[#This Row],[Monthly_Salary]]="","Exclude",
IF(Table2[[#This Row],[Row_Status]]="Mismatch","Exclude",
IF(AND(Table2[[#This Row],[Row_Status]]="Exact Duplicate",
COUNTIFS(Table2[Emp_ID],Table2[[#This Row],[Emp_ID]],Table2[Row_Concat],Table2[[#This Row],[Row_Concat]],
Table2[Row_Number],"&lt;"&amp;Table2[[#This Row],[Row_Number]])&gt;=1),"Delete","")))</f>
        <v/>
      </c>
      <c r="AH121" t="str">
        <f>VLOOKUP(Table2[[#This Row],[Department]],Raw_2!A:B,2,0)</f>
        <v>Night</v>
      </c>
      <c r="AI121">
        <f>VLOOKUP(Table2[[#This Row],[Department]],Raw_2!A:C,3,0)</f>
        <v>13</v>
      </c>
    </row>
    <row r="122" spans="1:35">
      <c r="A122" t="s">
        <v>289</v>
      </c>
      <c r="B122" t="s">
        <v>290</v>
      </c>
      <c r="C122">
        <v>26</v>
      </c>
      <c r="D122" t="s">
        <v>46</v>
      </c>
      <c r="E122" t="str">
        <f>IF(OR(Table2[[#This Row],[Gender]]="Male",Table2[[#This Row],[Gender]]="M"),"M",
IF(OR(Table2[[#This Row],[Gender]]="Female",Table2[[#This Row],[Gender]]="F"),"F",""))</f>
        <v>M</v>
      </c>
      <c r="F122" t="s">
        <v>73</v>
      </c>
      <c r="G122" t="s">
        <v>27</v>
      </c>
      <c r="H122" t="s">
        <v>51</v>
      </c>
      <c r="I122" t="s">
        <v>1060</v>
      </c>
      <c r="J122" t="str">
        <f>IF(ISNUMBER(SEARCH("India",Table2[[#This Row],[Emp_Name]])),"INR",
IF(ISNUMBER(SEARCH("Foreign",Table2[[#This Row],[Emp_Name]])),Table2[[#This Row],[Currency]],Table2[[#This Row],[Currency]]))</f>
        <v>INR</v>
      </c>
      <c r="K122">
        <v>43000</v>
      </c>
      <c r="L122">
        <v>12</v>
      </c>
      <c r="M122">
        <f>IF(Table2[[#This Row],[Num_Month]]&lt;&gt;12,12,Table2[[#This Row],[Num_Month]])</f>
        <v>12</v>
      </c>
      <c r="N122">
        <f>IF(Table2[[#This Row],[Monthly_Salary]]="","",Table2[[#This Row],[Monthly_Salary]]*Table2[[#This Row],[Num_Month_Final]])</f>
        <v>516000</v>
      </c>
      <c r="O122">
        <v>3</v>
      </c>
      <c r="P122">
        <f>IF(Table2[[#This Row],[Exp_Years]]&lt;0,ABS(Table2[[#This Row],[Exp_Years]]),Table2[[#This Row],[Exp_Years]])</f>
        <v>3</v>
      </c>
      <c r="Q122">
        <v>4</v>
      </c>
      <c r="R122">
        <v>10000</v>
      </c>
      <c r="S122">
        <f>IF(Table2[[#This Row],[Performance_Rating]]&gt;=3,Table2[[#This Row],[Monthly_Salary]]*0.3,"")</f>
        <v>12900</v>
      </c>
      <c r="T122">
        <v>85</v>
      </c>
      <c r="U122">
        <v>15</v>
      </c>
      <c r="V122">
        <v>2</v>
      </c>
      <c r="X122" t="s">
        <v>38</v>
      </c>
      <c r="Y122" t="str">
        <f>IF(Table2[[#This Row],[Work_Mode]]&lt;&gt;"",Table2[[#This Row],[Work_Mode]],
IF(ISNUMBER(SEARCH("India",Table2[[#This Row],[Emp_Name]])),"Office",
IF(ISNUMBER(SEARCH("Foreign",Table2[[#This Row],[Emp_Name]])),"Remote","")))</f>
        <v>Hybrid</v>
      </c>
      <c r="Z122">
        <v>10</v>
      </c>
      <c r="AA12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122" t="s">
        <v>22</v>
      </c>
      <c r="AC122" t="str">
        <f>IF(COUNTIF(Table2[Emp_ID],Table2[[#This Row],[Emp_ID]])&gt;1,"Duplicate","Unique")</f>
        <v>Unique</v>
      </c>
      <c r="AE122" s="2"/>
      <c r="AG122" t="str">
        <f>IF(Table2[[#This Row],[Monthly_Salary]]="","Exclude",
IF(Table2[[#This Row],[Row_Status]]="Mismatch","Exclude",
IF(AND(Table2[[#This Row],[Row_Status]]="Exact Duplicate",
COUNTIFS(Table2[Emp_ID],Table2[[#This Row],[Emp_ID]],Table2[Row_Concat],Table2[[#This Row],[Row_Concat]],
Table2[Row_Number],"&lt;"&amp;Table2[[#This Row],[Row_Number]])&gt;=1),"Delete","")))</f>
        <v/>
      </c>
      <c r="AH122" t="str">
        <f>VLOOKUP(Table2[[#This Row],[Department]],Raw_2!A:B,2,0)</f>
        <v>Day</v>
      </c>
      <c r="AI122">
        <f>VLOOKUP(Table2[[#This Row],[Department]],Raw_2!A:C,3,0)</f>
        <v>12</v>
      </c>
    </row>
    <row r="123" spans="1:35">
      <c r="A123" t="s">
        <v>291</v>
      </c>
      <c r="B123" t="s">
        <v>292</v>
      </c>
      <c r="C123">
        <v>25</v>
      </c>
      <c r="D123" t="s">
        <v>46</v>
      </c>
      <c r="E123" t="str">
        <f>IF(OR(Table2[[#This Row],[Gender]]="Male",Table2[[#This Row],[Gender]]="M"),"M",
IF(OR(Table2[[#This Row],[Gender]]="Female",Table2[[#This Row],[Gender]]="F"),"F",""))</f>
        <v>M</v>
      </c>
      <c r="F123" t="s">
        <v>35</v>
      </c>
      <c r="G123" t="s">
        <v>42</v>
      </c>
      <c r="H123" t="s">
        <v>51</v>
      </c>
      <c r="I123" t="s">
        <v>1060</v>
      </c>
      <c r="J123" t="str">
        <f>IF(ISNUMBER(SEARCH("India",Table2[[#This Row],[Emp_Name]])),"INR",
IF(ISNUMBER(SEARCH("Foreign",Table2[[#This Row],[Emp_Name]])),Table2[[#This Row],[Currency]],Table2[[#This Row],[Currency]]))</f>
        <v>INR</v>
      </c>
      <c r="K123">
        <v>43000</v>
      </c>
      <c r="L123">
        <v>12</v>
      </c>
      <c r="M123">
        <f>IF(Table2[[#This Row],[Num_Month]]&lt;&gt;12,12,Table2[[#This Row],[Num_Month]])</f>
        <v>12</v>
      </c>
      <c r="N123">
        <f>IF(Table2[[#This Row],[Monthly_Salary]]="","",Table2[[#This Row],[Monthly_Salary]]*Table2[[#This Row],[Num_Month_Final]])</f>
        <v>516000</v>
      </c>
      <c r="O123">
        <v>3</v>
      </c>
      <c r="P123">
        <f>IF(Table2[[#This Row],[Exp_Years]]&lt;0,ABS(Table2[[#This Row],[Exp_Years]]),Table2[[#This Row],[Exp_Years]])</f>
        <v>3</v>
      </c>
      <c r="Q123">
        <v>1</v>
      </c>
      <c r="S123" t="str">
        <f>IF(Table2[[#This Row],[Performance_Rating]]&gt;=3,Table2[[#This Row],[Monthly_Salary]]*0.3,"")</f>
        <v/>
      </c>
      <c r="T123">
        <v>85</v>
      </c>
      <c r="U123">
        <v>15</v>
      </c>
      <c r="V123">
        <v>5</v>
      </c>
      <c r="W123" t="s">
        <v>21</v>
      </c>
      <c r="X123" t="s">
        <v>38</v>
      </c>
      <c r="Y123" t="str">
        <f>IF(Table2[[#This Row],[Work_Mode]]&lt;&gt;"",Table2[[#This Row],[Work_Mode]],
IF(ISNUMBER(SEARCH("India",Table2[[#This Row],[Emp_Name]])),"Office",
IF(ISNUMBER(SEARCH("Foreign",Table2[[#This Row],[Emp_Name]])),"Remote","")))</f>
        <v>Hybrid</v>
      </c>
      <c r="Z123">
        <v>20</v>
      </c>
      <c r="AA12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123" t="s">
        <v>39</v>
      </c>
      <c r="AC123" t="str">
        <f>IF(COUNTIF(Table2[Emp_ID],Table2[[#This Row],[Emp_ID]])&gt;1,"Duplicate","Unique")</f>
        <v>Unique</v>
      </c>
      <c r="AE123" s="2"/>
      <c r="AG123" t="str">
        <f>IF(Table2[[#This Row],[Monthly_Salary]]="","Exclude",
IF(Table2[[#This Row],[Row_Status]]="Mismatch","Exclude",
IF(AND(Table2[[#This Row],[Row_Status]]="Exact Duplicate",
COUNTIFS(Table2[Emp_ID],Table2[[#This Row],[Emp_ID]],Table2[Row_Concat],Table2[[#This Row],[Row_Concat]],
Table2[Row_Number],"&lt;"&amp;Table2[[#This Row],[Row_Number]])&gt;=1),"Delete","")))</f>
        <v/>
      </c>
      <c r="AH123" t="str">
        <f>VLOOKUP(Table2[[#This Row],[Department]],Raw_2!A:B,2,0)</f>
        <v>Day</v>
      </c>
      <c r="AI123">
        <f>VLOOKUP(Table2[[#This Row],[Department]],Raw_2!A:C,3,0)</f>
        <v>14</v>
      </c>
    </row>
    <row r="124" spans="1:35">
      <c r="A124" t="s">
        <v>293</v>
      </c>
      <c r="B124" t="s">
        <v>294</v>
      </c>
      <c r="C124">
        <v>25</v>
      </c>
      <c r="D124" t="s">
        <v>16</v>
      </c>
      <c r="E124" t="str">
        <f>IF(OR(Table2[[#This Row],[Gender]]="Male",Table2[[#This Row],[Gender]]="M"),"M",
IF(OR(Table2[[#This Row],[Gender]]="Female",Table2[[#This Row],[Gender]]="F"),"F",""))</f>
        <v>M</v>
      </c>
      <c r="F124" t="s">
        <v>17</v>
      </c>
      <c r="G124" t="s">
        <v>31</v>
      </c>
      <c r="H124" t="s">
        <v>51</v>
      </c>
      <c r="I124" t="s">
        <v>1060</v>
      </c>
      <c r="J124" t="str">
        <f>IF(ISNUMBER(SEARCH("India",Table2[[#This Row],[Emp_Name]])),"INR",
IF(ISNUMBER(SEARCH("Foreign",Table2[[#This Row],[Emp_Name]])),Table2[[#This Row],[Currency]],Table2[[#This Row],[Currency]]))</f>
        <v>INR</v>
      </c>
      <c r="K124">
        <v>48000</v>
      </c>
      <c r="L124">
        <v>12</v>
      </c>
      <c r="M124">
        <f>IF(Table2[[#This Row],[Num_Month]]&lt;&gt;12,12,Table2[[#This Row],[Num_Month]])</f>
        <v>12</v>
      </c>
      <c r="N124">
        <f>IF(Table2[[#This Row],[Monthly_Salary]]="","",Table2[[#This Row],[Monthly_Salary]]*Table2[[#This Row],[Num_Month_Final]])</f>
        <v>576000</v>
      </c>
      <c r="O124">
        <v>4</v>
      </c>
      <c r="P124">
        <f>IF(Table2[[#This Row],[Exp_Years]]&lt;0,ABS(Table2[[#This Row],[Exp_Years]]),Table2[[#This Row],[Exp_Years]])</f>
        <v>4</v>
      </c>
      <c r="Q124">
        <v>4</v>
      </c>
      <c r="R124">
        <v>5000</v>
      </c>
      <c r="S124">
        <f>IF(Table2[[#This Row],[Performance_Rating]]&gt;=3,Table2[[#This Row],[Monthly_Salary]]*0.3,"")</f>
        <v>14400</v>
      </c>
      <c r="T124">
        <v>85</v>
      </c>
      <c r="U124">
        <v>15</v>
      </c>
      <c r="V124">
        <v>3</v>
      </c>
      <c r="X124" t="s">
        <v>38</v>
      </c>
      <c r="Y124" t="str">
        <f>IF(Table2[[#This Row],[Work_Mode]]&lt;&gt;"",Table2[[#This Row],[Work_Mode]],
IF(ISNUMBER(SEARCH("India",Table2[[#This Row],[Emp_Name]])),"Office",
IF(ISNUMBER(SEARCH("Foreign",Table2[[#This Row],[Emp_Name]])),"Remote","")))</f>
        <v>Hybrid</v>
      </c>
      <c r="Z124">
        <v>20</v>
      </c>
      <c r="AA12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124" t="s">
        <v>58</v>
      </c>
      <c r="AC124" t="str">
        <f>IF(COUNTIF(Table2[Emp_ID],Table2[[#This Row],[Emp_ID]])&gt;1,"Duplicate","Unique")</f>
        <v>Unique</v>
      </c>
      <c r="AE124" s="2"/>
      <c r="AG124" t="str">
        <f>IF(Table2[[#This Row],[Monthly_Salary]]="","Exclude",
IF(Table2[[#This Row],[Row_Status]]="Mismatch","Exclude",
IF(AND(Table2[[#This Row],[Row_Status]]="Exact Duplicate",
COUNTIFS(Table2[Emp_ID],Table2[[#This Row],[Emp_ID]],Table2[Row_Concat],Table2[[#This Row],[Row_Concat]],
Table2[Row_Number],"&lt;"&amp;Table2[[#This Row],[Row_Number]])&gt;=1),"Delete","")))</f>
        <v/>
      </c>
      <c r="AH124" t="str">
        <f>VLOOKUP(Table2[[#This Row],[Department]],Raw_2!A:B,2,0)</f>
        <v>Night</v>
      </c>
      <c r="AI124">
        <f>VLOOKUP(Table2[[#This Row],[Department]],Raw_2!A:C,3,0)</f>
        <v>13</v>
      </c>
    </row>
    <row r="125" spans="1:35">
      <c r="A125" t="s">
        <v>295</v>
      </c>
      <c r="B125" t="s">
        <v>296</v>
      </c>
      <c r="C125">
        <v>25</v>
      </c>
      <c r="E125" t="str">
        <f>IF(OR(Table2[[#This Row],[Gender]]="Male",Table2[[#This Row],[Gender]]="M"),"M",
IF(OR(Table2[[#This Row],[Gender]]="Female",Table2[[#This Row],[Gender]]="F"),"F",""))</f>
        <v/>
      </c>
      <c r="F125" t="s">
        <v>26</v>
      </c>
      <c r="G125" t="s">
        <v>36</v>
      </c>
      <c r="H125" t="s">
        <v>51</v>
      </c>
      <c r="I125" t="s">
        <v>1059</v>
      </c>
      <c r="J125" t="str">
        <f>IF(ISNUMBER(SEARCH("India",Table2[[#This Row],[Emp_Name]])),"INR",
IF(ISNUMBER(SEARCH("Foreign",Table2[[#This Row],[Emp_Name]])),Table2[[#This Row],[Currency]],Table2[[#This Row],[Currency]]))</f>
        <v>USD</v>
      </c>
      <c r="K125">
        <v>43000</v>
      </c>
      <c r="L125">
        <v>12</v>
      </c>
      <c r="M125">
        <f>IF(Table2[[#This Row],[Num_Month]]&lt;&gt;12,12,Table2[[#This Row],[Num_Month]])</f>
        <v>12</v>
      </c>
      <c r="N125">
        <f>IF(Table2[[#This Row],[Monthly_Salary]]="","",Table2[[#This Row],[Monthly_Salary]]*Table2[[#This Row],[Num_Month_Final]])</f>
        <v>516000</v>
      </c>
      <c r="O125">
        <v>3</v>
      </c>
      <c r="P125">
        <f>IF(Table2[[#This Row],[Exp_Years]]&lt;0,ABS(Table2[[#This Row],[Exp_Years]]),Table2[[#This Row],[Exp_Years]])</f>
        <v>3</v>
      </c>
      <c r="Q125">
        <v>4</v>
      </c>
      <c r="S125">
        <f>IF(Table2[[#This Row],[Performance_Rating]]&gt;=3,Table2[[#This Row],[Monthly_Salary]]*0.3,"")</f>
        <v>12900</v>
      </c>
      <c r="T125">
        <v>90</v>
      </c>
      <c r="U125">
        <v>10</v>
      </c>
      <c r="V125">
        <v>2</v>
      </c>
      <c r="W125" t="s">
        <v>21</v>
      </c>
      <c r="X125" t="s">
        <v>28</v>
      </c>
      <c r="Y125" t="str">
        <f>IF(Table2[[#This Row],[Work_Mode]]&lt;&gt;"",Table2[[#This Row],[Work_Mode]],
IF(ISNUMBER(SEARCH("India",Table2[[#This Row],[Emp_Name]])),"Office",
IF(ISNUMBER(SEARCH("Foreign",Table2[[#This Row],[Emp_Name]])),"Remote","")))</f>
        <v>Remote</v>
      </c>
      <c r="Z125">
        <v>5</v>
      </c>
      <c r="AA12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125" t="s">
        <v>22</v>
      </c>
      <c r="AC125" t="str">
        <f>IF(COUNTIF(Table2[Emp_ID],Table2[[#This Row],[Emp_ID]])&gt;1,"Duplicate","Unique")</f>
        <v>Unique</v>
      </c>
      <c r="AE125" s="2"/>
      <c r="AG125" t="str">
        <f>IF(Table2[[#This Row],[Monthly_Salary]]="","Exclude",
IF(Table2[[#This Row],[Row_Status]]="Mismatch","Exclude",
IF(AND(Table2[[#This Row],[Row_Status]]="Exact Duplicate",
COUNTIFS(Table2[Emp_ID],Table2[[#This Row],[Emp_ID]],Table2[Row_Concat],Table2[[#This Row],[Row_Concat]],
Table2[Row_Number],"&lt;"&amp;Table2[[#This Row],[Row_Number]])&gt;=1),"Delete","")))</f>
        <v/>
      </c>
      <c r="AH125" t="str">
        <f>VLOOKUP(Table2[[#This Row],[Department]],Raw_2!A:B,2,0)</f>
        <v>Day</v>
      </c>
      <c r="AI125">
        <f>VLOOKUP(Table2[[#This Row],[Department]],Raw_2!A:C,3,0)</f>
        <v>25</v>
      </c>
    </row>
    <row r="126" spans="1:35">
      <c r="A126" t="s">
        <v>297</v>
      </c>
      <c r="B126" t="s">
        <v>298</v>
      </c>
      <c r="C126">
        <v>40</v>
      </c>
      <c r="D126" t="s">
        <v>34</v>
      </c>
      <c r="E126" t="str">
        <f>IF(OR(Table2[[#This Row],[Gender]]="Male",Table2[[#This Row],[Gender]]="M"),"M",
IF(OR(Table2[[#This Row],[Gender]]="Female",Table2[[#This Row],[Gender]]="F"),"F",""))</f>
        <v>F</v>
      </c>
      <c r="F126" t="s">
        <v>17</v>
      </c>
      <c r="G126" t="s">
        <v>27</v>
      </c>
      <c r="H126" t="s">
        <v>32</v>
      </c>
      <c r="I126" t="s">
        <v>1060</v>
      </c>
      <c r="J126" t="str">
        <f>IF(ISNUMBER(SEARCH("India",Table2[[#This Row],[Emp_Name]])),"INR",
IF(ISNUMBER(SEARCH("Foreign",Table2[[#This Row],[Emp_Name]])),Table2[[#This Row],[Currency]],Table2[[#This Row],[Currency]]))</f>
        <v>INR</v>
      </c>
      <c r="K126">
        <v>89000</v>
      </c>
      <c r="L126">
        <v>12</v>
      </c>
      <c r="M126">
        <f>IF(Table2[[#This Row],[Num_Month]]&lt;&gt;12,12,Table2[[#This Row],[Num_Month]])</f>
        <v>12</v>
      </c>
      <c r="N126">
        <f>IF(Table2[[#This Row],[Monthly_Salary]]="","",Table2[[#This Row],[Monthly_Salary]]*Table2[[#This Row],[Num_Month_Final]])</f>
        <v>1068000</v>
      </c>
      <c r="O126">
        <v>11</v>
      </c>
      <c r="P126">
        <f>IF(Table2[[#This Row],[Exp_Years]]&lt;0,ABS(Table2[[#This Row],[Exp_Years]]),Table2[[#This Row],[Exp_Years]])</f>
        <v>11</v>
      </c>
      <c r="Q126">
        <v>1</v>
      </c>
      <c r="S126" t="str">
        <f>IF(Table2[[#This Row],[Performance_Rating]]&gt;=3,Table2[[#This Row],[Monthly_Salary]]*0.3,"")</f>
        <v/>
      </c>
      <c r="T126">
        <v>80</v>
      </c>
      <c r="U126">
        <v>5</v>
      </c>
      <c r="V126">
        <v>3</v>
      </c>
      <c r="X126" t="s">
        <v>19</v>
      </c>
      <c r="Y126" t="str">
        <f>IF(Table2[[#This Row],[Work_Mode]]&lt;&gt;"",Table2[[#This Row],[Work_Mode]],
IF(ISNUMBER(SEARCH("India",Table2[[#This Row],[Emp_Name]])),"Office",
IF(ISNUMBER(SEARCH("Foreign",Table2[[#This Row],[Emp_Name]])),"Remote","")))</f>
        <v>Office</v>
      </c>
      <c r="Z126">
        <v>20</v>
      </c>
      <c r="AA12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7000</v>
      </c>
      <c r="AB126" t="s">
        <v>39</v>
      </c>
      <c r="AC126" t="str">
        <f>IF(COUNTIF(Table2[Emp_ID],Table2[[#This Row],[Emp_ID]])&gt;1,"Duplicate","Unique")</f>
        <v>Unique</v>
      </c>
      <c r="AE126" s="2"/>
      <c r="AG126" t="str">
        <f>IF(Table2[[#This Row],[Monthly_Salary]]="","Exclude",
IF(Table2[[#This Row],[Row_Status]]="Mismatch","Exclude",
IF(AND(Table2[[#This Row],[Row_Status]]="Exact Duplicate",
COUNTIFS(Table2[Emp_ID],Table2[[#This Row],[Emp_ID]],Table2[Row_Concat],Table2[[#This Row],[Row_Concat]],
Table2[Row_Number],"&lt;"&amp;Table2[[#This Row],[Row_Number]])&gt;=1),"Delete","")))</f>
        <v/>
      </c>
      <c r="AH126" t="str">
        <f>VLOOKUP(Table2[[#This Row],[Department]],Raw_2!A:B,2,0)</f>
        <v>Day</v>
      </c>
      <c r="AI126">
        <f>VLOOKUP(Table2[[#This Row],[Department]],Raw_2!A:C,3,0)</f>
        <v>12</v>
      </c>
    </row>
    <row r="127" spans="1:35">
      <c r="A127" t="s">
        <v>299</v>
      </c>
      <c r="B127" t="s">
        <v>300</v>
      </c>
      <c r="C127">
        <v>25</v>
      </c>
      <c r="D127" t="s">
        <v>46</v>
      </c>
      <c r="E127" t="str">
        <f>IF(OR(Table2[[#This Row],[Gender]]="Male",Table2[[#This Row],[Gender]]="M"),"M",
IF(OR(Table2[[#This Row],[Gender]]="Female",Table2[[#This Row],[Gender]]="F"),"F",""))</f>
        <v>M</v>
      </c>
      <c r="F127" t="s">
        <v>64</v>
      </c>
      <c r="G127" t="s">
        <v>66</v>
      </c>
      <c r="H127" t="s">
        <v>51</v>
      </c>
      <c r="I127" t="s">
        <v>1060</v>
      </c>
      <c r="J127" t="str">
        <f>IF(ISNUMBER(SEARCH("India",Table2[[#This Row],[Emp_Name]])),"INR",
IF(ISNUMBER(SEARCH("Foreign",Table2[[#This Row],[Emp_Name]])),Table2[[#This Row],[Currency]],Table2[[#This Row],[Currency]]))</f>
        <v>INR</v>
      </c>
      <c r="K127">
        <v>35000</v>
      </c>
      <c r="L127">
        <v>12</v>
      </c>
      <c r="M127">
        <f>IF(Table2[[#This Row],[Num_Month]]&lt;&gt;12,12,Table2[[#This Row],[Num_Month]])</f>
        <v>12</v>
      </c>
      <c r="N127">
        <f>IF(Table2[[#This Row],[Monthly_Salary]]="","",Table2[[#This Row],[Monthly_Salary]]*Table2[[#This Row],[Num_Month_Final]])</f>
        <v>420000</v>
      </c>
      <c r="O127">
        <v>3</v>
      </c>
      <c r="P127">
        <f>IF(Table2[[#This Row],[Exp_Years]]&lt;0,ABS(Table2[[#This Row],[Exp_Years]]),Table2[[#This Row],[Exp_Years]])</f>
        <v>3</v>
      </c>
      <c r="Q127">
        <v>2</v>
      </c>
      <c r="S127" t="str">
        <f>IF(Table2[[#This Row],[Performance_Rating]]&gt;=3,Table2[[#This Row],[Monthly_Salary]]*0.3,"")</f>
        <v/>
      </c>
      <c r="T127">
        <v>85</v>
      </c>
      <c r="U127">
        <v>23</v>
      </c>
      <c r="V127">
        <v>1</v>
      </c>
      <c r="X127" t="s">
        <v>38</v>
      </c>
      <c r="Y127" t="str">
        <f>IF(Table2[[#This Row],[Work_Mode]]&lt;&gt;"",Table2[[#This Row],[Work_Mode]],
IF(ISNUMBER(SEARCH("India",Table2[[#This Row],[Emp_Name]])),"Office",
IF(ISNUMBER(SEARCH("Foreign",Table2[[#This Row],[Emp_Name]])),"Remote","")))</f>
        <v>Hybrid</v>
      </c>
      <c r="Z127">
        <v>20</v>
      </c>
      <c r="AA12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127" t="s">
        <v>39</v>
      </c>
      <c r="AC127" t="str">
        <f>IF(COUNTIF(Table2[Emp_ID],Table2[[#This Row],[Emp_ID]])&gt;1,"Duplicate","Unique")</f>
        <v>Unique</v>
      </c>
      <c r="AE127" s="2"/>
      <c r="AG127" t="str">
        <f>IF(Table2[[#This Row],[Monthly_Salary]]="","Exclude",
IF(Table2[[#This Row],[Row_Status]]="Mismatch","Exclude",
IF(AND(Table2[[#This Row],[Row_Status]]="Exact Duplicate",
COUNTIFS(Table2[Emp_ID],Table2[[#This Row],[Emp_ID]],Table2[Row_Concat],Table2[[#This Row],[Row_Concat]],
Table2[Row_Number],"&lt;"&amp;Table2[[#This Row],[Row_Number]])&gt;=1),"Delete","")))</f>
        <v/>
      </c>
      <c r="AH127" t="str">
        <f>VLOOKUP(Table2[[#This Row],[Department]],Raw_2!A:B,2,0)</f>
        <v>Night</v>
      </c>
      <c r="AI127">
        <f>VLOOKUP(Table2[[#This Row],[Department]],Raw_2!A:C,3,0)</f>
        <v>20</v>
      </c>
    </row>
    <row r="128" spans="1:35">
      <c r="A128" t="s">
        <v>301</v>
      </c>
      <c r="B128" t="s">
        <v>302</v>
      </c>
      <c r="C128">
        <v>25</v>
      </c>
      <c r="D128" t="s">
        <v>46</v>
      </c>
      <c r="E128" t="str">
        <f>IF(OR(Table2[[#This Row],[Gender]]="Male",Table2[[#This Row],[Gender]]="M"),"M",
IF(OR(Table2[[#This Row],[Gender]]="Female",Table2[[#This Row],[Gender]]="F"),"F",""))</f>
        <v>M</v>
      </c>
      <c r="F128" t="s">
        <v>64</v>
      </c>
      <c r="G128" t="s">
        <v>42</v>
      </c>
      <c r="H128" t="s">
        <v>51</v>
      </c>
      <c r="I128" t="s">
        <v>1060</v>
      </c>
      <c r="J128" t="str">
        <f>IF(ISNUMBER(SEARCH("India",Table2[[#This Row],[Emp_Name]])),"INR",
IF(ISNUMBER(SEARCH("Foreign",Table2[[#This Row],[Emp_Name]])),Table2[[#This Row],[Currency]],Table2[[#This Row],[Currency]]))</f>
        <v>INR</v>
      </c>
      <c r="K128">
        <v>48000</v>
      </c>
      <c r="L128">
        <v>12</v>
      </c>
      <c r="M128">
        <f>IF(Table2[[#This Row],[Num_Month]]&lt;&gt;12,12,Table2[[#This Row],[Num_Month]])</f>
        <v>12</v>
      </c>
      <c r="N128">
        <f>IF(Table2[[#This Row],[Monthly_Salary]]="","",Table2[[#This Row],[Monthly_Salary]]*Table2[[#This Row],[Num_Month_Final]])</f>
        <v>576000</v>
      </c>
      <c r="O128">
        <v>4</v>
      </c>
      <c r="P128">
        <f>IF(Table2[[#This Row],[Exp_Years]]&lt;0,ABS(Table2[[#This Row],[Exp_Years]]),Table2[[#This Row],[Exp_Years]])</f>
        <v>4</v>
      </c>
      <c r="Q128">
        <v>2</v>
      </c>
      <c r="S128" t="str">
        <f>IF(Table2[[#This Row],[Performance_Rating]]&gt;=3,Table2[[#This Row],[Monthly_Salary]]*0.3,"")</f>
        <v/>
      </c>
      <c r="T128">
        <v>90</v>
      </c>
      <c r="U128">
        <v>15</v>
      </c>
      <c r="V128">
        <v>2</v>
      </c>
      <c r="W128" t="s">
        <v>21</v>
      </c>
      <c r="X128" t="s">
        <v>19</v>
      </c>
      <c r="Y128" t="str">
        <f>IF(Table2[[#This Row],[Work_Mode]]&lt;&gt;"",Table2[[#This Row],[Work_Mode]],
IF(ISNUMBER(SEARCH("India",Table2[[#This Row],[Emp_Name]])),"Office",
IF(ISNUMBER(SEARCH("Foreign",Table2[[#This Row],[Emp_Name]])),"Remote","")))</f>
        <v>Office</v>
      </c>
      <c r="Z128">
        <v>10</v>
      </c>
      <c r="AA12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128" t="s">
        <v>39</v>
      </c>
      <c r="AC128" t="str">
        <f>IF(COUNTIF(Table2[Emp_ID],Table2[[#This Row],[Emp_ID]])&gt;1,"Duplicate","Unique")</f>
        <v>Unique</v>
      </c>
      <c r="AE128" s="2"/>
      <c r="AG128" t="str">
        <f>IF(Table2[[#This Row],[Monthly_Salary]]="","Exclude",
IF(Table2[[#This Row],[Row_Status]]="Mismatch","Exclude",
IF(AND(Table2[[#This Row],[Row_Status]]="Exact Duplicate",
COUNTIFS(Table2[Emp_ID],Table2[[#This Row],[Emp_ID]],Table2[Row_Concat],Table2[[#This Row],[Row_Concat]],
Table2[Row_Number],"&lt;"&amp;Table2[[#This Row],[Row_Number]])&gt;=1),"Delete","")))</f>
        <v/>
      </c>
      <c r="AH128" t="str">
        <f>VLOOKUP(Table2[[#This Row],[Department]],Raw_2!A:B,2,0)</f>
        <v>Day</v>
      </c>
      <c r="AI128">
        <f>VLOOKUP(Table2[[#This Row],[Department]],Raw_2!A:C,3,0)</f>
        <v>14</v>
      </c>
    </row>
    <row r="129" spans="1:35">
      <c r="A129" t="s">
        <v>303</v>
      </c>
      <c r="B129" t="s">
        <v>304</v>
      </c>
      <c r="C129">
        <v>39</v>
      </c>
      <c r="E129" t="str">
        <f>IF(OR(Table2[[#This Row],[Gender]]="Male",Table2[[#This Row],[Gender]]="M"),"M",
IF(OR(Table2[[#This Row],[Gender]]="Female",Table2[[#This Row],[Gender]]="F"),"F",""))</f>
        <v/>
      </c>
      <c r="F129" t="s">
        <v>57</v>
      </c>
      <c r="G129" t="s">
        <v>42</v>
      </c>
      <c r="H129" t="s">
        <v>1049</v>
      </c>
      <c r="I129" t="s">
        <v>1060</v>
      </c>
      <c r="J129" t="str">
        <f>IF(ISNUMBER(SEARCH("India",Table2[[#This Row],[Emp_Name]])),"INR",
IF(ISNUMBER(SEARCH("Foreign",Table2[[#This Row],[Emp_Name]])),Table2[[#This Row],[Currency]],Table2[[#This Row],[Currency]]))</f>
        <v>INR</v>
      </c>
      <c r="K129">
        <v>123000</v>
      </c>
      <c r="L129">
        <v>12</v>
      </c>
      <c r="M129">
        <f>IF(Table2[[#This Row],[Num_Month]]&lt;&gt;12,12,Table2[[#This Row],[Num_Month]])</f>
        <v>12</v>
      </c>
      <c r="N129">
        <f>IF(Table2[[#This Row],[Monthly_Salary]]="","",Table2[[#This Row],[Monthly_Salary]]*Table2[[#This Row],[Num_Month_Final]])</f>
        <v>1476000</v>
      </c>
      <c r="O129">
        <v>13</v>
      </c>
      <c r="P129">
        <f>IF(Table2[[#This Row],[Exp_Years]]&lt;0,ABS(Table2[[#This Row],[Exp_Years]]),Table2[[#This Row],[Exp_Years]])</f>
        <v>13</v>
      </c>
      <c r="Q129">
        <v>1</v>
      </c>
      <c r="S129" t="str">
        <f>IF(Table2[[#This Row],[Performance_Rating]]&gt;=3,Table2[[#This Row],[Monthly_Salary]]*0.3,"")</f>
        <v/>
      </c>
      <c r="T129">
        <v>85</v>
      </c>
      <c r="U129">
        <v>31</v>
      </c>
      <c r="V129">
        <v>5</v>
      </c>
      <c r="W129" t="s">
        <v>21</v>
      </c>
      <c r="X129" t="s">
        <v>38</v>
      </c>
      <c r="Y129" t="str">
        <f>IF(Table2[[#This Row],[Work_Mode]]&lt;&gt;"",Table2[[#This Row],[Work_Mode]],
IF(ISNUMBER(SEARCH("India",Table2[[#This Row],[Emp_Name]])),"Office",
IF(ISNUMBER(SEARCH("Foreign",Table2[[#This Row],[Emp_Name]])),"Remote","")))</f>
        <v>Hybrid</v>
      </c>
      <c r="AA129"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129" t="s">
        <v>39</v>
      </c>
      <c r="AC129" t="str">
        <f>IF(COUNTIF(Table2[Emp_ID],Table2[[#This Row],[Emp_ID]])&gt;1,"Duplicate","Unique")</f>
        <v>Unique</v>
      </c>
      <c r="AE129" s="2"/>
      <c r="AG129" t="str">
        <f>IF(Table2[[#This Row],[Monthly_Salary]]="","Exclude",
IF(Table2[[#This Row],[Row_Status]]="Mismatch","Exclude",
IF(AND(Table2[[#This Row],[Row_Status]]="Exact Duplicate",
COUNTIFS(Table2[Emp_ID],Table2[[#This Row],[Emp_ID]],Table2[Row_Concat],Table2[[#This Row],[Row_Concat]],
Table2[Row_Number],"&lt;"&amp;Table2[[#This Row],[Row_Number]])&gt;=1),"Delete","")))</f>
        <v/>
      </c>
      <c r="AH129" t="str">
        <f>VLOOKUP(Table2[[#This Row],[Department]],Raw_2!A:B,2,0)</f>
        <v>Day</v>
      </c>
      <c r="AI129">
        <f>VLOOKUP(Table2[[#This Row],[Department]],Raw_2!A:C,3,0)</f>
        <v>14</v>
      </c>
    </row>
    <row r="130" spans="1:35">
      <c r="A130" t="s">
        <v>305</v>
      </c>
      <c r="B130" t="s">
        <v>306</v>
      </c>
      <c r="C130">
        <v>26</v>
      </c>
      <c r="D130" t="s">
        <v>46</v>
      </c>
      <c r="E130" t="str">
        <f>IF(OR(Table2[[#This Row],[Gender]]="Male",Table2[[#This Row],[Gender]]="M"),"M",
IF(OR(Table2[[#This Row],[Gender]]="Female",Table2[[#This Row],[Gender]]="F"),"F",""))</f>
        <v>M</v>
      </c>
      <c r="F130" t="s">
        <v>65</v>
      </c>
      <c r="G130" t="s">
        <v>42</v>
      </c>
      <c r="H130" t="s">
        <v>51</v>
      </c>
      <c r="I130" t="s">
        <v>1060</v>
      </c>
      <c r="J130" t="str">
        <f>IF(ISNUMBER(SEARCH("India",Table2[[#This Row],[Emp_Name]])),"INR",
IF(ISNUMBER(SEARCH("Foreign",Table2[[#This Row],[Emp_Name]])),Table2[[#This Row],[Currency]],Table2[[#This Row],[Currency]]))</f>
        <v>INR</v>
      </c>
      <c r="K130">
        <v>48000</v>
      </c>
      <c r="L130">
        <v>12</v>
      </c>
      <c r="M130">
        <f>IF(Table2[[#This Row],[Num_Month]]&lt;&gt;12,12,Table2[[#This Row],[Num_Month]])</f>
        <v>12</v>
      </c>
      <c r="N130">
        <f>IF(Table2[[#This Row],[Monthly_Salary]]="","",Table2[[#This Row],[Monthly_Salary]]*Table2[[#This Row],[Num_Month_Final]])</f>
        <v>576000</v>
      </c>
      <c r="O130">
        <v>4</v>
      </c>
      <c r="P130">
        <f>IF(Table2[[#This Row],[Exp_Years]]&lt;0,ABS(Table2[[#This Row],[Exp_Years]]),Table2[[#This Row],[Exp_Years]])</f>
        <v>4</v>
      </c>
      <c r="Q130">
        <v>1</v>
      </c>
      <c r="S130" t="str">
        <f>IF(Table2[[#This Row],[Performance_Rating]]&gt;=3,Table2[[#This Row],[Monthly_Salary]]*0.3,"")</f>
        <v/>
      </c>
      <c r="T130">
        <v>95</v>
      </c>
      <c r="U130">
        <v>10</v>
      </c>
      <c r="V130">
        <v>1</v>
      </c>
      <c r="W130" t="s">
        <v>37</v>
      </c>
      <c r="X130" t="s">
        <v>19</v>
      </c>
      <c r="Y130" t="str">
        <f>IF(Table2[[#This Row],[Work_Mode]]&lt;&gt;"",Table2[[#This Row],[Work_Mode]],
IF(ISNUMBER(SEARCH("India",Table2[[#This Row],[Emp_Name]])),"Office",
IF(ISNUMBER(SEARCH("Foreign",Table2[[#This Row],[Emp_Name]])),"Remote","")))</f>
        <v>Office</v>
      </c>
      <c r="Z130">
        <v>5</v>
      </c>
      <c r="AA13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130" t="s">
        <v>39</v>
      </c>
      <c r="AC130" t="str">
        <f>IF(COUNTIF(Table2[Emp_ID],Table2[[#This Row],[Emp_ID]])&gt;1,"Duplicate","Unique")</f>
        <v>Unique</v>
      </c>
      <c r="AE130" s="2"/>
      <c r="AG130" t="str">
        <f>IF(Table2[[#This Row],[Monthly_Salary]]="","Exclude",
IF(Table2[[#This Row],[Row_Status]]="Mismatch","Exclude",
IF(AND(Table2[[#This Row],[Row_Status]]="Exact Duplicate",
COUNTIFS(Table2[Emp_ID],Table2[[#This Row],[Emp_ID]],Table2[Row_Concat],Table2[[#This Row],[Row_Concat]],
Table2[Row_Number],"&lt;"&amp;Table2[[#This Row],[Row_Number]])&gt;=1),"Delete","")))</f>
        <v/>
      </c>
      <c r="AH130" t="str">
        <f>VLOOKUP(Table2[[#This Row],[Department]],Raw_2!A:B,2,0)</f>
        <v>Day</v>
      </c>
      <c r="AI130">
        <f>VLOOKUP(Table2[[#This Row],[Department]],Raw_2!A:C,3,0)</f>
        <v>14</v>
      </c>
    </row>
    <row r="131" spans="1:35">
      <c r="A131" t="s">
        <v>307</v>
      </c>
      <c r="B131" t="s">
        <v>308</v>
      </c>
      <c r="C131">
        <v>27</v>
      </c>
      <c r="D131" t="s">
        <v>25</v>
      </c>
      <c r="E131" t="str">
        <f>IF(OR(Table2[[#This Row],[Gender]]="Male",Table2[[#This Row],[Gender]]="M"),"M",
IF(OR(Table2[[#This Row],[Gender]]="Female",Table2[[#This Row],[Gender]]="F"),"F",""))</f>
        <v>F</v>
      </c>
      <c r="F131" t="s">
        <v>65</v>
      </c>
      <c r="G131" t="s">
        <v>42</v>
      </c>
      <c r="H131" t="s">
        <v>51</v>
      </c>
      <c r="I131" t="s">
        <v>1059</v>
      </c>
      <c r="J131" t="str">
        <f>IF(ISNUMBER(SEARCH("India",Table2[[#This Row],[Emp_Name]])),"INR",
IF(ISNUMBER(SEARCH("Foreign",Table2[[#This Row],[Emp_Name]])),Table2[[#This Row],[Currency]],Table2[[#This Row],[Currency]]))</f>
        <v>USD</v>
      </c>
      <c r="K131">
        <v>49500</v>
      </c>
      <c r="L131">
        <v>12</v>
      </c>
      <c r="M131">
        <f>IF(Table2[[#This Row],[Num_Month]]&lt;&gt;12,12,Table2[[#This Row],[Num_Month]])</f>
        <v>12</v>
      </c>
      <c r="N131">
        <f>IF(Table2[[#This Row],[Monthly_Salary]]="","",Table2[[#This Row],[Monthly_Salary]]*Table2[[#This Row],[Num_Month_Final]])</f>
        <v>594000</v>
      </c>
      <c r="O131">
        <v>4</v>
      </c>
      <c r="P131">
        <f>IF(Table2[[#This Row],[Exp_Years]]&lt;0,ABS(Table2[[#This Row],[Exp_Years]]),Table2[[#This Row],[Exp_Years]])</f>
        <v>4</v>
      </c>
      <c r="Q131">
        <v>5</v>
      </c>
      <c r="R131">
        <v>21000</v>
      </c>
      <c r="S131">
        <f>IF(Table2[[#This Row],[Performance_Rating]]&gt;=3,Table2[[#This Row],[Monthly_Salary]]*0.3,"")</f>
        <v>14850</v>
      </c>
      <c r="T131">
        <v>80</v>
      </c>
      <c r="U131">
        <v>23</v>
      </c>
      <c r="V131">
        <v>1</v>
      </c>
      <c r="X131" t="s">
        <v>28</v>
      </c>
      <c r="Y131" t="str">
        <f>IF(Table2[[#This Row],[Work_Mode]]&lt;&gt;"",Table2[[#This Row],[Work_Mode]],
IF(ISNUMBER(SEARCH("India",Table2[[#This Row],[Emp_Name]])),"Office",
IF(ISNUMBER(SEARCH("Foreign",Table2[[#This Row],[Emp_Name]])),"Remote","")))</f>
        <v>Remote</v>
      </c>
      <c r="Z131">
        <v>20</v>
      </c>
      <c r="AA13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131" t="s">
        <v>58</v>
      </c>
      <c r="AC131" t="str">
        <f>IF(COUNTIF(Table2[Emp_ID],Table2[[#This Row],[Emp_ID]])&gt;1,"Duplicate","Unique")</f>
        <v>Unique</v>
      </c>
      <c r="AE131" s="2"/>
      <c r="AG131" t="str">
        <f>IF(Table2[[#This Row],[Monthly_Salary]]="","Exclude",
IF(Table2[[#This Row],[Row_Status]]="Mismatch","Exclude",
IF(AND(Table2[[#This Row],[Row_Status]]="Exact Duplicate",
COUNTIFS(Table2[Emp_ID],Table2[[#This Row],[Emp_ID]],Table2[Row_Concat],Table2[[#This Row],[Row_Concat]],
Table2[Row_Number],"&lt;"&amp;Table2[[#This Row],[Row_Number]])&gt;=1),"Delete","")))</f>
        <v/>
      </c>
      <c r="AH131" t="str">
        <f>VLOOKUP(Table2[[#This Row],[Department]],Raw_2!A:B,2,0)</f>
        <v>Day</v>
      </c>
      <c r="AI131">
        <f>VLOOKUP(Table2[[#This Row],[Department]],Raw_2!A:C,3,0)</f>
        <v>14</v>
      </c>
    </row>
    <row r="132" spans="1:35">
      <c r="A132" t="s">
        <v>309</v>
      </c>
      <c r="B132" t="s">
        <v>310</v>
      </c>
      <c r="C132">
        <v>27</v>
      </c>
      <c r="E132" t="str">
        <f>IF(OR(Table2[[#This Row],[Gender]]="Male",Table2[[#This Row],[Gender]]="M"),"M",
IF(OR(Table2[[#This Row],[Gender]]="Female",Table2[[#This Row],[Gender]]="F"),"F",""))</f>
        <v/>
      </c>
      <c r="F132" t="s">
        <v>65</v>
      </c>
      <c r="G132" t="s">
        <v>27</v>
      </c>
      <c r="H132" t="s">
        <v>51</v>
      </c>
      <c r="I132" t="s">
        <v>1060</v>
      </c>
      <c r="J132" t="str">
        <f>IF(ISNUMBER(SEARCH("India",Table2[[#This Row],[Emp_Name]])),"INR",
IF(ISNUMBER(SEARCH("Foreign",Table2[[#This Row],[Emp_Name]])),Table2[[#This Row],[Currency]],Table2[[#This Row],[Currency]]))</f>
        <v>INR</v>
      </c>
      <c r="K132">
        <v>48000</v>
      </c>
      <c r="L132">
        <v>12</v>
      </c>
      <c r="M132">
        <f>IF(Table2[[#This Row],[Num_Month]]&lt;&gt;12,12,Table2[[#This Row],[Num_Month]])</f>
        <v>12</v>
      </c>
      <c r="N132">
        <f>IF(Table2[[#This Row],[Monthly_Salary]]="","",Table2[[#This Row],[Monthly_Salary]]*Table2[[#This Row],[Num_Month_Final]])</f>
        <v>576000</v>
      </c>
      <c r="O132">
        <v>4</v>
      </c>
      <c r="P132">
        <f>IF(Table2[[#This Row],[Exp_Years]]&lt;0,ABS(Table2[[#This Row],[Exp_Years]]),Table2[[#This Row],[Exp_Years]])</f>
        <v>4</v>
      </c>
      <c r="Q132">
        <v>1</v>
      </c>
      <c r="S132" t="str">
        <f>IF(Table2[[#This Row],[Performance_Rating]]&gt;=3,Table2[[#This Row],[Monthly_Salary]]*0.3,"")</f>
        <v/>
      </c>
      <c r="T132">
        <v>85</v>
      </c>
      <c r="U132">
        <v>15</v>
      </c>
      <c r="V132">
        <v>5</v>
      </c>
      <c r="X132" t="s">
        <v>19</v>
      </c>
      <c r="Y132" t="str">
        <f>IF(Table2[[#This Row],[Work_Mode]]&lt;&gt;"",Table2[[#This Row],[Work_Mode]],
IF(ISNUMBER(SEARCH("India",Table2[[#This Row],[Emp_Name]])),"Office",
IF(ISNUMBER(SEARCH("Foreign",Table2[[#This Row],[Emp_Name]])),"Remote","")))</f>
        <v>Office</v>
      </c>
      <c r="AA13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32" t="s">
        <v>39</v>
      </c>
      <c r="AC132" t="str">
        <f>IF(COUNTIF(Table2[Emp_ID],Table2[[#This Row],[Emp_ID]])&gt;1,"Duplicate","Unique")</f>
        <v>Unique</v>
      </c>
      <c r="AE132" s="2"/>
      <c r="AG132" t="str">
        <f>IF(Table2[[#This Row],[Monthly_Salary]]="","Exclude",
IF(Table2[[#This Row],[Row_Status]]="Mismatch","Exclude",
IF(AND(Table2[[#This Row],[Row_Status]]="Exact Duplicate",
COUNTIFS(Table2[Emp_ID],Table2[[#This Row],[Emp_ID]],Table2[Row_Concat],Table2[[#This Row],[Row_Concat]],
Table2[Row_Number],"&lt;"&amp;Table2[[#This Row],[Row_Number]])&gt;=1),"Delete","")))</f>
        <v/>
      </c>
      <c r="AH132" t="str">
        <f>VLOOKUP(Table2[[#This Row],[Department]],Raw_2!A:B,2,0)</f>
        <v>Day</v>
      </c>
      <c r="AI132">
        <f>VLOOKUP(Table2[[#This Row],[Department]],Raw_2!A:C,3,0)</f>
        <v>12</v>
      </c>
    </row>
    <row r="133" spans="1:35">
      <c r="A133" t="s">
        <v>311</v>
      </c>
      <c r="B133" t="s">
        <v>312</v>
      </c>
      <c r="C133">
        <v>25</v>
      </c>
      <c r="D133" t="s">
        <v>25</v>
      </c>
      <c r="E133" t="str">
        <f>IF(OR(Table2[[#This Row],[Gender]]="Male",Table2[[#This Row],[Gender]]="M"),"M",
IF(OR(Table2[[#This Row],[Gender]]="Female",Table2[[#This Row],[Gender]]="F"),"F",""))</f>
        <v>F</v>
      </c>
      <c r="F133" t="s">
        <v>73</v>
      </c>
      <c r="G133" t="s">
        <v>42</v>
      </c>
      <c r="H133" t="s">
        <v>51</v>
      </c>
      <c r="I133" t="s">
        <v>1060</v>
      </c>
      <c r="J133" t="str">
        <f>IF(ISNUMBER(SEARCH("India",Table2[[#This Row],[Emp_Name]])),"INR",
IF(ISNUMBER(SEARCH("Foreign",Table2[[#This Row],[Emp_Name]])),Table2[[#This Row],[Currency]],Table2[[#This Row],[Currency]]))</f>
        <v>INR</v>
      </c>
      <c r="K133">
        <v>35000</v>
      </c>
      <c r="L133">
        <v>12</v>
      </c>
      <c r="M133">
        <f>IF(Table2[[#This Row],[Num_Month]]&lt;&gt;12,12,Table2[[#This Row],[Num_Month]])</f>
        <v>12</v>
      </c>
      <c r="N133">
        <f>IF(Table2[[#This Row],[Monthly_Salary]]="","",Table2[[#This Row],[Monthly_Salary]]*Table2[[#This Row],[Num_Month_Final]])</f>
        <v>420000</v>
      </c>
      <c r="O133">
        <v>3</v>
      </c>
      <c r="P133">
        <f>IF(Table2[[#This Row],[Exp_Years]]&lt;0,ABS(Table2[[#This Row],[Exp_Years]]),Table2[[#This Row],[Exp_Years]])</f>
        <v>3</v>
      </c>
      <c r="Q133">
        <v>5</v>
      </c>
      <c r="R133">
        <v>21000</v>
      </c>
      <c r="S133">
        <f>IF(Table2[[#This Row],[Performance_Rating]]&gt;=3,Table2[[#This Row],[Monthly_Salary]]*0.3,"")</f>
        <v>10500</v>
      </c>
      <c r="T133">
        <v>85</v>
      </c>
      <c r="U133">
        <v>5</v>
      </c>
      <c r="V133">
        <v>4</v>
      </c>
      <c r="W133" t="s">
        <v>21</v>
      </c>
      <c r="X133" t="s">
        <v>38</v>
      </c>
      <c r="Y133" t="str">
        <f>IF(Table2[[#This Row],[Work_Mode]]&lt;&gt;"",Table2[[#This Row],[Work_Mode]],
IF(ISNUMBER(SEARCH("India",Table2[[#This Row],[Emp_Name]])),"Office",
IF(ISNUMBER(SEARCH("Foreign",Table2[[#This Row],[Emp_Name]])),"Remote","")))</f>
        <v>Hybrid</v>
      </c>
      <c r="Z133">
        <v>10</v>
      </c>
      <c r="AA13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133" t="s">
        <v>58</v>
      </c>
      <c r="AC133" t="str">
        <f>IF(COUNTIF(Table2[Emp_ID],Table2[[#This Row],[Emp_ID]])&gt;1,"Duplicate","Unique")</f>
        <v>Unique</v>
      </c>
      <c r="AE133" s="2"/>
      <c r="AG133" t="str">
        <f>IF(Table2[[#This Row],[Monthly_Salary]]="","Exclude",
IF(Table2[[#This Row],[Row_Status]]="Mismatch","Exclude",
IF(AND(Table2[[#This Row],[Row_Status]]="Exact Duplicate",
COUNTIFS(Table2[Emp_ID],Table2[[#This Row],[Emp_ID]],Table2[Row_Concat],Table2[[#This Row],[Row_Concat]],
Table2[Row_Number],"&lt;"&amp;Table2[[#This Row],[Row_Number]])&gt;=1),"Delete","")))</f>
        <v/>
      </c>
      <c r="AH133" t="str">
        <f>VLOOKUP(Table2[[#This Row],[Department]],Raw_2!A:B,2,0)</f>
        <v>Day</v>
      </c>
      <c r="AI133">
        <f>VLOOKUP(Table2[[#This Row],[Department]],Raw_2!A:C,3,0)</f>
        <v>14</v>
      </c>
    </row>
    <row r="134" spans="1:35">
      <c r="A134" t="s">
        <v>313</v>
      </c>
      <c r="B134" t="s">
        <v>314</v>
      </c>
      <c r="C134">
        <v>25</v>
      </c>
      <c r="D134" t="s">
        <v>16</v>
      </c>
      <c r="E134" t="str">
        <f>IF(OR(Table2[[#This Row],[Gender]]="Male",Table2[[#This Row],[Gender]]="M"),"M",
IF(OR(Table2[[#This Row],[Gender]]="Female",Table2[[#This Row],[Gender]]="F"),"F",""))</f>
        <v>M</v>
      </c>
      <c r="F134" t="s">
        <v>61</v>
      </c>
      <c r="G134" t="s">
        <v>42</v>
      </c>
      <c r="H134" t="s">
        <v>51</v>
      </c>
      <c r="I134" t="s">
        <v>1060</v>
      </c>
      <c r="J134" t="str">
        <f>IF(ISNUMBER(SEARCH("India",Table2[[#This Row],[Emp_Name]])),"INR",
IF(ISNUMBER(SEARCH("Foreign",Table2[[#This Row],[Emp_Name]])),Table2[[#This Row],[Currency]],Table2[[#This Row],[Currency]]))</f>
        <v>INR</v>
      </c>
      <c r="K134">
        <v>37000</v>
      </c>
      <c r="L134">
        <v>12</v>
      </c>
      <c r="M134">
        <f>IF(Table2[[#This Row],[Num_Month]]&lt;&gt;12,12,Table2[[#This Row],[Num_Month]])</f>
        <v>12</v>
      </c>
      <c r="N134">
        <f>IF(Table2[[#This Row],[Monthly_Salary]]="","",Table2[[#This Row],[Monthly_Salary]]*Table2[[#This Row],[Num_Month_Final]])</f>
        <v>444000</v>
      </c>
      <c r="O134">
        <v>2</v>
      </c>
      <c r="P134">
        <f>IF(Table2[[#This Row],[Exp_Years]]&lt;0,ABS(Table2[[#This Row],[Exp_Years]]),Table2[[#This Row],[Exp_Years]])</f>
        <v>2</v>
      </c>
      <c r="Q134">
        <v>1</v>
      </c>
      <c r="S134" t="str">
        <f>IF(Table2[[#This Row],[Performance_Rating]]&gt;=3,Table2[[#This Row],[Monthly_Salary]]*0.3,"")</f>
        <v/>
      </c>
      <c r="T134">
        <v>87</v>
      </c>
      <c r="U134">
        <v>5</v>
      </c>
      <c r="V134">
        <v>12</v>
      </c>
      <c r="W134" t="s">
        <v>37</v>
      </c>
      <c r="X134" t="s">
        <v>38</v>
      </c>
      <c r="Y134" t="str">
        <f>IF(Table2[[#This Row],[Work_Mode]]&lt;&gt;"",Table2[[#This Row],[Work_Mode]],
IF(ISNUMBER(SEARCH("India",Table2[[#This Row],[Emp_Name]])),"Office",
IF(ISNUMBER(SEARCH("Foreign",Table2[[#This Row],[Emp_Name]])),"Remote","")))</f>
        <v>Hybrid</v>
      </c>
      <c r="Z134">
        <v>5</v>
      </c>
      <c r="AA13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134" t="s">
        <v>39</v>
      </c>
      <c r="AC134" t="str">
        <f>IF(COUNTIF(Table2[Emp_ID],Table2[[#This Row],[Emp_ID]])&gt;1,"Duplicate","Unique")</f>
        <v>Unique</v>
      </c>
      <c r="AE134" s="2"/>
      <c r="AG134" t="str">
        <f>IF(Table2[[#This Row],[Monthly_Salary]]="","Exclude",
IF(Table2[[#This Row],[Row_Status]]="Mismatch","Exclude",
IF(AND(Table2[[#This Row],[Row_Status]]="Exact Duplicate",
COUNTIFS(Table2[Emp_ID],Table2[[#This Row],[Emp_ID]],Table2[Row_Concat],Table2[[#This Row],[Row_Concat]],
Table2[Row_Number],"&lt;"&amp;Table2[[#This Row],[Row_Number]])&gt;=1),"Delete","")))</f>
        <v/>
      </c>
      <c r="AH134" t="str">
        <f>VLOOKUP(Table2[[#This Row],[Department]],Raw_2!A:B,2,0)</f>
        <v>Day</v>
      </c>
      <c r="AI134">
        <f>VLOOKUP(Table2[[#This Row],[Department]],Raw_2!A:C,3,0)</f>
        <v>14</v>
      </c>
    </row>
    <row r="135" spans="1:35">
      <c r="A135" t="s">
        <v>315</v>
      </c>
      <c r="B135" t="s">
        <v>316</v>
      </c>
      <c r="C135">
        <v>25</v>
      </c>
      <c r="E135" t="str">
        <f>IF(OR(Table2[[#This Row],[Gender]]="Male",Table2[[#This Row],[Gender]]="M"),"M",
IF(OR(Table2[[#This Row],[Gender]]="Female",Table2[[#This Row],[Gender]]="F"),"F",""))</f>
        <v/>
      </c>
      <c r="F135" t="s">
        <v>47</v>
      </c>
      <c r="G135" t="s">
        <v>42</v>
      </c>
      <c r="H135" t="s">
        <v>1045</v>
      </c>
      <c r="I135" t="s">
        <v>1060</v>
      </c>
      <c r="J135" t="str">
        <f>IF(ISNUMBER(SEARCH("India",Table2[[#This Row],[Emp_Name]])),"INR",
IF(ISNUMBER(SEARCH("Foreign",Table2[[#This Row],[Emp_Name]])),Table2[[#This Row],[Currency]],Table2[[#This Row],[Currency]]))</f>
        <v>INR</v>
      </c>
      <c r="K135">
        <v>78000</v>
      </c>
      <c r="L135">
        <v>12</v>
      </c>
      <c r="M135">
        <f>IF(Table2[[#This Row],[Num_Month]]&lt;&gt;12,12,Table2[[#This Row],[Num_Month]])</f>
        <v>12</v>
      </c>
      <c r="N135">
        <f>IF(Table2[[#This Row],[Monthly_Salary]]="","",Table2[[#This Row],[Monthly_Salary]]*Table2[[#This Row],[Num_Month_Final]])</f>
        <v>936000</v>
      </c>
      <c r="O135">
        <v>7</v>
      </c>
      <c r="P135">
        <f>IF(Table2[[#This Row],[Exp_Years]]&lt;0,ABS(Table2[[#This Row],[Exp_Years]]),Table2[[#This Row],[Exp_Years]])</f>
        <v>7</v>
      </c>
      <c r="Q135">
        <v>3</v>
      </c>
      <c r="R135">
        <v>7000</v>
      </c>
      <c r="S135">
        <f>IF(Table2[[#This Row],[Performance_Rating]]&gt;=3,Table2[[#This Row],[Monthly_Salary]]*0.3,"")</f>
        <v>23400</v>
      </c>
      <c r="T135">
        <v>90</v>
      </c>
      <c r="U135">
        <v>23</v>
      </c>
      <c r="V135">
        <v>1</v>
      </c>
      <c r="W135" t="s">
        <v>37</v>
      </c>
      <c r="X135" t="s">
        <v>19</v>
      </c>
      <c r="Y135" t="str">
        <f>IF(Table2[[#This Row],[Work_Mode]]&lt;&gt;"",Table2[[#This Row],[Work_Mode]],
IF(ISNUMBER(SEARCH("India",Table2[[#This Row],[Emp_Name]])),"Office",
IF(ISNUMBER(SEARCH("Foreign",Table2[[#This Row],[Emp_Name]])),"Remote","")))</f>
        <v>Office</v>
      </c>
      <c r="Z135">
        <v>20</v>
      </c>
      <c r="AA13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135" t="s">
        <v>22</v>
      </c>
      <c r="AC135" t="str">
        <f>IF(COUNTIF(Table2[Emp_ID],Table2[[#This Row],[Emp_ID]])&gt;1,"Duplicate","Unique")</f>
        <v>Unique</v>
      </c>
      <c r="AE135" s="2"/>
      <c r="AG135" t="str">
        <f>IF(Table2[[#This Row],[Monthly_Salary]]="","Exclude",
IF(Table2[[#This Row],[Row_Status]]="Mismatch","Exclude",
IF(AND(Table2[[#This Row],[Row_Status]]="Exact Duplicate",
COUNTIFS(Table2[Emp_ID],Table2[[#This Row],[Emp_ID]],Table2[Row_Concat],Table2[[#This Row],[Row_Concat]],
Table2[Row_Number],"&lt;"&amp;Table2[[#This Row],[Row_Number]])&gt;=1),"Delete","")))</f>
        <v/>
      </c>
      <c r="AH135" t="str">
        <f>VLOOKUP(Table2[[#This Row],[Department]],Raw_2!A:B,2,0)</f>
        <v>Day</v>
      </c>
      <c r="AI135">
        <f>VLOOKUP(Table2[[#This Row],[Department]],Raw_2!A:C,3,0)</f>
        <v>14</v>
      </c>
    </row>
    <row r="136" spans="1:35">
      <c r="A136" t="s">
        <v>317</v>
      </c>
      <c r="B136" t="s">
        <v>318</v>
      </c>
      <c r="C136">
        <v>33</v>
      </c>
      <c r="D136" t="s">
        <v>16</v>
      </c>
      <c r="E136" t="str">
        <f>IF(OR(Table2[[#This Row],[Gender]]="Male",Table2[[#This Row],[Gender]]="M"),"M",
IF(OR(Table2[[#This Row],[Gender]]="Female",Table2[[#This Row],[Gender]]="F"),"F",""))</f>
        <v>M</v>
      </c>
      <c r="F136" t="s">
        <v>73</v>
      </c>
      <c r="G136" t="s">
        <v>36</v>
      </c>
      <c r="H136" t="s">
        <v>32</v>
      </c>
      <c r="I136" t="s">
        <v>1060</v>
      </c>
      <c r="J136" t="str">
        <f>IF(ISNUMBER(SEARCH("India",Table2[[#This Row],[Emp_Name]])),"INR",
IF(ISNUMBER(SEARCH("Foreign",Table2[[#This Row],[Emp_Name]])),Table2[[#This Row],[Currency]],Table2[[#This Row],[Currency]]))</f>
        <v>INR</v>
      </c>
      <c r="K136">
        <v>90000</v>
      </c>
      <c r="L136">
        <v>12</v>
      </c>
      <c r="M136">
        <f>IF(Table2[[#This Row],[Num_Month]]&lt;&gt;12,12,Table2[[#This Row],[Num_Month]])</f>
        <v>12</v>
      </c>
      <c r="N136">
        <f>IF(Table2[[#This Row],[Monthly_Salary]]="","",Table2[[#This Row],[Monthly_Salary]]*Table2[[#This Row],[Num_Month_Final]])</f>
        <v>1080000</v>
      </c>
      <c r="O136">
        <v>9</v>
      </c>
      <c r="P136">
        <f>IF(Table2[[#This Row],[Exp_Years]]&lt;0,ABS(Table2[[#This Row],[Exp_Years]]),Table2[[#This Row],[Exp_Years]])</f>
        <v>9</v>
      </c>
      <c r="Q136">
        <v>1</v>
      </c>
      <c r="S136" t="str">
        <f>IF(Table2[[#This Row],[Performance_Rating]]&gt;=3,Table2[[#This Row],[Monthly_Salary]]*0.3,"")</f>
        <v/>
      </c>
      <c r="T136">
        <v>90</v>
      </c>
      <c r="U136">
        <v>5</v>
      </c>
      <c r="V136">
        <v>1</v>
      </c>
      <c r="X136" t="s">
        <v>19</v>
      </c>
      <c r="Y136" t="str">
        <f>IF(Table2[[#This Row],[Work_Mode]]&lt;&gt;"",Table2[[#This Row],[Work_Mode]],
IF(ISNUMBER(SEARCH("India",Table2[[#This Row],[Emp_Name]])),"Office",
IF(ISNUMBER(SEARCH("Foreign",Table2[[#This Row],[Emp_Name]])),"Remote","")))</f>
        <v>Office</v>
      </c>
      <c r="AA13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36" t="s">
        <v>39</v>
      </c>
      <c r="AC136" t="str">
        <f>IF(COUNTIF(Table2[Emp_ID],Table2[[#This Row],[Emp_ID]])&gt;1,"Duplicate","Unique")</f>
        <v>Unique</v>
      </c>
      <c r="AE136" s="2"/>
      <c r="AG136" t="str">
        <f>IF(Table2[[#This Row],[Monthly_Salary]]="","Exclude",
IF(Table2[[#This Row],[Row_Status]]="Mismatch","Exclude",
IF(AND(Table2[[#This Row],[Row_Status]]="Exact Duplicate",
COUNTIFS(Table2[Emp_ID],Table2[[#This Row],[Emp_ID]],Table2[Row_Concat],Table2[[#This Row],[Row_Concat]],
Table2[Row_Number],"&lt;"&amp;Table2[[#This Row],[Row_Number]])&gt;=1),"Delete","")))</f>
        <v/>
      </c>
      <c r="AH136" t="str">
        <f>VLOOKUP(Table2[[#This Row],[Department]],Raw_2!A:B,2,0)</f>
        <v>Day</v>
      </c>
      <c r="AI136">
        <f>VLOOKUP(Table2[[#This Row],[Department]],Raw_2!A:C,3,0)</f>
        <v>25</v>
      </c>
    </row>
    <row r="137" spans="1:35">
      <c r="A137" t="s">
        <v>319</v>
      </c>
      <c r="B137" t="s">
        <v>320</v>
      </c>
      <c r="C137">
        <v>26</v>
      </c>
      <c r="D137" t="s">
        <v>34</v>
      </c>
      <c r="E137" t="str">
        <f>IF(OR(Table2[[#This Row],[Gender]]="Male",Table2[[#This Row],[Gender]]="M"),"M",
IF(OR(Table2[[#This Row],[Gender]]="Female",Table2[[#This Row],[Gender]]="F"),"F",""))</f>
        <v>F</v>
      </c>
      <c r="F137" t="s">
        <v>73</v>
      </c>
      <c r="G137" t="s">
        <v>27</v>
      </c>
      <c r="H137" t="s">
        <v>51</v>
      </c>
      <c r="I137" t="s">
        <v>1060</v>
      </c>
      <c r="J137" t="str">
        <f>IF(ISNUMBER(SEARCH("India",Table2[[#This Row],[Emp_Name]])),"INR",
IF(ISNUMBER(SEARCH("Foreign",Table2[[#This Row],[Emp_Name]])),Table2[[#This Row],[Currency]],Table2[[#This Row],[Currency]]))</f>
        <v>INR</v>
      </c>
      <c r="K137">
        <v>37000</v>
      </c>
      <c r="L137">
        <v>12</v>
      </c>
      <c r="M137">
        <f>IF(Table2[[#This Row],[Num_Month]]&lt;&gt;12,12,Table2[[#This Row],[Num_Month]])</f>
        <v>12</v>
      </c>
      <c r="N137">
        <f>IF(Table2[[#This Row],[Monthly_Salary]]="","",Table2[[#This Row],[Monthly_Salary]]*Table2[[#This Row],[Num_Month_Final]])</f>
        <v>444000</v>
      </c>
      <c r="O137">
        <v>2</v>
      </c>
      <c r="P137">
        <f>IF(Table2[[#This Row],[Exp_Years]]&lt;0,ABS(Table2[[#This Row],[Exp_Years]]),Table2[[#This Row],[Exp_Years]])</f>
        <v>2</v>
      </c>
      <c r="Q137">
        <v>4</v>
      </c>
      <c r="R137">
        <v>15000</v>
      </c>
      <c r="S137">
        <f>IF(Table2[[#This Row],[Performance_Rating]]&gt;=3,Table2[[#This Row],[Monthly_Salary]]*0.3,"")</f>
        <v>11100</v>
      </c>
      <c r="T137">
        <v>90</v>
      </c>
      <c r="U137">
        <v>5</v>
      </c>
      <c r="V137">
        <v>1</v>
      </c>
      <c r="W137" t="s">
        <v>21</v>
      </c>
      <c r="X137" t="s">
        <v>38</v>
      </c>
      <c r="Y137" t="str">
        <f>IF(Table2[[#This Row],[Work_Mode]]&lt;&gt;"",Table2[[#This Row],[Work_Mode]],
IF(ISNUMBER(SEARCH("India",Table2[[#This Row],[Emp_Name]])),"Office",
IF(ISNUMBER(SEARCH("Foreign",Table2[[#This Row],[Emp_Name]])),"Remote","")))</f>
        <v>Hybrid</v>
      </c>
      <c r="AA13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37" t="s">
        <v>22</v>
      </c>
      <c r="AC137" t="str">
        <f>IF(COUNTIF(Table2[Emp_ID],Table2[[#This Row],[Emp_ID]])&gt;1,"Duplicate","Unique")</f>
        <v>Unique</v>
      </c>
      <c r="AE137" s="2"/>
      <c r="AG137" t="str">
        <f>IF(Table2[[#This Row],[Monthly_Salary]]="","Exclude",
IF(Table2[[#This Row],[Row_Status]]="Mismatch","Exclude",
IF(AND(Table2[[#This Row],[Row_Status]]="Exact Duplicate",
COUNTIFS(Table2[Emp_ID],Table2[[#This Row],[Emp_ID]],Table2[Row_Concat],Table2[[#This Row],[Row_Concat]],
Table2[Row_Number],"&lt;"&amp;Table2[[#This Row],[Row_Number]])&gt;=1),"Delete","")))</f>
        <v/>
      </c>
      <c r="AH137" t="str">
        <f>VLOOKUP(Table2[[#This Row],[Department]],Raw_2!A:B,2,0)</f>
        <v>Day</v>
      </c>
      <c r="AI137">
        <f>VLOOKUP(Table2[[#This Row],[Department]],Raw_2!A:C,3,0)</f>
        <v>12</v>
      </c>
    </row>
    <row r="138" spans="1:35">
      <c r="A138" t="s">
        <v>321</v>
      </c>
      <c r="B138" t="s">
        <v>322</v>
      </c>
      <c r="C138">
        <v>25</v>
      </c>
      <c r="D138" t="s">
        <v>34</v>
      </c>
      <c r="E138" t="str">
        <f>IF(OR(Table2[[#This Row],[Gender]]="Male",Table2[[#This Row],[Gender]]="M"),"M",
IF(OR(Table2[[#This Row],[Gender]]="Female",Table2[[#This Row],[Gender]]="F"),"F",""))</f>
        <v>F</v>
      </c>
      <c r="F138" t="s">
        <v>26</v>
      </c>
      <c r="G138" t="s">
        <v>66</v>
      </c>
      <c r="H138" t="s">
        <v>51</v>
      </c>
      <c r="I138" t="s">
        <v>1060</v>
      </c>
      <c r="J138" t="str">
        <f>IF(ISNUMBER(SEARCH("India",Table2[[#This Row],[Emp_Name]])),"INR",
IF(ISNUMBER(SEARCH("Foreign",Table2[[#This Row],[Emp_Name]])),Table2[[#This Row],[Currency]],Table2[[#This Row],[Currency]]))</f>
        <v>INR</v>
      </c>
      <c r="K138">
        <v>31500</v>
      </c>
      <c r="L138">
        <v>12</v>
      </c>
      <c r="M138">
        <f>IF(Table2[[#This Row],[Num_Month]]&lt;&gt;12,12,Table2[[#This Row],[Num_Month]])</f>
        <v>12</v>
      </c>
      <c r="N138">
        <f>IF(Table2[[#This Row],[Monthly_Salary]]="","",Table2[[#This Row],[Monthly_Salary]]*Table2[[#This Row],[Num_Month_Final]])</f>
        <v>378000</v>
      </c>
      <c r="O138">
        <v>2</v>
      </c>
      <c r="P138">
        <f>IF(Table2[[#This Row],[Exp_Years]]&lt;0,ABS(Table2[[#This Row],[Exp_Years]]),Table2[[#This Row],[Exp_Years]])</f>
        <v>2</v>
      </c>
      <c r="Q138">
        <v>2</v>
      </c>
      <c r="S138" t="str">
        <f>IF(Table2[[#This Row],[Performance_Rating]]&gt;=3,Table2[[#This Row],[Monthly_Salary]]*0.3,"")</f>
        <v/>
      </c>
      <c r="T138">
        <v>87</v>
      </c>
      <c r="U138">
        <v>15</v>
      </c>
      <c r="V138">
        <v>1</v>
      </c>
      <c r="W138" t="s">
        <v>37</v>
      </c>
      <c r="X138" t="s">
        <v>38</v>
      </c>
      <c r="Y138" t="str">
        <f>IF(Table2[[#This Row],[Work_Mode]]&lt;&gt;"",Table2[[#This Row],[Work_Mode]],
IF(ISNUMBER(SEARCH("India",Table2[[#This Row],[Emp_Name]])),"Office",
IF(ISNUMBER(SEARCH("Foreign",Table2[[#This Row],[Emp_Name]])),"Remote","")))</f>
        <v>Hybrid</v>
      </c>
      <c r="Z138">
        <v>5</v>
      </c>
      <c r="AA13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138" t="s">
        <v>39</v>
      </c>
      <c r="AC138" t="str">
        <f>IF(COUNTIF(Table2[Emp_ID],Table2[[#This Row],[Emp_ID]])&gt;1,"Duplicate","Unique")</f>
        <v>Unique</v>
      </c>
      <c r="AE138" s="2"/>
      <c r="AG138" t="str">
        <f>IF(Table2[[#This Row],[Monthly_Salary]]="","Exclude",
IF(Table2[[#This Row],[Row_Status]]="Mismatch","Exclude",
IF(AND(Table2[[#This Row],[Row_Status]]="Exact Duplicate",
COUNTIFS(Table2[Emp_ID],Table2[[#This Row],[Emp_ID]],Table2[Row_Concat],Table2[[#This Row],[Row_Concat]],
Table2[Row_Number],"&lt;"&amp;Table2[[#This Row],[Row_Number]])&gt;=1),"Delete","")))</f>
        <v/>
      </c>
      <c r="AH138" t="str">
        <f>VLOOKUP(Table2[[#This Row],[Department]],Raw_2!A:B,2,0)</f>
        <v>Night</v>
      </c>
      <c r="AI138">
        <f>VLOOKUP(Table2[[#This Row],[Department]],Raw_2!A:C,3,0)</f>
        <v>20</v>
      </c>
    </row>
    <row r="139" spans="1:35">
      <c r="A139" t="s">
        <v>323</v>
      </c>
      <c r="B139" t="s">
        <v>324</v>
      </c>
      <c r="C139">
        <v>40</v>
      </c>
      <c r="D139" t="s">
        <v>16</v>
      </c>
      <c r="E139" t="str">
        <f>IF(OR(Table2[[#This Row],[Gender]]="Male",Table2[[#This Row],[Gender]]="M"),"M",
IF(OR(Table2[[#This Row],[Gender]]="Female",Table2[[#This Row],[Gender]]="F"),"F",""))</f>
        <v>M</v>
      </c>
      <c r="F139" t="s">
        <v>64</v>
      </c>
      <c r="G139" t="s">
        <v>27</v>
      </c>
      <c r="H139" t="s">
        <v>32</v>
      </c>
      <c r="I139" t="s">
        <v>1060</v>
      </c>
      <c r="J139" t="str">
        <f>IF(ISNUMBER(SEARCH("India",Table2[[#This Row],[Emp_Name]])),"INR",
IF(ISNUMBER(SEARCH("Foreign",Table2[[#This Row],[Emp_Name]])),Table2[[#This Row],[Currency]],Table2[[#This Row],[Currency]]))</f>
        <v>INR</v>
      </c>
      <c r="K139">
        <v>90000</v>
      </c>
      <c r="L139">
        <v>12</v>
      </c>
      <c r="M139">
        <f>IF(Table2[[#This Row],[Num_Month]]&lt;&gt;12,12,Table2[[#This Row],[Num_Month]])</f>
        <v>12</v>
      </c>
      <c r="N139">
        <f>IF(Table2[[#This Row],[Monthly_Salary]]="","",Table2[[#This Row],[Monthly_Salary]]*Table2[[#This Row],[Num_Month_Final]])</f>
        <v>1080000</v>
      </c>
      <c r="O139">
        <v>10</v>
      </c>
      <c r="P139">
        <f>IF(Table2[[#This Row],[Exp_Years]]&lt;0,ABS(Table2[[#This Row],[Exp_Years]]),Table2[[#This Row],[Exp_Years]])</f>
        <v>10</v>
      </c>
      <c r="Q139">
        <v>2</v>
      </c>
      <c r="S139" t="str">
        <f>IF(Table2[[#This Row],[Performance_Rating]]&gt;=3,Table2[[#This Row],[Monthly_Salary]]*0.3,"")</f>
        <v/>
      </c>
      <c r="T139">
        <v>90</v>
      </c>
      <c r="U139">
        <v>10</v>
      </c>
      <c r="V139">
        <v>5</v>
      </c>
      <c r="X139" t="s">
        <v>19</v>
      </c>
      <c r="Y139" t="str">
        <f>IF(Table2[[#This Row],[Work_Mode]]&lt;&gt;"",Table2[[#This Row],[Work_Mode]],
IF(ISNUMBER(SEARCH("India",Table2[[#This Row],[Emp_Name]])),"Office",
IF(ISNUMBER(SEARCH("Foreign",Table2[[#This Row],[Emp_Name]])),"Remote","")))</f>
        <v>Office</v>
      </c>
      <c r="Z139">
        <v>5</v>
      </c>
      <c r="AA13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1750</v>
      </c>
      <c r="AB139" t="s">
        <v>39</v>
      </c>
      <c r="AC139" t="str">
        <f>IF(COUNTIF(Table2[Emp_ID],Table2[[#This Row],[Emp_ID]])&gt;1,"Duplicate","Unique")</f>
        <v>Unique</v>
      </c>
      <c r="AE139" s="2"/>
      <c r="AG139" t="str">
        <f>IF(Table2[[#This Row],[Monthly_Salary]]="","Exclude",
IF(Table2[[#This Row],[Row_Status]]="Mismatch","Exclude",
IF(AND(Table2[[#This Row],[Row_Status]]="Exact Duplicate",
COUNTIFS(Table2[Emp_ID],Table2[[#This Row],[Emp_ID]],Table2[Row_Concat],Table2[[#This Row],[Row_Concat]],
Table2[Row_Number],"&lt;"&amp;Table2[[#This Row],[Row_Number]])&gt;=1),"Delete","")))</f>
        <v/>
      </c>
      <c r="AH139" t="str">
        <f>VLOOKUP(Table2[[#This Row],[Department]],Raw_2!A:B,2,0)</f>
        <v>Day</v>
      </c>
      <c r="AI139">
        <f>VLOOKUP(Table2[[#This Row],[Department]],Raw_2!A:C,3,0)</f>
        <v>12</v>
      </c>
    </row>
    <row r="140" spans="1:35">
      <c r="A140" t="s">
        <v>325</v>
      </c>
      <c r="B140" t="s">
        <v>326</v>
      </c>
      <c r="C140">
        <v>25</v>
      </c>
      <c r="E140" t="str">
        <f>IF(OR(Table2[[#This Row],[Gender]]="Male",Table2[[#This Row],[Gender]]="M"),"M",
IF(OR(Table2[[#This Row],[Gender]]="Female",Table2[[#This Row],[Gender]]="F"),"F",""))</f>
        <v/>
      </c>
      <c r="F140" t="s">
        <v>35</v>
      </c>
      <c r="G140" t="s">
        <v>42</v>
      </c>
      <c r="H140" t="s">
        <v>51</v>
      </c>
      <c r="I140" t="s">
        <v>1060</v>
      </c>
      <c r="J140" t="str">
        <f>IF(ISNUMBER(SEARCH("India",Table2[[#This Row],[Emp_Name]])),"INR",
IF(ISNUMBER(SEARCH("Foreign",Table2[[#This Row],[Emp_Name]])),Table2[[#This Row],[Currency]],Table2[[#This Row],[Currency]]))</f>
        <v>INR</v>
      </c>
      <c r="K140">
        <v>35000</v>
      </c>
      <c r="L140">
        <v>12</v>
      </c>
      <c r="M140">
        <f>IF(Table2[[#This Row],[Num_Month]]&lt;&gt;12,12,Table2[[#This Row],[Num_Month]])</f>
        <v>12</v>
      </c>
      <c r="N140">
        <f>IF(Table2[[#This Row],[Monthly_Salary]]="","",Table2[[#This Row],[Monthly_Salary]]*Table2[[#This Row],[Num_Month_Final]])</f>
        <v>420000</v>
      </c>
      <c r="O140">
        <v>3</v>
      </c>
      <c r="P140">
        <f>IF(Table2[[#This Row],[Exp_Years]]&lt;0,ABS(Table2[[#This Row],[Exp_Years]]),Table2[[#This Row],[Exp_Years]])</f>
        <v>3</v>
      </c>
      <c r="Q140">
        <v>3</v>
      </c>
      <c r="R140">
        <v>8000</v>
      </c>
      <c r="S140">
        <f>IF(Table2[[#This Row],[Performance_Rating]]&gt;=3,Table2[[#This Row],[Monthly_Salary]]*0.3,"")</f>
        <v>10500</v>
      </c>
      <c r="T140">
        <v>95</v>
      </c>
      <c r="U140">
        <v>22</v>
      </c>
      <c r="V140">
        <v>10</v>
      </c>
      <c r="W140" t="s">
        <v>21</v>
      </c>
      <c r="X140" t="s">
        <v>19</v>
      </c>
      <c r="Y140" t="str">
        <f>IF(Table2[[#This Row],[Work_Mode]]&lt;&gt;"",Table2[[#This Row],[Work_Mode]],
IF(ISNUMBER(SEARCH("India",Table2[[#This Row],[Emp_Name]])),"Office",
IF(ISNUMBER(SEARCH("Foreign",Table2[[#This Row],[Emp_Name]])),"Remote","")))</f>
        <v>Office</v>
      </c>
      <c r="Z140">
        <v>5</v>
      </c>
      <c r="AA14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140" t="s">
        <v>22</v>
      </c>
      <c r="AC140" t="str">
        <f>IF(COUNTIF(Table2[Emp_ID],Table2[[#This Row],[Emp_ID]])&gt;1,"Duplicate","Unique")</f>
        <v>Unique</v>
      </c>
      <c r="AE140" s="2"/>
      <c r="AG140" t="str">
        <f>IF(Table2[[#This Row],[Monthly_Salary]]="","Exclude",
IF(Table2[[#This Row],[Row_Status]]="Mismatch","Exclude",
IF(AND(Table2[[#This Row],[Row_Status]]="Exact Duplicate",
COUNTIFS(Table2[Emp_ID],Table2[[#This Row],[Emp_ID]],Table2[Row_Concat],Table2[[#This Row],[Row_Concat]],
Table2[Row_Number],"&lt;"&amp;Table2[[#This Row],[Row_Number]])&gt;=1),"Delete","")))</f>
        <v/>
      </c>
      <c r="AH140" t="str">
        <f>VLOOKUP(Table2[[#This Row],[Department]],Raw_2!A:B,2,0)</f>
        <v>Day</v>
      </c>
      <c r="AI140">
        <f>VLOOKUP(Table2[[#This Row],[Department]],Raw_2!A:C,3,0)</f>
        <v>14</v>
      </c>
    </row>
    <row r="141" spans="1:35">
      <c r="A141" t="s">
        <v>327</v>
      </c>
      <c r="B141" t="s">
        <v>328</v>
      </c>
      <c r="C141">
        <v>40</v>
      </c>
      <c r="D141" t="s">
        <v>46</v>
      </c>
      <c r="E141" t="str">
        <f>IF(OR(Table2[[#This Row],[Gender]]="Male",Table2[[#This Row],[Gender]]="M"),"M",
IF(OR(Table2[[#This Row],[Gender]]="Female",Table2[[#This Row],[Gender]]="F"),"F",""))</f>
        <v>M</v>
      </c>
      <c r="F141" t="s">
        <v>64</v>
      </c>
      <c r="G141" t="s">
        <v>31</v>
      </c>
      <c r="H141" t="s">
        <v>1045</v>
      </c>
      <c r="I141" t="s">
        <v>1060</v>
      </c>
      <c r="J141" t="str">
        <f>IF(ISNUMBER(SEARCH("India",Table2[[#This Row],[Emp_Name]])),"INR",
IF(ISNUMBER(SEARCH("Foreign",Table2[[#This Row],[Emp_Name]])),Table2[[#This Row],[Currency]],Table2[[#This Row],[Currency]]))</f>
        <v>INR</v>
      </c>
      <c r="K141">
        <v>78000</v>
      </c>
      <c r="L141">
        <v>12</v>
      </c>
      <c r="M141">
        <f>IF(Table2[[#This Row],[Num_Month]]&lt;&gt;12,12,Table2[[#This Row],[Num_Month]])</f>
        <v>12</v>
      </c>
      <c r="N141">
        <f>IF(Table2[[#This Row],[Monthly_Salary]]="","",Table2[[#This Row],[Monthly_Salary]]*Table2[[#This Row],[Num_Month_Final]])</f>
        <v>936000</v>
      </c>
      <c r="O141">
        <v>7</v>
      </c>
      <c r="P141">
        <f>IF(Table2[[#This Row],[Exp_Years]]&lt;0,ABS(Table2[[#This Row],[Exp_Years]]),Table2[[#This Row],[Exp_Years]])</f>
        <v>7</v>
      </c>
      <c r="Q141">
        <v>4</v>
      </c>
      <c r="R141">
        <v>10871</v>
      </c>
      <c r="S141">
        <f>IF(Table2[[#This Row],[Performance_Rating]]&gt;=3,Table2[[#This Row],[Monthly_Salary]]*0.3,"")</f>
        <v>23400</v>
      </c>
      <c r="T141">
        <v>95</v>
      </c>
      <c r="U141">
        <v>15</v>
      </c>
      <c r="V141">
        <v>1</v>
      </c>
      <c r="X141" t="s">
        <v>38</v>
      </c>
      <c r="Y141" t="str">
        <f>IF(Table2[[#This Row],[Work_Mode]]&lt;&gt;"",Table2[[#This Row],[Work_Mode]],
IF(ISNUMBER(SEARCH("India",Table2[[#This Row],[Emp_Name]])),"Office",
IF(ISNUMBER(SEARCH("Foreign",Table2[[#This Row],[Emp_Name]])),"Remote","")))</f>
        <v>Hybrid</v>
      </c>
      <c r="Z141">
        <v>5</v>
      </c>
      <c r="AA14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141" t="s">
        <v>58</v>
      </c>
      <c r="AC141" t="str">
        <f>IF(COUNTIF(Table2[Emp_ID],Table2[[#This Row],[Emp_ID]])&gt;1,"Duplicate","Unique")</f>
        <v>Unique</v>
      </c>
      <c r="AE141" s="2"/>
      <c r="AG141" t="str">
        <f>IF(Table2[[#This Row],[Monthly_Salary]]="","Exclude",
IF(Table2[[#This Row],[Row_Status]]="Mismatch","Exclude",
IF(AND(Table2[[#This Row],[Row_Status]]="Exact Duplicate",
COUNTIFS(Table2[Emp_ID],Table2[[#This Row],[Emp_ID]],Table2[Row_Concat],Table2[[#This Row],[Row_Concat]],
Table2[Row_Number],"&lt;"&amp;Table2[[#This Row],[Row_Number]])&gt;=1),"Delete","")))</f>
        <v/>
      </c>
      <c r="AH141" t="str">
        <f>VLOOKUP(Table2[[#This Row],[Department]],Raw_2!A:B,2,0)</f>
        <v>Night</v>
      </c>
      <c r="AI141">
        <f>VLOOKUP(Table2[[#This Row],[Department]],Raw_2!A:C,3,0)</f>
        <v>13</v>
      </c>
    </row>
    <row r="142" spans="1:35">
      <c r="A142" t="s">
        <v>329</v>
      </c>
      <c r="B142" t="s">
        <v>330</v>
      </c>
      <c r="C142">
        <v>43</v>
      </c>
      <c r="D142" t="s">
        <v>16</v>
      </c>
      <c r="E142" t="str">
        <f>IF(OR(Table2[[#This Row],[Gender]]="Male",Table2[[#This Row],[Gender]]="M"),"M",
IF(OR(Table2[[#This Row],[Gender]]="Female",Table2[[#This Row],[Gender]]="F"),"F",""))</f>
        <v>M</v>
      </c>
      <c r="F142" t="s">
        <v>65</v>
      </c>
      <c r="G142" t="s">
        <v>31</v>
      </c>
      <c r="H142" t="s">
        <v>1049</v>
      </c>
      <c r="I142" t="s">
        <v>1060</v>
      </c>
      <c r="J142" t="str">
        <f>IF(ISNUMBER(SEARCH("India",Table2[[#This Row],[Emp_Name]])),"INR",
IF(ISNUMBER(SEARCH("Foreign",Table2[[#This Row],[Emp_Name]])),Table2[[#This Row],[Currency]],Table2[[#This Row],[Currency]]))</f>
        <v>INR</v>
      </c>
      <c r="K142">
        <v>124500</v>
      </c>
      <c r="L142">
        <v>12</v>
      </c>
      <c r="M142">
        <f>IF(Table2[[#This Row],[Num_Month]]&lt;&gt;12,12,Table2[[#This Row],[Num_Month]])</f>
        <v>12</v>
      </c>
      <c r="N142">
        <f>IF(Table2[[#This Row],[Monthly_Salary]]="","",Table2[[#This Row],[Monthly_Salary]]*Table2[[#This Row],[Num_Month_Final]])</f>
        <v>1494000</v>
      </c>
      <c r="O142">
        <v>12</v>
      </c>
      <c r="P142">
        <f>IF(Table2[[#This Row],[Exp_Years]]&lt;0,ABS(Table2[[#This Row],[Exp_Years]]),Table2[[#This Row],[Exp_Years]])</f>
        <v>12</v>
      </c>
      <c r="Q142">
        <v>3</v>
      </c>
      <c r="R142">
        <v>54000</v>
      </c>
      <c r="S142">
        <f>IF(Table2[[#This Row],[Performance_Rating]]&gt;=3,Table2[[#This Row],[Monthly_Salary]]*0.3,"")</f>
        <v>37350</v>
      </c>
      <c r="T142">
        <v>80</v>
      </c>
      <c r="U142">
        <v>5</v>
      </c>
      <c r="V142">
        <v>10</v>
      </c>
      <c r="X142" t="s">
        <v>38</v>
      </c>
      <c r="Y142" t="str">
        <f>IF(Table2[[#This Row],[Work_Mode]]&lt;&gt;"",Table2[[#This Row],[Work_Mode]],
IF(ISNUMBER(SEARCH("India",Table2[[#This Row],[Emp_Name]])),"Office",
IF(ISNUMBER(SEARCH("Foreign",Table2[[#This Row],[Emp_Name]])),"Remote","")))</f>
        <v>Hybrid</v>
      </c>
      <c r="AA142"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142" t="s">
        <v>22</v>
      </c>
      <c r="AC142" t="str">
        <f>IF(COUNTIF(Table2[Emp_ID],Table2[[#This Row],[Emp_ID]])&gt;1,"Duplicate","Unique")</f>
        <v>Unique</v>
      </c>
      <c r="AE142" s="2"/>
      <c r="AG142" t="str">
        <f>IF(Table2[[#This Row],[Monthly_Salary]]="","Exclude",
IF(Table2[[#This Row],[Row_Status]]="Mismatch","Exclude",
IF(AND(Table2[[#This Row],[Row_Status]]="Exact Duplicate",
COUNTIFS(Table2[Emp_ID],Table2[[#This Row],[Emp_ID]],Table2[Row_Concat],Table2[[#This Row],[Row_Concat]],
Table2[Row_Number],"&lt;"&amp;Table2[[#This Row],[Row_Number]])&gt;=1),"Delete","")))</f>
        <v/>
      </c>
      <c r="AH142" t="str">
        <f>VLOOKUP(Table2[[#This Row],[Department]],Raw_2!A:B,2,0)</f>
        <v>Night</v>
      </c>
      <c r="AI142">
        <f>VLOOKUP(Table2[[#This Row],[Department]],Raw_2!A:C,3,0)</f>
        <v>13</v>
      </c>
    </row>
    <row r="143" spans="1:35">
      <c r="A143" t="s">
        <v>331</v>
      </c>
      <c r="B143" t="s">
        <v>332</v>
      </c>
      <c r="C143">
        <v>27</v>
      </c>
      <c r="E143" t="str">
        <f>IF(OR(Table2[[#This Row],[Gender]]="Male",Table2[[#This Row],[Gender]]="M"),"M",
IF(OR(Table2[[#This Row],[Gender]]="Female",Table2[[#This Row],[Gender]]="F"),"F",""))</f>
        <v/>
      </c>
      <c r="F143" t="s">
        <v>64</v>
      </c>
      <c r="G143" t="s">
        <v>27</v>
      </c>
      <c r="H143" t="s">
        <v>51</v>
      </c>
      <c r="I143" t="s">
        <v>1060</v>
      </c>
      <c r="J143" t="str">
        <f>IF(ISNUMBER(SEARCH("India",Table2[[#This Row],[Emp_Name]])),"INR",
IF(ISNUMBER(SEARCH("Foreign",Table2[[#This Row],[Emp_Name]])),Table2[[#This Row],[Currency]],Table2[[#This Row],[Currency]]))</f>
        <v>INR</v>
      </c>
      <c r="K143">
        <v>48000</v>
      </c>
      <c r="L143">
        <v>12</v>
      </c>
      <c r="M143">
        <f>IF(Table2[[#This Row],[Num_Month]]&lt;&gt;12,12,Table2[[#This Row],[Num_Month]])</f>
        <v>12</v>
      </c>
      <c r="N143">
        <f>IF(Table2[[#This Row],[Monthly_Salary]]="","",Table2[[#This Row],[Monthly_Salary]]*Table2[[#This Row],[Num_Month_Final]])</f>
        <v>576000</v>
      </c>
      <c r="O143">
        <v>4</v>
      </c>
      <c r="P143">
        <f>IF(Table2[[#This Row],[Exp_Years]]&lt;0,ABS(Table2[[#This Row],[Exp_Years]]),Table2[[#This Row],[Exp_Years]])</f>
        <v>4</v>
      </c>
      <c r="Q143">
        <v>3</v>
      </c>
      <c r="R143">
        <v>10000</v>
      </c>
      <c r="S143">
        <f>IF(Table2[[#This Row],[Performance_Rating]]&gt;=3,Table2[[#This Row],[Monthly_Salary]]*0.3,"")</f>
        <v>14400</v>
      </c>
      <c r="T143">
        <v>95</v>
      </c>
      <c r="U143">
        <v>5</v>
      </c>
      <c r="V143">
        <v>12</v>
      </c>
      <c r="W143" t="s">
        <v>21</v>
      </c>
      <c r="X143" t="s">
        <v>19</v>
      </c>
      <c r="Y143" t="str">
        <f>IF(Table2[[#This Row],[Work_Mode]]&lt;&gt;"",Table2[[#This Row],[Work_Mode]],
IF(ISNUMBER(SEARCH("India",Table2[[#This Row],[Emp_Name]])),"Office",
IF(ISNUMBER(SEARCH("Foreign",Table2[[#This Row],[Emp_Name]])),"Remote","")))</f>
        <v>Office</v>
      </c>
      <c r="Z143">
        <v>20</v>
      </c>
      <c r="AA14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143" t="s">
        <v>22</v>
      </c>
      <c r="AC143" t="str">
        <f>IF(COUNTIF(Table2[Emp_ID],Table2[[#This Row],[Emp_ID]])&gt;1,"Duplicate","Unique")</f>
        <v>Unique</v>
      </c>
      <c r="AE143" s="2"/>
      <c r="AG143" t="str">
        <f>IF(Table2[[#This Row],[Monthly_Salary]]="","Exclude",
IF(Table2[[#This Row],[Row_Status]]="Mismatch","Exclude",
IF(AND(Table2[[#This Row],[Row_Status]]="Exact Duplicate",
COUNTIFS(Table2[Emp_ID],Table2[[#This Row],[Emp_ID]],Table2[Row_Concat],Table2[[#This Row],[Row_Concat]],
Table2[Row_Number],"&lt;"&amp;Table2[[#This Row],[Row_Number]])&gt;=1),"Delete","")))</f>
        <v/>
      </c>
      <c r="AH143" t="str">
        <f>VLOOKUP(Table2[[#This Row],[Department]],Raw_2!A:B,2,0)</f>
        <v>Day</v>
      </c>
      <c r="AI143">
        <f>VLOOKUP(Table2[[#This Row],[Department]],Raw_2!A:C,3,0)</f>
        <v>12</v>
      </c>
    </row>
    <row r="144" spans="1:35">
      <c r="A144" t="s">
        <v>333</v>
      </c>
      <c r="B144" t="s">
        <v>334</v>
      </c>
      <c r="C144">
        <v>27</v>
      </c>
      <c r="D144" t="s">
        <v>46</v>
      </c>
      <c r="E144" t="str">
        <f>IF(OR(Table2[[#This Row],[Gender]]="Male",Table2[[#This Row],[Gender]]="M"),"M",
IF(OR(Table2[[#This Row],[Gender]]="Female",Table2[[#This Row],[Gender]]="F"),"F",""))</f>
        <v>M</v>
      </c>
      <c r="F144" t="s">
        <v>64</v>
      </c>
      <c r="G144" t="s">
        <v>42</v>
      </c>
      <c r="H144" t="s">
        <v>51</v>
      </c>
      <c r="I144" t="s">
        <v>1060</v>
      </c>
      <c r="J144" t="str">
        <f>IF(ISNUMBER(SEARCH("India",Table2[[#This Row],[Emp_Name]])),"INR",
IF(ISNUMBER(SEARCH("Foreign",Table2[[#This Row],[Emp_Name]])),Table2[[#This Row],[Currency]],Table2[[#This Row],[Currency]]))</f>
        <v>INR</v>
      </c>
      <c r="K144">
        <v>51000</v>
      </c>
      <c r="L144">
        <v>12</v>
      </c>
      <c r="M144">
        <f>IF(Table2[[#This Row],[Num_Month]]&lt;&gt;12,12,Table2[[#This Row],[Num_Month]])</f>
        <v>12</v>
      </c>
      <c r="N144">
        <f>IF(Table2[[#This Row],[Monthly_Salary]]="","",Table2[[#This Row],[Monthly_Salary]]*Table2[[#This Row],[Num_Month_Final]])</f>
        <v>612000</v>
      </c>
      <c r="O144">
        <v>4</v>
      </c>
      <c r="P144">
        <f>IF(Table2[[#This Row],[Exp_Years]]&lt;0,ABS(Table2[[#This Row],[Exp_Years]]),Table2[[#This Row],[Exp_Years]])</f>
        <v>4</v>
      </c>
      <c r="Q144">
        <v>4</v>
      </c>
      <c r="S144">
        <f>IF(Table2[[#This Row],[Performance_Rating]]&gt;=3,Table2[[#This Row],[Monthly_Salary]]*0.3,"")</f>
        <v>15300</v>
      </c>
      <c r="T144">
        <v>95</v>
      </c>
      <c r="U144">
        <v>15</v>
      </c>
      <c r="V144">
        <v>2</v>
      </c>
      <c r="W144" t="s">
        <v>37</v>
      </c>
      <c r="X144" t="s">
        <v>19</v>
      </c>
      <c r="Y144" t="str">
        <f>IF(Table2[[#This Row],[Work_Mode]]&lt;&gt;"",Table2[[#This Row],[Work_Mode]],
IF(ISNUMBER(SEARCH("India",Table2[[#This Row],[Emp_Name]])),"Office",
IF(ISNUMBER(SEARCH("Foreign",Table2[[#This Row],[Emp_Name]])),"Remote","")))</f>
        <v>Office</v>
      </c>
      <c r="Z144">
        <v>10</v>
      </c>
      <c r="AA14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144" t="s">
        <v>22</v>
      </c>
      <c r="AC144" t="str">
        <f>IF(COUNTIF(Table2[Emp_ID],Table2[[#This Row],[Emp_ID]])&gt;1,"Duplicate","Unique")</f>
        <v>Unique</v>
      </c>
      <c r="AE144" s="2"/>
      <c r="AG144" t="str">
        <f>IF(Table2[[#This Row],[Monthly_Salary]]="","Exclude",
IF(Table2[[#This Row],[Row_Status]]="Mismatch","Exclude",
IF(AND(Table2[[#This Row],[Row_Status]]="Exact Duplicate",
COUNTIFS(Table2[Emp_ID],Table2[[#This Row],[Emp_ID]],Table2[Row_Concat],Table2[[#This Row],[Row_Concat]],
Table2[Row_Number],"&lt;"&amp;Table2[[#This Row],[Row_Number]])&gt;=1),"Delete","")))</f>
        <v/>
      </c>
      <c r="AH144" t="str">
        <f>VLOOKUP(Table2[[#This Row],[Department]],Raw_2!A:B,2,0)</f>
        <v>Day</v>
      </c>
      <c r="AI144">
        <f>VLOOKUP(Table2[[#This Row],[Department]],Raw_2!A:C,3,0)</f>
        <v>14</v>
      </c>
    </row>
    <row r="145" spans="1:35">
      <c r="A145" t="s">
        <v>335</v>
      </c>
      <c r="B145" t="s">
        <v>336</v>
      </c>
      <c r="C145">
        <v>41</v>
      </c>
      <c r="D145" t="s">
        <v>34</v>
      </c>
      <c r="E145" t="str">
        <f>IF(OR(Table2[[#This Row],[Gender]]="Male",Table2[[#This Row],[Gender]]="M"),"M",
IF(OR(Table2[[#This Row],[Gender]]="Female",Table2[[#This Row],[Gender]]="F"),"F",""))</f>
        <v>F</v>
      </c>
      <c r="F145" t="s">
        <v>47</v>
      </c>
      <c r="G145" t="s">
        <v>36</v>
      </c>
      <c r="H145" t="s">
        <v>1050</v>
      </c>
      <c r="I145" t="s">
        <v>1060</v>
      </c>
      <c r="J145" t="str">
        <f>IF(ISNUMBER(SEARCH("India",Table2[[#This Row],[Emp_Name]])),"INR",
IF(ISNUMBER(SEARCH("Foreign",Table2[[#This Row],[Emp_Name]])),Table2[[#This Row],[Currency]],Table2[[#This Row],[Currency]]))</f>
        <v>INR</v>
      </c>
      <c r="K145">
        <v>125000</v>
      </c>
      <c r="L145">
        <v>12</v>
      </c>
      <c r="M145">
        <f>IF(Table2[[#This Row],[Num_Month]]&lt;&gt;12,12,Table2[[#This Row],[Num_Month]])</f>
        <v>12</v>
      </c>
      <c r="N145">
        <f>IF(Table2[[#This Row],[Monthly_Salary]]="","",Table2[[#This Row],[Monthly_Salary]]*Table2[[#This Row],[Num_Month_Final]])</f>
        <v>1500000</v>
      </c>
      <c r="O145">
        <v>16</v>
      </c>
      <c r="P145">
        <f>IF(Table2[[#This Row],[Exp_Years]]&lt;0,ABS(Table2[[#This Row],[Exp_Years]]),Table2[[#This Row],[Exp_Years]])</f>
        <v>16</v>
      </c>
      <c r="Q145">
        <v>4</v>
      </c>
      <c r="R145">
        <v>59762</v>
      </c>
      <c r="S145">
        <f>IF(Table2[[#This Row],[Performance_Rating]]&gt;=3,Table2[[#This Row],[Monthly_Salary]]*0.3,"")</f>
        <v>37500</v>
      </c>
      <c r="T145">
        <v>80</v>
      </c>
      <c r="U145">
        <v>23</v>
      </c>
      <c r="V145">
        <v>5</v>
      </c>
      <c r="W145" t="s">
        <v>37</v>
      </c>
      <c r="X145" t="s">
        <v>19</v>
      </c>
      <c r="Y145" t="str">
        <f>IF(Table2[[#This Row],[Work_Mode]]&lt;&gt;"",Table2[[#This Row],[Work_Mode]],
IF(ISNUMBER(SEARCH("India",Table2[[#This Row],[Emp_Name]])),"Office",
IF(ISNUMBER(SEARCH("Foreign",Table2[[#This Row],[Emp_Name]])),"Remote","")))</f>
        <v>Office</v>
      </c>
      <c r="AA145"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145" t="s">
        <v>22</v>
      </c>
      <c r="AC145" t="str">
        <f>IF(COUNTIF(Table2[Emp_ID],Table2[[#This Row],[Emp_ID]])&gt;1,"Duplicate","Unique")</f>
        <v>Unique</v>
      </c>
      <c r="AE145" s="2"/>
      <c r="AG145" t="str">
        <f>IF(Table2[[#This Row],[Monthly_Salary]]="","Exclude",
IF(Table2[[#This Row],[Row_Status]]="Mismatch","Exclude",
IF(AND(Table2[[#This Row],[Row_Status]]="Exact Duplicate",
COUNTIFS(Table2[Emp_ID],Table2[[#This Row],[Emp_ID]],Table2[Row_Concat],Table2[[#This Row],[Row_Concat]],
Table2[Row_Number],"&lt;"&amp;Table2[[#This Row],[Row_Number]])&gt;=1),"Delete","")))</f>
        <v/>
      </c>
      <c r="AH145" t="str">
        <f>VLOOKUP(Table2[[#This Row],[Department]],Raw_2!A:B,2,0)</f>
        <v>Day</v>
      </c>
      <c r="AI145">
        <f>VLOOKUP(Table2[[#This Row],[Department]],Raw_2!A:C,3,0)</f>
        <v>25</v>
      </c>
    </row>
    <row r="146" spans="1:35">
      <c r="A146" t="s">
        <v>337</v>
      </c>
      <c r="B146" t="s">
        <v>338</v>
      </c>
      <c r="C146">
        <v>25</v>
      </c>
      <c r="D146" t="s">
        <v>16</v>
      </c>
      <c r="E146" t="str">
        <f>IF(OR(Table2[[#This Row],[Gender]]="Male",Table2[[#This Row],[Gender]]="M"),"M",
IF(OR(Table2[[#This Row],[Gender]]="Female",Table2[[#This Row],[Gender]]="F"),"F",""))</f>
        <v>M</v>
      </c>
      <c r="F146" t="s">
        <v>17</v>
      </c>
      <c r="G146" t="s">
        <v>66</v>
      </c>
      <c r="H146" t="s">
        <v>51</v>
      </c>
      <c r="I146" t="s">
        <v>1060</v>
      </c>
      <c r="J146" t="str">
        <f>IF(ISNUMBER(SEARCH("India",Table2[[#This Row],[Emp_Name]])),"INR",
IF(ISNUMBER(SEARCH("Foreign",Table2[[#This Row],[Emp_Name]])),Table2[[#This Row],[Currency]],Table2[[#This Row],[Currency]]))</f>
        <v>INR</v>
      </c>
      <c r="K146">
        <v>48000</v>
      </c>
      <c r="L146">
        <v>12</v>
      </c>
      <c r="M146">
        <f>IF(Table2[[#This Row],[Num_Month]]&lt;&gt;12,12,Table2[[#This Row],[Num_Month]])</f>
        <v>12</v>
      </c>
      <c r="N146">
        <f>IF(Table2[[#This Row],[Monthly_Salary]]="","",Table2[[#This Row],[Monthly_Salary]]*Table2[[#This Row],[Num_Month_Final]])</f>
        <v>576000</v>
      </c>
      <c r="O146">
        <v>4</v>
      </c>
      <c r="P146">
        <f>IF(Table2[[#This Row],[Exp_Years]]&lt;0,ABS(Table2[[#This Row],[Exp_Years]]),Table2[[#This Row],[Exp_Years]])</f>
        <v>4</v>
      </c>
      <c r="Q146">
        <v>3</v>
      </c>
      <c r="R146">
        <v>10500</v>
      </c>
      <c r="S146">
        <f>IF(Table2[[#This Row],[Performance_Rating]]&gt;=3,Table2[[#This Row],[Monthly_Salary]]*0.3,"")</f>
        <v>14400</v>
      </c>
      <c r="T146">
        <v>85</v>
      </c>
      <c r="U146">
        <v>22</v>
      </c>
      <c r="V146">
        <v>5</v>
      </c>
      <c r="W146" t="s">
        <v>37</v>
      </c>
      <c r="X146" t="s">
        <v>38</v>
      </c>
      <c r="Y146" t="str">
        <f>IF(Table2[[#This Row],[Work_Mode]]&lt;&gt;"",Table2[[#This Row],[Work_Mode]],
IF(ISNUMBER(SEARCH("India",Table2[[#This Row],[Emp_Name]])),"Office",
IF(ISNUMBER(SEARCH("Foreign",Table2[[#This Row],[Emp_Name]])),"Remote","")))</f>
        <v>Hybrid</v>
      </c>
      <c r="AA14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46" t="s">
        <v>22</v>
      </c>
      <c r="AC146" t="str">
        <f>IF(COUNTIF(Table2[Emp_ID],Table2[[#This Row],[Emp_ID]])&gt;1,"Duplicate","Unique")</f>
        <v>Unique</v>
      </c>
      <c r="AE146" s="2"/>
      <c r="AG146" t="str">
        <f>IF(Table2[[#This Row],[Monthly_Salary]]="","Exclude",
IF(Table2[[#This Row],[Row_Status]]="Mismatch","Exclude",
IF(AND(Table2[[#This Row],[Row_Status]]="Exact Duplicate",
COUNTIFS(Table2[Emp_ID],Table2[[#This Row],[Emp_ID]],Table2[Row_Concat],Table2[[#This Row],[Row_Concat]],
Table2[Row_Number],"&lt;"&amp;Table2[[#This Row],[Row_Number]])&gt;=1),"Delete","")))</f>
        <v/>
      </c>
      <c r="AH146" t="str">
        <f>VLOOKUP(Table2[[#This Row],[Department]],Raw_2!A:B,2,0)</f>
        <v>Night</v>
      </c>
      <c r="AI146">
        <f>VLOOKUP(Table2[[#This Row],[Department]],Raw_2!A:C,3,0)</f>
        <v>20</v>
      </c>
    </row>
    <row r="147" spans="1:35">
      <c r="A147" t="s">
        <v>339</v>
      </c>
      <c r="B147" t="s">
        <v>340</v>
      </c>
      <c r="C147">
        <v>32</v>
      </c>
      <c r="E147" t="str">
        <f>IF(OR(Table2[[#This Row],[Gender]]="Male",Table2[[#This Row],[Gender]]="M"),"M",
IF(OR(Table2[[#This Row],[Gender]]="Female",Table2[[#This Row],[Gender]]="F"),"F",""))</f>
        <v/>
      </c>
      <c r="F147" t="s">
        <v>64</v>
      </c>
      <c r="G147" t="s">
        <v>42</v>
      </c>
      <c r="H147" t="s">
        <v>82</v>
      </c>
      <c r="I147" t="s">
        <v>1059</v>
      </c>
      <c r="J147" t="str">
        <f>IF(ISNUMBER(SEARCH("India",Table2[[#This Row],[Emp_Name]])),"INR",
IF(ISNUMBER(SEARCH("Foreign",Table2[[#This Row],[Emp_Name]])),Table2[[#This Row],[Currency]],Table2[[#This Row],[Currency]]))</f>
        <v>USD</v>
      </c>
      <c r="K147">
        <v>88000</v>
      </c>
      <c r="L147">
        <v>12</v>
      </c>
      <c r="M147">
        <f>IF(Table2[[#This Row],[Num_Month]]&lt;&gt;12,12,Table2[[#This Row],[Num_Month]])</f>
        <v>12</v>
      </c>
      <c r="N147">
        <f>IF(Table2[[#This Row],[Monthly_Salary]]="","",Table2[[#This Row],[Monthly_Salary]]*Table2[[#This Row],[Num_Month_Final]])</f>
        <v>1056000</v>
      </c>
      <c r="O147">
        <v>8</v>
      </c>
      <c r="P147">
        <f>IF(Table2[[#This Row],[Exp_Years]]&lt;0,ABS(Table2[[#This Row],[Exp_Years]]),Table2[[#This Row],[Exp_Years]])</f>
        <v>8</v>
      </c>
      <c r="Q147">
        <v>3</v>
      </c>
      <c r="R147">
        <v>24000</v>
      </c>
      <c r="S147">
        <f>IF(Table2[[#This Row],[Performance_Rating]]&gt;=3,Table2[[#This Row],[Monthly_Salary]]*0.3,"")</f>
        <v>26400</v>
      </c>
      <c r="T147">
        <v>87</v>
      </c>
      <c r="U147">
        <v>5</v>
      </c>
      <c r="V147">
        <v>8</v>
      </c>
      <c r="W147" t="s">
        <v>37</v>
      </c>
      <c r="X147" t="s">
        <v>28</v>
      </c>
      <c r="Y147" t="str">
        <f>IF(Table2[[#This Row],[Work_Mode]]&lt;&gt;"",Table2[[#This Row],[Work_Mode]],
IF(ISNUMBER(SEARCH("India",Table2[[#This Row],[Emp_Name]])),"Office",
IF(ISNUMBER(SEARCH("Foreign",Table2[[#This Row],[Emp_Name]])),"Remote","")))</f>
        <v>Remote</v>
      </c>
      <c r="AA14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47" t="s">
        <v>22</v>
      </c>
      <c r="AC147" t="str">
        <f>IF(COUNTIF(Table2[Emp_ID],Table2[[#This Row],[Emp_ID]])&gt;1,"Duplicate","Unique")</f>
        <v>Duplicate</v>
      </c>
      <c r="AD147" t="str">
        <f>_xlfn.TEXTJOIN("|",TRUE,Table2[[#This Row],[Emp_ID]:[Salary_Band]])</f>
        <v>ZOM1657|Employee_57_Foreign|32|Mumbai|Operations|Manager|USD|USD|88000|12|12|1056000|8|8|3|24000|26400|87|5|8|Yes|Remote|Remote|0|Medium</v>
      </c>
      <c r="AE147" s="2" t="str">
        <f>IF(COUNTIFS(Table2[Emp_ID],Table2[[#This Row],[Emp_ID]],Table2[Row_Concat],Table2[[#This Row],[Row_Concat]])&gt;1,"Exact Duplicate",
IF(COUNTIF(Table2[Emp_ID],Table2[[#This Row],[Emp_ID]])&gt;1,"Mismatch","Unique"))</f>
        <v>Exact Duplicate</v>
      </c>
      <c r="AF147">
        <f>ROW()</f>
        <v>147</v>
      </c>
      <c r="AG147" t="str">
        <f>IF(Table2[[#This Row],[Monthly_Salary]]="","Exclude",
IF(Table2[[#This Row],[Row_Status]]="Mismatch","Exclude",
IF(AND(Table2[[#This Row],[Row_Status]]="Exact Duplicate",
COUNTIFS(Table2[Emp_ID],Table2[[#This Row],[Emp_ID]],Table2[Row_Concat],Table2[[#This Row],[Row_Concat]],
Table2[Row_Number],"&lt;"&amp;Table2[[#This Row],[Row_Number]])&gt;=1),"Delete","")))</f>
        <v/>
      </c>
      <c r="AH147" t="str">
        <f>VLOOKUP(Table2[[#This Row],[Department]],Raw_2!A:B,2,0)</f>
        <v>Day</v>
      </c>
      <c r="AI147">
        <f>VLOOKUP(Table2[[#This Row],[Department]],Raw_2!A:C,3,0)</f>
        <v>14</v>
      </c>
    </row>
    <row r="148" spans="1:35">
      <c r="A148" t="s">
        <v>341</v>
      </c>
      <c r="B148" t="s">
        <v>342</v>
      </c>
      <c r="C148">
        <v>42</v>
      </c>
      <c r="D148" t="s">
        <v>34</v>
      </c>
      <c r="E148" t="str">
        <f>IF(OR(Table2[[#This Row],[Gender]]="Male",Table2[[#This Row],[Gender]]="M"),"M",
IF(OR(Table2[[#This Row],[Gender]]="Female",Table2[[#This Row],[Gender]]="F"),"F",""))</f>
        <v>F</v>
      </c>
      <c r="F148" t="s">
        <v>17</v>
      </c>
      <c r="G148" t="s">
        <v>66</v>
      </c>
      <c r="H148" t="s">
        <v>1050</v>
      </c>
      <c r="I148" t="s">
        <v>1060</v>
      </c>
      <c r="J148" t="str">
        <f>IF(ISNUMBER(SEARCH("India",Table2[[#This Row],[Emp_Name]])),"INR",
IF(ISNUMBER(SEARCH("Foreign",Table2[[#This Row],[Emp_Name]])),Table2[[#This Row],[Currency]],Table2[[#This Row],[Currency]]))</f>
        <v>INR</v>
      </c>
      <c r="K148">
        <v>135000</v>
      </c>
      <c r="L148">
        <v>12</v>
      </c>
      <c r="M148">
        <f>IF(Table2[[#This Row],[Num_Month]]&lt;&gt;12,12,Table2[[#This Row],[Num_Month]])</f>
        <v>12</v>
      </c>
      <c r="N148">
        <f>IF(Table2[[#This Row],[Monthly_Salary]]="","",Table2[[#This Row],[Monthly_Salary]]*Table2[[#This Row],[Num_Month_Final]])</f>
        <v>1620000</v>
      </c>
      <c r="O148">
        <v>19</v>
      </c>
      <c r="P148">
        <f>IF(Table2[[#This Row],[Exp_Years]]&lt;0,ABS(Table2[[#This Row],[Exp_Years]]),Table2[[#This Row],[Exp_Years]])</f>
        <v>19</v>
      </c>
      <c r="Q148">
        <v>1</v>
      </c>
      <c r="S148" t="str">
        <f>IF(Table2[[#This Row],[Performance_Rating]]&gt;=3,Table2[[#This Row],[Monthly_Salary]]*0.3,"")</f>
        <v/>
      </c>
      <c r="T148">
        <v>90</v>
      </c>
      <c r="U148">
        <v>5</v>
      </c>
      <c r="V148">
        <v>5</v>
      </c>
      <c r="W148" t="s">
        <v>37</v>
      </c>
      <c r="X148" t="s">
        <v>38</v>
      </c>
      <c r="Y148" t="str">
        <f>IF(Table2[[#This Row],[Work_Mode]]&lt;&gt;"",Table2[[#This Row],[Work_Mode]],
IF(ISNUMBER(SEARCH("India",Table2[[#This Row],[Emp_Name]])),"Office",
IF(ISNUMBER(SEARCH("Foreign",Table2[[#This Row],[Emp_Name]])),"Remote","")))</f>
        <v>Hybrid</v>
      </c>
      <c r="AA148"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148" t="s">
        <v>39</v>
      </c>
      <c r="AC148" t="str">
        <f>IF(COUNTIF(Table2[Emp_ID],Table2[[#This Row],[Emp_ID]])&gt;1,"Duplicate","Unique")</f>
        <v>Unique</v>
      </c>
      <c r="AE148" s="2"/>
      <c r="AG148" t="str">
        <f>IF(Table2[[#This Row],[Monthly_Salary]]="","Exclude",
IF(Table2[[#This Row],[Row_Status]]="Mismatch","Exclude",
IF(AND(Table2[[#This Row],[Row_Status]]="Exact Duplicate",
COUNTIFS(Table2[Emp_ID],Table2[[#This Row],[Emp_ID]],Table2[Row_Concat],Table2[[#This Row],[Row_Concat]],
Table2[Row_Number],"&lt;"&amp;Table2[[#This Row],[Row_Number]])&gt;=1),"Delete","")))</f>
        <v/>
      </c>
      <c r="AH148" t="str">
        <f>VLOOKUP(Table2[[#This Row],[Department]],Raw_2!A:B,2,0)</f>
        <v>Night</v>
      </c>
      <c r="AI148">
        <f>VLOOKUP(Table2[[#This Row],[Department]],Raw_2!A:C,3,0)</f>
        <v>20</v>
      </c>
    </row>
    <row r="149" spans="1:35">
      <c r="A149" t="s">
        <v>343</v>
      </c>
      <c r="B149" t="s">
        <v>344</v>
      </c>
      <c r="C149">
        <v>27</v>
      </c>
      <c r="D149" t="s">
        <v>46</v>
      </c>
      <c r="E149" t="str">
        <f>IF(OR(Table2[[#This Row],[Gender]]="Male",Table2[[#This Row],[Gender]]="M"),"M",
IF(OR(Table2[[#This Row],[Gender]]="Female",Table2[[#This Row],[Gender]]="F"),"F",""))</f>
        <v>M</v>
      </c>
      <c r="F149" t="s">
        <v>26</v>
      </c>
      <c r="G149" t="s">
        <v>66</v>
      </c>
      <c r="H149" t="s">
        <v>51</v>
      </c>
      <c r="I149" t="s">
        <v>1060</v>
      </c>
      <c r="J149" t="str">
        <f>IF(ISNUMBER(SEARCH("India",Table2[[#This Row],[Emp_Name]])),"INR",
IF(ISNUMBER(SEARCH("Foreign",Table2[[#This Row],[Emp_Name]])),Table2[[#This Row],[Currency]],Table2[[#This Row],[Currency]]))</f>
        <v>INR</v>
      </c>
      <c r="K149">
        <v>40000</v>
      </c>
      <c r="L149">
        <v>12</v>
      </c>
      <c r="M149">
        <f>IF(Table2[[#This Row],[Num_Month]]&lt;&gt;12,12,Table2[[#This Row],[Num_Month]])</f>
        <v>12</v>
      </c>
      <c r="N149">
        <f>IF(Table2[[#This Row],[Monthly_Salary]]="","",Table2[[#This Row],[Monthly_Salary]]*Table2[[#This Row],[Num_Month_Final]])</f>
        <v>480000</v>
      </c>
      <c r="O149">
        <v>2</v>
      </c>
      <c r="P149">
        <f>IF(Table2[[#This Row],[Exp_Years]]&lt;0,ABS(Table2[[#This Row],[Exp_Years]]),Table2[[#This Row],[Exp_Years]])</f>
        <v>2</v>
      </c>
      <c r="Q149">
        <v>4</v>
      </c>
      <c r="S149">
        <f>IF(Table2[[#This Row],[Performance_Rating]]&gt;=3,Table2[[#This Row],[Monthly_Salary]]*0.3,"")</f>
        <v>12000</v>
      </c>
      <c r="T149">
        <v>80</v>
      </c>
      <c r="U149">
        <v>5</v>
      </c>
      <c r="V149">
        <v>7</v>
      </c>
      <c r="X149" t="s">
        <v>38</v>
      </c>
      <c r="Y149" t="str">
        <f>IF(Table2[[#This Row],[Work_Mode]]&lt;&gt;"",Table2[[#This Row],[Work_Mode]],
IF(ISNUMBER(SEARCH("India",Table2[[#This Row],[Emp_Name]])),"Office",
IF(ISNUMBER(SEARCH("Foreign",Table2[[#This Row],[Emp_Name]])),"Remote","")))</f>
        <v>Hybrid</v>
      </c>
      <c r="Z149">
        <v>10</v>
      </c>
      <c r="AA14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149" t="s">
        <v>22</v>
      </c>
      <c r="AC149" t="str">
        <f>IF(COUNTIF(Table2[Emp_ID],Table2[[#This Row],[Emp_ID]])&gt;1,"Duplicate","Unique")</f>
        <v>Unique</v>
      </c>
      <c r="AE149" s="2"/>
      <c r="AG149" t="str">
        <f>IF(Table2[[#This Row],[Monthly_Salary]]="","Exclude",
IF(Table2[[#This Row],[Row_Status]]="Mismatch","Exclude",
IF(AND(Table2[[#This Row],[Row_Status]]="Exact Duplicate",
COUNTIFS(Table2[Emp_ID],Table2[[#This Row],[Emp_ID]],Table2[Row_Concat],Table2[[#This Row],[Row_Concat]],
Table2[Row_Number],"&lt;"&amp;Table2[[#This Row],[Row_Number]])&gt;=1),"Delete","")))</f>
        <v/>
      </c>
      <c r="AH149" t="str">
        <f>VLOOKUP(Table2[[#This Row],[Department]],Raw_2!A:B,2,0)</f>
        <v>Night</v>
      </c>
      <c r="AI149">
        <f>VLOOKUP(Table2[[#This Row],[Department]],Raw_2!A:C,3,0)</f>
        <v>20</v>
      </c>
    </row>
    <row r="150" spans="1:35">
      <c r="A150" t="s">
        <v>345</v>
      </c>
      <c r="B150" t="s">
        <v>346</v>
      </c>
      <c r="C150">
        <v>27</v>
      </c>
      <c r="D150" t="s">
        <v>46</v>
      </c>
      <c r="E150" t="str">
        <f>IF(OR(Table2[[#This Row],[Gender]]="Male",Table2[[#This Row],[Gender]]="M"),"M",
IF(OR(Table2[[#This Row],[Gender]]="Female",Table2[[#This Row],[Gender]]="F"),"F",""))</f>
        <v>M</v>
      </c>
      <c r="F150" t="s">
        <v>61</v>
      </c>
      <c r="G150" t="s">
        <v>66</v>
      </c>
      <c r="H150" t="s">
        <v>51</v>
      </c>
      <c r="I150" t="s">
        <v>1059</v>
      </c>
      <c r="J150" t="str">
        <f>IF(ISNUMBER(SEARCH("India",Table2[[#This Row],[Emp_Name]])),"INR",
IF(ISNUMBER(SEARCH("Foreign",Table2[[#This Row],[Emp_Name]])),Table2[[#This Row],[Currency]],Table2[[#This Row],[Currency]]))</f>
        <v>USD</v>
      </c>
      <c r="K150">
        <v>36000</v>
      </c>
      <c r="L150">
        <v>12</v>
      </c>
      <c r="M150">
        <f>IF(Table2[[#This Row],[Num_Month]]&lt;&gt;12,12,Table2[[#This Row],[Num_Month]])</f>
        <v>12</v>
      </c>
      <c r="N150">
        <f>IF(Table2[[#This Row],[Monthly_Salary]]="","",Table2[[#This Row],[Monthly_Salary]]*Table2[[#This Row],[Num_Month_Final]])</f>
        <v>432000</v>
      </c>
      <c r="O150">
        <v>3</v>
      </c>
      <c r="P150">
        <f>IF(Table2[[#This Row],[Exp_Years]]&lt;0,ABS(Table2[[#This Row],[Exp_Years]]),Table2[[#This Row],[Exp_Years]])</f>
        <v>3</v>
      </c>
      <c r="Q150">
        <v>4</v>
      </c>
      <c r="R150">
        <v>10000</v>
      </c>
      <c r="S150">
        <f>IF(Table2[[#This Row],[Performance_Rating]]&gt;=3,Table2[[#This Row],[Monthly_Salary]]*0.3,"")</f>
        <v>10800</v>
      </c>
      <c r="T150">
        <v>95</v>
      </c>
      <c r="U150">
        <v>23</v>
      </c>
      <c r="V150">
        <v>2</v>
      </c>
      <c r="X150" t="s">
        <v>28</v>
      </c>
      <c r="Y150" t="str">
        <f>IF(Table2[[#This Row],[Work_Mode]]&lt;&gt;"",Table2[[#This Row],[Work_Mode]],
IF(ISNUMBER(SEARCH("India",Table2[[#This Row],[Emp_Name]])),"Office",
IF(ISNUMBER(SEARCH("Foreign",Table2[[#This Row],[Emp_Name]])),"Remote","")))</f>
        <v>Remote</v>
      </c>
      <c r="Z150">
        <v>10</v>
      </c>
      <c r="AA15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150" t="s">
        <v>58</v>
      </c>
      <c r="AC150" t="str">
        <f>IF(COUNTIF(Table2[Emp_ID],Table2[[#This Row],[Emp_ID]])&gt;1,"Duplicate","Unique")</f>
        <v>Unique</v>
      </c>
      <c r="AE150" s="2"/>
      <c r="AG150" t="str">
        <f>IF(Table2[[#This Row],[Monthly_Salary]]="","Exclude",
IF(Table2[[#This Row],[Row_Status]]="Mismatch","Exclude",
IF(AND(Table2[[#This Row],[Row_Status]]="Exact Duplicate",
COUNTIFS(Table2[Emp_ID],Table2[[#This Row],[Emp_ID]],Table2[Row_Concat],Table2[[#This Row],[Row_Concat]],
Table2[Row_Number],"&lt;"&amp;Table2[[#This Row],[Row_Number]])&gt;=1),"Delete","")))</f>
        <v/>
      </c>
      <c r="AH150" t="str">
        <f>VLOOKUP(Table2[[#This Row],[Department]],Raw_2!A:B,2,0)</f>
        <v>Night</v>
      </c>
      <c r="AI150">
        <f>VLOOKUP(Table2[[#This Row],[Department]],Raw_2!A:C,3,0)</f>
        <v>20</v>
      </c>
    </row>
    <row r="151" spans="1:35">
      <c r="A151" t="s">
        <v>347</v>
      </c>
      <c r="B151" t="s">
        <v>348</v>
      </c>
      <c r="C151">
        <v>25</v>
      </c>
      <c r="E151" t="str">
        <f>IF(OR(Table2[[#This Row],[Gender]]="Male",Table2[[#This Row],[Gender]]="M"),"M",
IF(OR(Table2[[#This Row],[Gender]]="Female",Table2[[#This Row],[Gender]]="F"),"F",""))</f>
        <v/>
      </c>
      <c r="F151" t="s">
        <v>50</v>
      </c>
      <c r="G151" t="s">
        <v>31</v>
      </c>
      <c r="H151" t="s">
        <v>51</v>
      </c>
      <c r="I151" t="s">
        <v>1060</v>
      </c>
      <c r="J151" t="str">
        <f>IF(ISNUMBER(SEARCH("India",Table2[[#This Row],[Emp_Name]])),"INR",
IF(ISNUMBER(SEARCH("Foreign",Table2[[#This Row],[Emp_Name]])),Table2[[#This Row],[Currency]],Table2[[#This Row],[Currency]]))</f>
        <v>INR</v>
      </c>
      <c r="K151">
        <v>48000</v>
      </c>
      <c r="L151">
        <v>12</v>
      </c>
      <c r="M151">
        <f>IF(Table2[[#This Row],[Num_Month]]&lt;&gt;12,12,Table2[[#This Row],[Num_Month]])</f>
        <v>12</v>
      </c>
      <c r="N151">
        <f>IF(Table2[[#This Row],[Monthly_Salary]]="","",Table2[[#This Row],[Monthly_Salary]]*Table2[[#This Row],[Num_Month_Final]])</f>
        <v>576000</v>
      </c>
      <c r="O151">
        <v>4</v>
      </c>
      <c r="P151">
        <f>IF(Table2[[#This Row],[Exp_Years]]&lt;0,ABS(Table2[[#This Row],[Exp_Years]]),Table2[[#This Row],[Exp_Years]])</f>
        <v>4</v>
      </c>
      <c r="Q151">
        <v>4</v>
      </c>
      <c r="R151">
        <v>5000</v>
      </c>
      <c r="S151">
        <f>IF(Table2[[#This Row],[Performance_Rating]]&gt;=3,Table2[[#This Row],[Monthly_Salary]]*0.3,"")</f>
        <v>14400</v>
      </c>
      <c r="T151">
        <v>95</v>
      </c>
      <c r="U151">
        <v>10</v>
      </c>
      <c r="V151">
        <v>3</v>
      </c>
      <c r="W151" t="s">
        <v>37</v>
      </c>
      <c r="X151" t="s">
        <v>38</v>
      </c>
      <c r="Y151" t="str">
        <f>IF(Table2[[#This Row],[Work_Mode]]&lt;&gt;"",Table2[[#This Row],[Work_Mode]],
IF(ISNUMBER(SEARCH("India",Table2[[#This Row],[Emp_Name]])),"Office",
IF(ISNUMBER(SEARCH("Foreign",Table2[[#This Row],[Emp_Name]])),"Remote","")))</f>
        <v>Hybrid</v>
      </c>
      <c r="AA15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51" t="s">
        <v>22</v>
      </c>
      <c r="AC151" t="str">
        <f>IF(COUNTIF(Table2[Emp_ID],Table2[[#This Row],[Emp_ID]])&gt;1,"Duplicate","Unique")</f>
        <v>Unique</v>
      </c>
      <c r="AE151" s="2"/>
      <c r="AG151" t="str">
        <f>IF(Table2[[#This Row],[Monthly_Salary]]="","Exclude",
IF(Table2[[#This Row],[Row_Status]]="Mismatch","Exclude",
IF(AND(Table2[[#This Row],[Row_Status]]="Exact Duplicate",
COUNTIFS(Table2[Emp_ID],Table2[[#This Row],[Emp_ID]],Table2[Row_Concat],Table2[[#This Row],[Row_Concat]],
Table2[Row_Number],"&lt;"&amp;Table2[[#This Row],[Row_Number]])&gt;=1),"Delete","")))</f>
        <v/>
      </c>
      <c r="AH151" t="str">
        <f>VLOOKUP(Table2[[#This Row],[Department]],Raw_2!A:B,2,0)</f>
        <v>Night</v>
      </c>
      <c r="AI151">
        <f>VLOOKUP(Table2[[#This Row],[Department]],Raw_2!A:C,3,0)</f>
        <v>13</v>
      </c>
    </row>
    <row r="152" spans="1:35">
      <c r="A152" t="s">
        <v>349</v>
      </c>
      <c r="B152" t="s">
        <v>350</v>
      </c>
      <c r="C152">
        <v>26</v>
      </c>
      <c r="D152" t="s">
        <v>16</v>
      </c>
      <c r="E152" t="str">
        <f>IF(OR(Table2[[#This Row],[Gender]]="Male",Table2[[#This Row],[Gender]]="M"),"M",
IF(OR(Table2[[#This Row],[Gender]]="Female",Table2[[#This Row],[Gender]]="F"),"F",""))</f>
        <v>M</v>
      </c>
      <c r="F152" t="s">
        <v>65</v>
      </c>
      <c r="G152" t="s">
        <v>42</v>
      </c>
      <c r="H152" t="s">
        <v>51</v>
      </c>
      <c r="I152" t="s">
        <v>1060</v>
      </c>
      <c r="J152" t="str">
        <f>IF(ISNUMBER(SEARCH("India",Table2[[#This Row],[Emp_Name]])),"INR",
IF(ISNUMBER(SEARCH("Foreign",Table2[[#This Row],[Emp_Name]])),Table2[[#This Row],[Currency]],Table2[[#This Row],[Currency]]))</f>
        <v>INR</v>
      </c>
      <c r="K152">
        <v>37000</v>
      </c>
      <c r="L152">
        <v>12</v>
      </c>
      <c r="M152">
        <f>IF(Table2[[#This Row],[Num_Month]]&lt;&gt;12,12,Table2[[#This Row],[Num_Month]])</f>
        <v>12</v>
      </c>
      <c r="N152">
        <f>IF(Table2[[#This Row],[Monthly_Salary]]="","",Table2[[#This Row],[Monthly_Salary]]*Table2[[#This Row],[Num_Month_Final]])</f>
        <v>444000</v>
      </c>
      <c r="O152">
        <v>2</v>
      </c>
      <c r="P152">
        <f>IF(Table2[[#This Row],[Exp_Years]]&lt;0,ABS(Table2[[#This Row],[Exp_Years]]),Table2[[#This Row],[Exp_Years]])</f>
        <v>2</v>
      </c>
      <c r="Q152">
        <v>2</v>
      </c>
      <c r="S152" t="str">
        <f>IF(Table2[[#This Row],[Performance_Rating]]&gt;=3,Table2[[#This Row],[Monthly_Salary]]*0.3,"")</f>
        <v/>
      </c>
      <c r="T152">
        <v>90</v>
      </c>
      <c r="U152">
        <v>5</v>
      </c>
      <c r="V152">
        <v>1</v>
      </c>
      <c r="W152" t="s">
        <v>37</v>
      </c>
      <c r="X152" t="s">
        <v>38</v>
      </c>
      <c r="Y152" t="str">
        <f>IF(Table2[[#This Row],[Work_Mode]]&lt;&gt;"",Table2[[#This Row],[Work_Mode]],
IF(ISNUMBER(SEARCH("India",Table2[[#This Row],[Emp_Name]])),"Office",
IF(ISNUMBER(SEARCH("Foreign",Table2[[#This Row],[Emp_Name]])),"Remote","")))</f>
        <v>Hybrid</v>
      </c>
      <c r="Z152">
        <v>10</v>
      </c>
      <c r="AA15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152" t="s">
        <v>39</v>
      </c>
      <c r="AC152" t="str">
        <f>IF(COUNTIF(Table2[Emp_ID],Table2[[#This Row],[Emp_ID]])&gt;1,"Duplicate","Unique")</f>
        <v>Unique</v>
      </c>
      <c r="AE152" s="2"/>
      <c r="AG152" t="str">
        <f>IF(Table2[[#This Row],[Monthly_Salary]]="","Exclude",
IF(Table2[[#This Row],[Row_Status]]="Mismatch","Exclude",
IF(AND(Table2[[#This Row],[Row_Status]]="Exact Duplicate",
COUNTIFS(Table2[Emp_ID],Table2[[#This Row],[Emp_ID]],Table2[Row_Concat],Table2[[#This Row],[Row_Concat]],
Table2[Row_Number],"&lt;"&amp;Table2[[#This Row],[Row_Number]])&gt;=1),"Delete","")))</f>
        <v/>
      </c>
      <c r="AH152" t="str">
        <f>VLOOKUP(Table2[[#This Row],[Department]],Raw_2!A:B,2,0)</f>
        <v>Day</v>
      </c>
      <c r="AI152">
        <f>VLOOKUP(Table2[[#This Row],[Department]],Raw_2!A:C,3,0)</f>
        <v>14</v>
      </c>
    </row>
    <row r="153" spans="1:35">
      <c r="A153" t="s">
        <v>351</v>
      </c>
      <c r="B153" t="s">
        <v>352</v>
      </c>
      <c r="C153">
        <v>25</v>
      </c>
      <c r="D153" t="s">
        <v>25</v>
      </c>
      <c r="E153" t="str">
        <f>IF(OR(Table2[[#This Row],[Gender]]="Male",Table2[[#This Row],[Gender]]="M"),"M",
IF(OR(Table2[[#This Row],[Gender]]="Female",Table2[[#This Row],[Gender]]="F"),"F",""))</f>
        <v>F</v>
      </c>
      <c r="F153" t="s">
        <v>26</v>
      </c>
      <c r="G153" t="s">
        <v>36</v>
      </c>
      <c r="H153" t="s">
        <v>51</v>
      </c>
      <c r="I153" t="s">
        <v>1060</v>
      </c>
      <c r="J153" t="str">
        <f>IF(ISNUMBER(SEARCH("India",Table2[[#This Row],[Emp_Name]])),"INR",
IF(ISNUMBER(SEARCH("Foreign",Table2[[#This Row],[Emp_Name]])),Table2[[#This Row],[Currency]],Table2[[#This Row],[Currency]]))</f>
        <v>INR</v>
      </c>
      <c r="K153">
        <v>36000</v>
      </c>
      <c r="L153">
        <v>12</v>
      </c>
      <c r="M153">
        <f>IF(Table2[[#This Row],[Num_Month]]&lt;&gt;12,12,Table2[[#This Row],[Num_Month]])</f>
        <v>12</v>
      </c>
      <c r="N153">
        <f>IF(Table2[[#This Row],[Monthly_Salary]]="","",Table2[[#This Row],[Monthly_Salary]]*Table2[[#This Row],[Num_Month_Final]])</f>
        <v>432000</v>
      </c>
      <c r="O153">
        <v>3</v>
      </c>
      <c r="P153">
        <f>IF(Table2[[#This Row],[Exp_Years]]&lt;0,ABS(Table2[[#This Row],[Exp_Years]]),Table2[[#This Row],[Exp_Years]])</f>
        <v>3</v>
      </c>
      <c r="Q153">
        <v>3</v>
      </c>
      <c r="R153">
        <v>10500</v>
      </c>
      <c r="S153">
        <f>IF(Table2[[#This Row],[Performance_Rating]]&gt;=3,Table2[[#This Row],[Monthly_Salary]]*0.3,"")</f>
        <v>10800</v>
      </c>
      <c r="T153">
        <v>90</v>
      </c>
      <c r="U153">
        <v>23</v>
      </c>
      <c r="V153">
        <v>2</v>
      </c>
      <c r="X153" t="s">
        <v>38</v>
      </c>
      <c r="Y153" t="str">
        <f>IF(Table2[[#This Row],[Work_Mode]]&lt;&gt;"",Table2[[#This Row],[Work_Mode]],
IF(ISNUMBER(SEARCH("India",Table2[[#This Row],[Emp_Name]])),"Office",
IF(ISNUMBER(SEARCH("Foreign",Table2[[#This Row],[Emp_Name]])),"Remote","")))</f>
        <v>Hybrid</v>
      </c>
      <c r="Z153">
        <v>10</v>
      </c>
      <c r="AA15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153" t="s">
        <v>22</v>
      </c>
      <c r="AC153" t="str">
        <f>IF(COUNTIF(Table2[Emp_ID],Table2[[#This Row],[Emp_ID]])&gt;1,"Duplicate","Unique")</f>
        <v>Unique</v>
      </c>
      <c r="AE153" s="2"/>
      <c r="AG153" t="str">
        <f>IF(Table2[[#This Row],[Monthly_Salary]]="","Exclude",
IF(Table2[[#This Row],[Row_Status]]="Mismatch","Exclude",
IF(AND(Table2[[#This Row],[Row_Status]]="Exact Duplicate",
COUNTIFS(Table2[Emp_ID],Table2[[#This Row],[Emp_ID]],Table2[Row_Concat],Table2[[#This Row],[Row_Concat]],
Table2[Row_Number],"&lt;"&amp;Table2[[#This Row],[Row_Number]])&gt;=1),"Delete","")))</f>
        <v/>
      </c>
      <c r="AH153" t="str">
        <f>VLOOKUP(Table2[[#This Row],[Department]],Raw_2!A:B,2,0)</f>
        <v>Day</v>
      </c>
      <c r="AI153">
        <f>VLOOKUP(Table2[[#This Row],[Department]],Raw_2!A:C,3,0)</f>
        <v>25</v>
      </c>
    </row>
    <row r="154" spans="1:35">
      <c r="A154" t="s">
        <v>353</v>
      </c>
      <c r="B154" t="s">
        <v>354</v>
      </c>
      <c r="C154">
        <v>26</v>
      </c>
      <c r="D154" t="s">
        <v>46</v>
      </c>
      <c r="E154" t="str">
        <f>IF(OR(Table2[[#This Row],[Gender]]="Male",Table2[[#This Row],[Gender]]="M"),"M",
IF(OR(Table2[[#This Row],[Gender]]="Female",Table2[[#This Row],[Gender]]="F"),"F",""))</f>
        <v>M</v>
      </c>
      <c r="F154" t="s">
        <v>26</v>
      </c>
      <c r="G154" t="s">
        <v>66</v>
      </c>
      <c r="H154" t="s">
        <v>51</v>
      </c>
      <c r="I154" t="s">
        <v>1060</v>
      </c>
      <c r="J154" t="str">
        <f>IF(ISNUMBER(SEARCH("India",Table2[[#This Row],[Emp_Name]])),"INR",
IF(ISNUMBER(SEARCH("Foreign",Table2[[#This Row],[Emp_Name]])),Table2[[#This Row],[Currency]],Table2[[#This Row],[Currency]]))</f>
        <v>INR</v>
      </c>
      <c r="K154">
        <v>37000</v>
      </c>
      <c r="L154">
        <v>12</v>
      </c>
      <c r="M154">
        <f>IF(Table2[[#This Row],[Num_Month]]&lt;&gt;12,12,Table2[[#This Row],[Num_Month]])</f>
        <v>12</v>
      </c>
      <c r="N154">
        <f>IF(Table2[[#This Row],[Monthly_Salary]]="","",Table2[[#This Row],[Monthly_Salary]]*Table2[[#This Row],[Num_Month_Final]])</f>
        <v>444000</v>
      </c>
      <c r="O154">
        <v>2</v>
      </c>
      <c r="P154">
        <f>IF(Table2[[#This Row],[Exp_Years]]&lt;0,ABS(Table2[[#This Row],[Exp_Years]]),Table2[[#This Row],[Exp_Years]])</f>
        <v>2</v>
      </c>
      <c r="Q154">
        <v>1</v>
      </c>
      <c r="S154" t="str">
        <f>IF(Table2[[#This Row],[Performance_Rating]]&gt;=3,Table2[[#This Row],[Monthly_Salary]]*0.3,"")</f>
        <v/>
      </c>
      <c r="T154">
        <v>80</v>
      </c>
      <c r="U154">
        <v>5</v>
      </c>
      <c r="V154">
        <v>5</v>
      </c>
      <c r="X154" t="s">
        <v>19</v>
      </c>
      <c r="Y154" t="str">
        <f>IF(Table2[[#This Row],[Work_Mode]]&lt;&gt;"",Table2[[#This Row],[Work_Mode]],
IF(ISNUMBER(SEARCH("India",Table2[[#This Row],[Emp_Name]])),"Office",
IF(ISNUMBER(SEARCH("Foreign",Table2[[#This Row],[Emp_Name]])),"Remote","")))</f>
        <v>Office</v>
      </c>
      <c r="Z154">
        <v>5</v>
      </c>
      <c r="AA15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154" t="s">
        <v>39</v>
      </c>
      <c r="AC154" t="str">
        <f>IF(COUNTIF(Table2[Emp_ID],Table2[[#This Row],[Emp_ID]])&gt;1,"Duplicate","Unique")</f>
        <v>Unique</v>
      </c>
      <c r="AE154" s="2"/>
      <c r="AG154" t="str">
        <f>IF(Table2[[#This Row],[Monthly_Salary]]="","Exclude",
IF(Table2[[#This Row],[Row_Status]]="Mismatch","Exclude",
IF(AND(Table2[[#This Row],[Row_Status]]="Exact Duplicate",
COUNTIFS(Table2[Emp_ID],Table2[[#This Row],[Emp_ID]],Table2[Row_Concat],Table2[[#This Row],[Row_Concat]],
Table2[Row_Number],"&lt;"&amp;Table2[[#This Row],[Row_Number]])&gt;=1),"Delete","")))</f>
        <v/>
      </c>
      <c r="AH154" t="str">
        <f>VLOOKUP(Table2[[#This Row],[Department]],Raw_2!A:B,2,0)</f>
        <v>Night</v>
      </c>
      <c r="AI154">
        <f>VLOOKUP(Table2[[#This Row],[Department]],Raw_2!A:C,3,0)</f>
        <v>20</v>
      </c>
    </row>
    <row r="155" spans="1:35">
      <c r="A155" t="s">
        <v>355</v>
      </c>
      <c r="B155" t="s">
        <v>356</v>
      </c>
      <c r="C155">
        <v>26</v>
      </c>
      <c r="D155" t="s">
        <v>46</v>
      </c>
      <c r="E155" t="str">
        <f>IF(OR(Table2[[#This Row],[Gender]]="Male",Table2[[#This Row],[Gender]]="M"),"M",
IF(OR(Table2[[#This Row],[Gender]]="Female",Table2[[#This Row],[Gender]]="F"),"F",""))</f>
        <v>M</v>
      </c>
      <c r="F155" t="s">
        <v>17</v>
      </c>
      <c r="G155" t="s">
        <v>27</v>
      </c>
      <c r="H155" t="s">
        <v>51</v>
      </c>
      <c r="I155" t="s">
        <v>1060</v>
      </c>
      <c r="J155" t="str">
        <f>IF(ISNUMBER(SEARCH("India",Table2[[#This Row],[Emp_Name]])),"INR",
IF(ISNUMBER(SEARCH("Foreign",Table2[[#This Row],[Emp_Name]])),Table2[[#This Row],[Currency]],Table2[[#This Row],[Currency]]))</f>
        <v>INR</v>
      </c>
      <c r="K155">
        <v>36000</v>
      </c>
      <c r="L155">
        <v>12</v>
      </c>
      <c r="M155">
        <f>IF(Table2[[#This Row],[Num_Month]]&lt;&gt;12,12,Table2[[#This Row],[Num_Month]])</f>
        <v>12</v>
      </c>
      <c r="N155">
        <f>IF(Table2[[#This Row],[Monthly_Salary]]="","",Table2[[#This Row],[Monthly_Salary]]*Table2[[#This Row],[Num_Month_Final]])</f>
        <v>432000</v>
      </c>
      <c r="O155">
        <v>3</v>
      </c>
      <c r="P155">
        <f>IF(Table2[[#This Row],[Exp_Years]]&lt;0,ABS(Table2[[#This Row],[Exp_Years]]),Table2[[#This Row],[Exp_Years]])</f>
        <v>3</v>
      </c>
      <c r="Q155">
        <v>3</v>
      </c>
      <c r="R155">
        <v>10500</v>
      </c>
      <c r="S155">
        <f>IF(Table2[[#This Row],[Performance_Rating]]&gt;=3,Table2[[#This Row],[Monthly_Salary]]*0.3,"")</f>
        <v>10800</v>
      </c>
      <c r="T155">
        <v>80</v>
      </c>
      <c r="U155">
        <v>23</v>
      </c>
      <c r="V155">
        <v>7</v>
      </c>
      <c r="W155" t="s">
        <v>37</v>
      </c>
      <c r="X155" t="s">
        <v>38</v>
      </c>
      <c r="Y155" t="str">
        <f>IF(Table2[[#This Row],[Work_Mode]]&lt;&gt;"",Table2[[#This Row],[Work_Mode]],
IF(ISNUMBER(SEARCH("India",Table2[[#This Row],[Emp_Name]])),"Office",
IF(ISNUMBER(SEARCH("Foreign",Table2[[#This Row],[Emp_Name]])),"Remote","")))</f>
        <v>Hybrid</v>
      </c>
      <c r="Z155">
        <v>10</v>
      </c>
      <c r="AA15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155" t="s">
        <v>22</v>
      </c>
      <c r="AC155" t="str">
        <f>IF(COUNTIF(Table2[Emp_ID],Table2[[#This Row],[Emp_ID]])&gt;1,"Duplicate","Unique")</f>
        <v>Unique</v>
      </c>
      <c r="AE155" s="2"/>
      <c r="AG155" t="str">
        <f>IF(Table2[[#This Row],[Monthly_Salary]]="","Exclude",
IF(Table2[[#This Row],[Row_Status]]="Mismatch","Exclude",
IF(AND(Table2[[#This Row],[Row_Status]]="Exact Duplicate",
COUNTIFS(Table2[Emp_ID],Table2[[#This Row],[Emp_ID]],Table2[Row_Concat],Table2[[#This Row],[Row_Concat]],
Table2[Row_Number],"&lt;"&amp;Table2[[#This Row],[Row_Number]])&gt;=1),"Delete","")))</f>
        <v/>
      </c>
      <c r="AH155" t="str">
        <f>VLOOKUP(Table2[[#This Row],[Department]],Raw_2!A:B,2,0)</f>
        <v>Day</v>
      </c>
      <c r="AI155">
        <f>VLOOKUP(Table2[[#This Row],[Department]],Raw_2!A:C,3,0)</f>
        <v>12</v>
      </c>
    </row>
    <row r="156" spans="1:35">
      <c r="A156" t="s">
        <v>357</v>
      </c>
      <c r="B156" t="s">
        <v>358</v>
      </c>
      <c r="C156">
        <v>25</v>
      </c>
      <c r="D156" t="s">
        <v>25</v>
      </c>
      <c r="E156" t="str">
        <f>IF(OR(Table2[[#This Row],[Gender]]="Male",Table2[[#This Row],[Gender]]="M"),"M",
IF(OR(Table2[[#This Row],[Gender]]="Female",Table2[[#This Row],[Gender]]="F"),"F",""))</f>
        <v>F</v>
      </c>
      <c r="F156" t="s">
        <v>64</v>
      </c>
      <c r="G156" t="s">
        <v>18</v>
      </c>
      <c r="H156" t="s">
        <v>51</v>
      </c>
      <c r="I156" t="s">
        <v>1060</v>
      </c>
      <c r="J156" t="str">
        <f>IF(ISNUMBER(SEARCH("India",Table2[[#This Row],[Emp_Name]])),"INR",
IF(ISNUMBER(SEARCH("Foreign",Table2[[#This Row],[Emp_Name]])),Table2[[#This Row],[Currency]],Table2[[#This Row],[Currency]]))</f>
        <v>INR</v>
      </c>
      <c r="K156">
        <v>36000</v>
      </c>
      <c r="L156">
        <v>12</v>
      </c>
      <c r="M156">
        <f>IF(Table2[[#This Row],[Num_Month]]&lt;&gt;12,12,Table2[[#This Row],[Num_Month]])</f>
        <v>12</v>
      </c>
      <c r="N156">
        <f>IF(Table2[[#This Row],[Monthly_Salary]]="","",Table2[[#This Row],[Monthly_Salary]]*Table2[[#This Row],[Num_Month_Final]])</f>
        <v>432000</v>
      </c>
      <c r="O156">
        <v>3</v>
      </c>
      <c r="P156">
        <f>IF(Table2[[#This Row],[Exp_Years]]&lt;0,ABS(Table2[[#This Row],[Exp_Years]]),Table2[[#This Row],[Exp_Years]])</f>
        <v>3</v>
      </c>
      <c r="Q156">
        <v>5</v>
      </c>
      <c r="R156">
        <v>21000</v>
      </c>
      <c r="S156">
        <f>IF(Table2[[#This Row],[Performance_Rating]]&gt;=3,Table2[[#This Row],[Monthly_Salary]]*0.3,"")</f>
        <v>10800</v>
      </c>
      <c r="T156">
        <v>95</v>
      </c>
      <c r="U156">
        <v>23</v>
      </c>
      <c r="V156">
        <v>2</v>
      </c>
      <c r="W156" t="s">
        <v>37</v>
      </c>
      <c r="X156" t="s">
        <v>19</v>
      </c>
      <c r="Y156" t="str">
        <f>IF(Table2[[#This Row],[Work_Mode]]&lt;&gt;"",Table2[[#This Row],[Work_Mode]],
IF(ISNUMBER(SEARCH("India",Table2[[#This Row],[Emp_Name]])),"Office",
IF(ISNUMBER(SEARCH("Foreign",Table2[[#This Row],[Emp_Name]])),"Remote","")))</f>
        <v>Office</v>
      </c>
      <c r="Z156">
        <v>20</v>
      </c>
      <c r="AA15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156" t="s">
        <v>58</v>
      </c>
      <c r="AC156" t="str">
        <f>IF(COUNTIF(Table2[Emp_ID],Table2[[#This Row],[Emp_ID]])&gt;1,"Duplicate","Unique")</f>
        <v>Unique</v>
      </c>
      <c r="AE156" s="2"/>
      <c r="AG156" t="str">
        <f>IF(Table2[[#This Row],[Monthly_Salary]]="","Exclude",
IF(Table2[[#This Row],[Row_Status]]="Mismatch","Exclude",
IF(AND(Table2[[#This Row],[Row_Status]]="Exact Duplicate",
COUNTIFS(Table2[Emp_ID],Table2[[#This Row],[Emp_ID]],Table2[Row_Concat],Table2[[#This Row],[Row_Concat]],
Table2[Row_Number],"&lt;"&amp;Table2[[#This Row],[Row_Number]])&gt;=1),"Delete","")))</f>
        <v/>
      </c>
      <c r="AH156" t="str">
        <f>VLOOKUP(Table2[[#This Row],[Department]],Raw_2!A:B,2,0)</f>
        <v>Day</v>
      </c>
      <c r="AI156">
        <f>VLOOKUP(Table2[[#This Row],[Department]],Raw_2!A:C,3,0)</f>
        <v>10</v>
      </c>
    </row>
    <row r="157" spans="1:35">
      <c r="A157" t="s">
        <v>339</v>
      </c>
      <c r="B157" t="s">
        <v>340</v>
      </c>
      <c r="C157">
        <v>32</v>
      </c>
      <c r="E157" t="str">
        <f>IF(OR(Table2[[#This Row],[Gender]]="Male",Table2[[#This Row],[Gender]]="M"),"M",
IF(OR(Table2[[#This Row],[Gender]]="Female",Table2[[#This Row],[Gender]]="F"),"F",""))</f>
        <v/>
      </c>
      <c r="F157" t="s">
        <v>64</v>
      </c>
      <c r="G157" t="s">
        <v>42</v>
      </c>
      <c r="H157" t="s">
        <v>82</v>
      </c>
      <c r="I157" t="s">
        <v>1059</v>
      </c>
      <c r="J157" t="str">
        <f>IF(ISNUMBER(SEARCH("India",Table2[[#This Row],[Emp_Name]])),"INR",
IF(ISNUMBER(SEARCH("Foreign",Table2[[#This Row],[Emp_Name]])),Table2[[#This Row],[Currency]],Table2[[#This Row],[Currency]]))</f>
        <v>USD</v>
      </c>
      <c r="K157">
        <v>88000</v>
      </c>
      <c r="L157">
        <v>12</v>
      </c>
      <c r="M157">
        <f>IF(Table2[[#This Row],[Num_Month]]&lt;&gt;12,12,Table2[[#This Row],[Num_Month]])</f>
        <v>12</v>
      </c>
      <c r="N157">
        <f>IF(Table2[[#This Row],[Monthly_Salary]]="","",Table2[[#This Row],[Monthly_Salary]]*Table2[[#This Row],[Num_Month_Final]])</f>
        <v>1056000</v>
      </c>
      <c r="O157">
        <v>8</v>
      </c>
      <c r="P157">
        <f>IF(Table2[[#This Row],[Exp_Years]]&lt;0,ABS(Table2[[#This Row],[Exp_Years]]),Table2[[#This Row],[Exp_Years]])</f>
        <v>8</v>
      </c>
      <c r="Q157">
        <v>3</v>
      </c>
      <c r="R157">
        <v>24000</v>
      </c>
      <c r="S157">
        <f>IF(Table2[[#This Row],[Performance_Rating]]&gt;=3,Table2[[#This Row],[Monthly_Salary]]*0.3,"")</f>
        <v>26400</v>
      </c>
      <c r="T157">
        <v>87</v>
      </c>
      <c r="U157">
        <v>5</v>
      </c>
      <c r="V157">
        <v>8</v>
      </c>
      <c r="W157" t="s">
        <v>37</v>
      </c>
      <c r="X157" t="s">
        <v>28</v>
      </c>
      <c r="Y157" t="str">
        <f>IF(Table2[[#This Row],[Work_Mode]]&lt;&gt;"",Table2[[#This Row],[Work_Mode]],
IF(ISNUMBER(SEARCH("India",Table2[[#This Row],[Emp_Name]])),"Office",
IF(ISNUMBER(SEARCH("Foreign",Table2[[#This Row],[Emp_Name]])),"Remote","")))</f>
        <v>Remote</v>
      </c>
      <c r="AA15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57" t="s">
        <v>22</v>
      </c>
      <c r="AC157" t="str">
        <f>IF(COUNTIF(Table2[Emp_ID],Table2[[#This Row],[Emp_ID]])&gt;1,"Duplicate","Unique")</f>
        <v>Duplicate</v>
      </c>
      <c r="AD157" t="str">
        <f>_xlfn.TEXTJOIN("|",TRUE,Table2[[#This Row],[Emp_ID]:[Salary_Band]])</f>
        <v>ZOM1657|Employee_57_Foreign|32|Mumbai|Operations|Manager|USD|USD|88000|12|12|1056000|8|8|3|24000|26400|87|5|8|Yes|Remote|Remote|0|Medium</v>
      </c>
      <c r="AE157" s="2" t="str">
        <f>IF(COUNTIFS(Table2[Emp_ID],Table2[[#This Row],[Emp_ID]],Table2[Row_Concat],Table2[[#This Row],[Row_Concat]])&gt;1,"Exact Duplicate",
IF(COUNTIF(Table2[Emp_ID],Table2[[#This Row],[Emp_ID]])&gt;1,"Mismatch","Unique"))</f>
        <v>Exact Duplicate</v>
      </c>
      <c r="AF157">
        <f>ROW()</f>
        <v>157</v>
      </c>
      <c r="AG157" t="str">
        <f>IF(Table2[[#This Row],[Monthly_Salary]]="","Exclude",
IF(Table2[[#This Row],[Row_Status]]="Mismatch","Exclude",
IF(AND(Table2[[#This Row],[Row_Status]]="Exact Duplicate",
COUNTIFS(Table2[Emp_ID],Table2[[#This Row],[Emp_ID]],Table2[Row_Concat],Table2[[#This Row],[Row_Concat]],
Table2[Row_Number],"&lt;"&amp;Table2[[#This Row],[Row_Number]])&gt;=1),"Delete","")))</f>
        <v>Delete</v>
      </c>
      <c r="AH157" t="str">
        <f>VLOOKUP(Table2[[#This Row],[Department]],Raw_2!A:B,2,0)</f>
        <v>Day</v>
      </c>
      <c r="AI157">
        <f>VLOOKUP(Table2[[#This Row],[Department]],Raw_2!A:C,3,0)</f>
        <v>14</v>
      </c>
    </row>
    <row r="158" spans="1:35">
      <c r="A158" t="s">
        <v>360</v>
      </c>
      <c r="B158" t="s">
        <v>361</v>
      </c>
      <c r="C158">
        <v>20</v>
      </c>
      <c r="E158" t="str">
        <f>IF(OR(Table2[[#This Row],[Gender]]="Male",Table2[[#This Row],[Gender]]="M"),"M",
IF(OR(Table2[[#This Row],[Gender]]="Female",Table2[[#This Row],[Gender]]="F"),"F",""))</f>
        <v/>
      </c>
      <c r="F158" t="s">
        <v>65</v>
      </c>
      <c r="G158" t="s">
        <v>36</v>
      </c>
      <c r="H158" t="s">
        <v>1047</v>
      </c>
      <c r="I158" t="s">
        <v>1059</v>
      </c>
      <c r="J158" t="str">
        <f>IF(ISNUMBER(SEARCH("India",Table2[[#This Row],[Emp_Name]])),"INR",
IF(ISNUMBER(SEARCH("Foreign",Table2[[#This Row],[Emp_Name]])),Table2[[#This Row],[Currency]],Table2[[#This Row],[Currency]]))</f>
        <v>USD</v>
      </c>
      <c r="K158">
        <v>12000</v>
      </c>
      <c r="L158">
        <v>12</v>
      </c>
      <c r="M158">
        <f>IF(Table2[[#This Row],[Num_Month]]&lt;&gt;12,12,Table2[[#This Row],[Num_Month]])</f>
        <v>12</v>
      </c>
      <c r="N158">
        <f>IF(Table2[[#This Row],[Monthly_Salary]]="","",Table2[[#This Row],[Monthly_Salary]]*Table2[[#This Row],[Num_Month_Final]])</f>
        <v>144000</v>
      </c>
      <c r="O158">
        <v>0</v>
      </c>
      <c r="P158">
        <f>IF(Table2[[#This Row],[Exp_Years]]&lt;0,ABS(Table2[[#This Row],[Exp_Years]]),Table2[[#This Row],[Exp_Years]])</f>
        <v>0</v>
      </c>
      <c r="Q158">
        <v>1</v>
      </c>
      <c r="S158" t="str">
        <f>IF(Table2[[#This Row],[Performance_Rating]]&gt;=3,Table2[[#This Row],[Monthly_Salary]]*0.3,"")</f>
        <v/>
      </c>
      <c r="T158">
        <v>85</v>
      </c>
      <c r="U158">
        <v>5</v>
      </c>
      <c r="V158">
        <v>3</v>
      </c>
      <c r="W158" t="s">
        <v>21</v>
      </c>
      <c r="X158" t="s">
        <v>28</v>
      </c>
      <c r="Y158" t="str">
        <f>IF(Table2[[#This Row],[Work_Mode]]&lt;&gt;"",Table2[[#This Row],[Work_Mode]],
IF(ISNUMBER(SEARCH("India",Table2[[#This Row],[Emp_Name]])),"Office",
IF(ISNUMBER(SEARCH("Foreign",Table2[[#This Row],[Emp_Name]])),"Remote","")))</f>
        <v>Remote</v>
      </c>
      <c r="AA15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58" t="s">
        <v>39</v>
      </c>
      <c r="AC158" t="str">
        <f>IF(COUNTIF(Table2[Emp_ID],Table2[[#This Row],[Emp_ID]])&gt;1,"Duplicate","Unique")</f>
        <v>Unique</v>
      </c>
      <c r="AE158" s="2"/>
      <c r="AG158" t="str">
        <f>IF(Table2[[#This Row],[Monthly_Salary]]="","Exclude",
IF(Table2[[#This Row],[Row_Status]]="Mismatch","Exclude",
IF(AND(Table2[[#This Row],[Row_Status]]="Exact Duplicate",
COUNTIFS(Table2[Emp_ID],Table2[[#This Row],[Emp_ID]],Table2[Row_Concat],Table2[[#This Row],[Row_Concat]],
Table2[Row_Number],"&lt;"&amp;Table2[[#This Row],[Row_Number]])&gt;=1),"Delete","")))</f>
        <v/>
      </c>
      <c r="AH158" t="str">
        <f>VLOOKUP(Table2[[#This Row],[Department]],Raw_2!A:B,2,0)</f>
        <v>Day</v>
      </c>
      <c r="AI158">
        <f>VLOOKUP(Table2[[#This Row],[Department]],Raw_2!A:C,3,0)</f>
        <v>25</v>
      </c>
    </row>
    <row r="159" spans="1:35">
      <c r="A159" t="s">
        <v>362</v>
      </c>
      <c r="B159" t="s">
        <v>363</v>
      </c>
      <c r="C159">
        <v>21</v>
      </c>
      <c r="D159" t="s">
        <v>16</v>
      </c>
      <c r="E159" t="str">
        <f>IF(OR(Table2[[#This Row],[Gender]]="Male",Table2[[#This Row],[Gender]]="M"),"M",
IF(OR(Table2[[#This Row],[Gender]]="Female",Table2[[#This Row],[Gender]]="F"),"F",""))</f>
        <v>M</v>
      </c>
      <c r="F159" t="s">
        <v>64</v>
      </c>
      <c r="G159" t="s">
        <v>42</v>
      </c>
      <c r="H159" t="s">
        <v>1047</v>
      </c>
      <c r="I159" t="s">
        <v>1060</v>
      </c>
      <c r="J159" t="str">
        <f>IF(ISNUMBER(SEARCH("India",Table2[[#This Row],[Emp_Name]])),"INR",
IF(ISNUMBER(SEARCH("Foreign",Table2[[#This Row],[Emp_Name]])),Table2[[#This Row],[Currency]],Table2[[#This Row],[Currency]]))</f>
        <v>INR</v>
      </c>
      <c r="K159">
        <v>7000</v>
      </c>
      <c r="L159">
        <v>12</v>
      </c>
      <c r="M159">
        <f>IF(Table2[[#This Row],[Num_Month]]&lt;&gt;12,12,Table2[[#This Row],[Num_Month]])</f>
        <v>12</v>
      </c>
      <c r="N159">
        <f>IF(Table2[[#This Row],[Monthly_Salary]]="","",Table2[[#This Row],[Monthly_Salary]]*Table2[[#This Row],[Num_Month_Final]])</f>
        <v>84000</v>
      </c>
      <c r="O159">
        <v>1</v>
      </c>
      <c r="P159">
        <f>IF(Table2[[#This Row],[Exp_Years]]&lt;0,ABS(Table2[[#This Row],[Exp_Years]]),Table2[[#This Row],[Exp_Years]])</f>
        <v>1</v>
      </c>
      <c r="Q159">
        <v>2</v>
      </c>
      <c r="S159" t="str">
        <f>IF(Table2[[#This Row],[Performance_Rating]]&gt;=3,Table2[[#This Row],[Monthly_Salary]]*0.3,"")</f>
        <v/>
      </c>
      <c r="T159">
        <v>95</v>
      </c>
      <c r="U159">
        <v>10</v>
      </c>
      <c r="V159">
        <v>12</v>
      </c>
      <c r="W159" t="s">
        <v>21</v>
      </c>
      <c r="X159" t="s">
        <v>38</v>
      </c>
      <c r="Y159" t="str">
        <f>IF(Table2[[#This Row],[Work_Mode]]&lt;&gt;"",Table2[[#This Row],[Work_Mode]],
IF(ISNUMBER(SEARCH("India",Table2[[#This Row],[Emp_Name]])),"Office",
IF(ISNUMBER(SEARCH("Foreign",Table2[[#This Row],[Emp_Name]])),"Remote","")))</f>
        <v>Hybrid</v>
      </c>
      <c r="Z159">
        <v>5</v>
      </c>
      <c r="AA15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159" t="s">
        <v>39</v>
      </c>
      <c r="AC159" t="str">
        <f>IF(COUNTIF(Table2[Emp_ID],Table2[[#This Row],[Emp_ID]])&gt;1,"Duplicate","Unique")</f>
        <v>Unique</v>
      </c>
      <c r="AE159" s="2"/>
      <c r="AG159" t="str">
        <f>IF(Table2[[#This Row],[Monthly_Salary]]="","Exclude",
IF(Table2[[#This Row],[Row_Status]]="Mismatch","Exclude",
IF(AND(Table2[[#This Row],[Row_Status]]="Exact Duplicate",
COUNTIFS(Table2[Emp_ID],Table2[[#This Row],[Emp_ID]],Table2[Row_Concat],Table2[[#This Row],[Row_Concat]],
Table2[Row_Number],"&lt;"&amp;Table2[[#This Row],[Row_Number]])&gt;=1),"Delete","")))</f>
        <v/>
      </c>
      <c r="AH159" t="str">
        <f>VLOOKUP(Table2[[#This Row],[Department]],Raw_2!A:B,2,0)</f>
        <v>Day</v>
      </c>
      <c r="AI159">
        <f>VLOOKUP(Table2[[#This Row],[Department]],Raw_2!A:C,3,0)</f>
        <v>14</v>
      </c>
    </row>
    <row r="160" spans="1:35">
      <c r="A160" t="s">
        <v>364</v>
      </c>
      <c r="B160" t="s">
        <v>365</v>
      </c>
      <c r="C160">
        <v>20</v>
      </c>
      <c r="E160" t="str">
        <f>IF(OR(Table2[[#This Row],[Gender]]="Male",Table2[[#This Row],[Gender]]="M"),"M",
IF(OR(Table2[[#This Row],[Gender]]="Female",Table2[[#This Row],[Gender]]="F"),"F",""))</f>
        <v/>
      </c>
      <c r="F160" t="s">
        <v>35</v>
      </c>
      <c r="G160" t="s">
        <v>27</v>
      </c>
      <c r="H160" t="s">
        <v>1047</v>
      </c>
      <c r="I160" t="s">
        <v>1060</v>
      </c>
      <c r="J160" t="str">
        <f>IF(ISNUMBER(SEARCH("India",Table2[[#This Row],[Emp_Name]])),"INR",
IF(ISNUMBER(SEARCH("Foreign",Table2[[#This Row],[Emp_Name]])),Table2[[#This Row],[Currency]],Table2[[#This Row],[Currency]]))</f>
        <v>INR</v>
      </c>
      <c r="K160">
        <v>9000</v>
      </c>
      <c r="L160">
        <v>12</v>
      </c>
      <c r="M160">
        <f>IF(Table2[[#This Row],[Num_Month]]&lt;&gt;12,12,Table2[[#This Row],[Num_Month]])</f>
        <v>12</v>
      </c>
      <c r="N160">
        <f>IF(Table2[[#This Row],[Monthly_Salary]]="","",Table2[[#This Row],[Monthly_Salary]]*Table2[[#This Row],[Num_Month_Final]])</f>
        <v>108000</v>
      </c>
      <c r="O160">
        <v>0</v>
      </c>
      <c r="P160">
        <f>IF(Table2[[#This Row],[Exp_Years]]&lt;0,ABS(Table2[[#This Row],[Exp_Years]]),Table2[[#This Row],[Exp_Years]])</f>
        <v>0</v>
      </c>
      <c r="Q160">
        <v>2</v>
      </c>
      <c r="S160" t="str">
        <f>IF(Table2[[#This Row],[Performance_Rating]]&gt;=3,Table2[[#This Row],[Monthly_Salary]]*0.3,"")</f>
        <v/>
      </c>
      <c r="T160">
        <v>95</v>
      </c>
      <c r="U160">
        <v>10</v>
      </c>
      <c r="V160">
        <v>9</v>
      </c>
      <c r="W160" t="s">
        <v>21</v>
      </c>
      <c r="X160" t="s">
        <v>38</v>
      </c>
      <c r="Y160" t="str">
        <f>IF(Table2[[#This Row],[Work_Mode]]&lt;&gt;"",Table2[[#This Row],[Work_Mode]],
IF(ISNUMBER(SEARCH("India",Table2[[#This Row],[Emp_Name]])),"Office",
IF(ISNUMBER(SEARCH("Foreign",Table2[[#This Row],[Emp_Name]])),"Remote","")))</f>
        <v>Hybrid</v>
      </c>
      <c r="Z160">
        <v>10</v>
      </c>
      <c r="AA16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160" t="s">
        <v>39</v>
      </c>
      <c r="AC160" t="str">
        <f>IF(COUNTIF(Table2[Emp_ID],Table2[[#This Row],[Emp_ID]])&gt;1,"Duplicate","Unique")</f>
        <v>Unique</v>
      </c>
      <c r="AE160" s="2"/>
      <c r="AG160" t="str">
        <f>IF(Table2[[#This Row],[Monthly_Salary]]="","Exclude",
IF(Table2[[#This Row],[Row_Status]]="Mismatch","Exclude",
IF(AND(Table2[[#This Row],[Row_Status]]="Exact Duplicate",
COUNTIFS(Table2[Emp_ID],Table2[[#This Row],[Emp_ID]],Table2[Row_Concat],Table2[[#This Row],[Row_Concat]],
Table2[Row_Number],"&lt;"&amp;Table2[[#This Row],[Row_Number]])&gt;=1),"Delete","")))</f>
        <v/>
      </c>
      <c r="AH160" t="str">
        <f>VLOOKUP(Table2[[#This Row],[Department]],Raw_2!A:B,2,0)</f>
        <v>Day</v>
      </c>
      <c r="AI160">
        <f>VLOOKUP(Table2[[#This Row],[Department]],Raw_2!A:C,3,0)</f>
        <v>12</v>
      </c>
    </row>
    <row r="161" spans="1:35">
      <c r="A161" t="s">
        <v>366</v>
      </c>
      <c r="B161" t="s">
        <v>367</v>
      </c>
      <c r="C161">
        <v>21</v>
      </c>
      <c r="D161" t="s">
        <v>25</v>
      </c>
      <c r="E161" t="str">
        <f>IF(OR(Table2[[#This Row],[Gender]]="Male",Table2[[#This Row],[Gender]]="M"),"M",
IF(OR(Table2[[#This Row],[Gender]]="Female",Table2[[#This Row],[Gender]]="F"),"F",""))</f>
        <v>F</v>
      </c>
      <c r="F161" t="s">
        <v>57</v>
      </c>
      <c r="G161" t="s">
        <v>27</v>
      </c>
      <c r="H161" t="s">
        <v>1047</v>
      </c>
      <c r="I161" t="s">
        <v>1060</v>
      </c>
      <c r="J161" t="str">
        <f>IF(ISNUMBER(SEARCH("India",Table2[[#This Row],[Emp_Name]])),"INR",
IF(ISNUMBER(SEARCH("Foreign",Table2[[#This Row],[Emp_Name]])),Table2[[#This Row],[Currency]],Table2[[#This Row],[Currency]]))</f>
        <v>INR</v>
      </c>
      <c r="K161">
        <v>6000</v>
      </c>
      <c r="L161">
        <v>12</v>
      </c>
      <c r="M161">
        <f>IF(Table2[[#This Row],[Num_Month]]&lt;&gt;12,12,Table2[[#This Row],[Num_Month]])</f>
        <v>12</v>
      </c>
      <c r="N161">
        <f>IF(Table2[[#This Row],[Monthly_Salary]]="","",Table2[[#This Row],[Monthly_Salary]]*Table2[[#This Row],[Num_Month_Final]])</f>
        <v>72000</v>
      </c>
      <c r="O161">
        <v>1</v>
      </c>
      <c r="P161">
        <f>IF(Table2[[#This Row],[Exp_Years]]&lt;0,ABS(Table2[[#This Row],[Exp_Years]]),Table2[[#This Row],[Exp_Years]])</f>
        <v>1</v>
      </c>
      <c r="Q161">
        <v>2</v>
      </c>
      <c r="S161" t="str">
        <f>IF(Table2[[#This Row],[Performance_Rating]]&gt;=3,Table2[[#This Row],[Monthly_Salary]]*0.3,"")</f>
        <v/>
      </c>
      <c r="T161">
        <v>90</v>
      </c>
      <c r="U161">
        <v>10</v>
      </c>
      <c r="V161">
        <v>5</v>
      </c>
      <c r="W161" t="s">
        <v>21</v>
      </c>
      <c r="X161" t="s">
        <v>38</v>
      </c>
      <c r="Y161" t="str">
        <f>IF(Table2[[#This Row],[Work_Mode]]&lt;&gt;"",Table2[[#This Row],[Work_Mode]],
IF(ISNUMBER(SEARCH("India",Table2[[#This Row],[Emp_Name]])),"Office",
IF(ISNUMBER(SEARCH("Foreign",Table2[[#This Row],[Emp_Name]])),"Remote","")))</f>
        <v>Hybrid</v>
      </c>
      <c r="Z161">
        <v>10</v>
      </c>
      <c r="AA16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161" t="s">
        <v>39</v>
      </c>
      <c r="AC161" t="str">
        <f>IF(COUNTIF(Table2[Emp_ID],Table2[[#This Row],[Emp_ID]])&gt;1,"Duplicate","Unique")</f>
        <v>Unique</v>
      </c>
      <c r="AE161" s="2"/>
      <c r="AG161" t="str">
        <f>IF(Table2[[#This Row],[Monthly_Salary]]="","Exclude",
IF(Table2[[#This Row],[Row_Status]]="Mismatch","Exclude",
IF(AND(Table2[[#This Row],[Row_Status]]="Exact Duplicate",
COUNTIFS(Table2[Emp_ID],Table2[[#This Row],[Emp_ID]],Table2[Row_Concat],Table2[[#This Row],[Row_Concat]],
Table2[Row_Number],"&lt;"&amp;Table2[[#This Row],[Row_Number]])&gt;=1),"Delete","")))</f>
        <v/>
      </c>
      <c r="AH161" t="str">
        <f>VLOOKUP(Table2[[#This Row],[Department]],Raw_2!A:B,2,0)</f>
        <v>Day</v>
      </c>
      <c r="AI161">
        <f>VLOOKUP(Table2[[#This Row],[Department]],Raw_2!A:C,3,0)</f>
        <v>12</v>
      </c>
    </row>
    <row r="162" spans="1:35">
      <c r="A162" t="s">
        <v>368</v>
      </c>
      <c r="B162" t="s">
        <v>369</v>
      </c>
      <c r="C162">
        <v>26</v>
      </c>
      <c r="D162" t="s">
        <v>16</v>
      </c>
      <c r="E162" t="str">
        <f>IF(OR(Table2[[#This Row],[Gender]]="Male",Table2[[#This Row],[Gender]]="M"),"M",
IF(OR(Table2[[#This Row],[Gender]]="Female",Table2[[#This Row],[Gender]]="F"),"F",""))</f>
        <v>M</v>
      </c>
      <c r="F162" t="s">
        <v>47</v>
      </c>
      <c r="G162" t="s">
        <v>31</v>
      </c>
      <c r="H162" t="s">
        <v>1045</v>
      </c>
      <c r="I162" t="s">
        <v>1060</v>
      </c>
      <c r="J162" t="str">
        <f>IF(ISNUMBER(SEARCH("India",Table2[[#This Row],[Emp_Name]])),"INR",
IF(ISNUMBER(SEARCH("Foreign",Table2[[#This Row],[Emp_Name]])),Table2[[#This Row],[Currency]],Table2[[#This Row],[Currency]]))</f>
        <v>INR</v>
      </c>
      <c r="K162">
        <v>74000</v>
      </c>
      <c r="L162">
        <v>12</v>
      </c>
      <c r="M162">
        <f>IF(Table2[[#This Row],[Num_Month]]&lt;&gt;12,12,Table2[[#This Row],[Num_Month]])</f>
        <v>12</v>
      </c>
      <c r="N162">
        <f>IF(Table2[[#This Row],[Monthly_Salary]]="","",Table2[[#This Row],[Monthly_Salary]]*Table2[[#This Row],[Num_Month_Final]])</f>
        <v>888000</v>
      </c>
      <c r="O162">
        <v>5</v>
      </c>
      <c r="P162">
        <f>IF(Table2[[#This Row],[Exp_Years]]&lt;0,ABS(Table2[[#This Row],[Exp_Years]]),Table2[[#This Row],[Exp_Years]])</f>
        <v>5</v>
      </c>
      <c r="Q162">
        <v>2</v>
      </c>
      <c r="S162" t="str">
        <f>IF(Table2[[#This Row],[Performance_Rating]]&gt;=3,Table2[[#This Row],[Monthly_Salary]]*0.3,"")</f>
        <v/>
      </c>
      <c r="T162">
        <v>87</v>
      </c>
      <c r="U162">
        <v>23</v>
      </c>
      <c r="V162">
        <v>3</v>
      </c>
      <c r="W162" t="s">
        <v>37</v>
      </c>
      <c r="X162" t="s">
        <v>38</v>
      </c>
      <c r="Y162" t="str">
        <f>IF(Table2[[#This Row],[Work_Mode]]&lt;&gt;"",Table2[[#This Row],[Work_Mode]],
IF(ISNUMBER(SEARCH("India",Table2[[#This Row],[Emp_Name]])),"Office",
IF(ISNUMBER(SEARCH("Foreign",Table2[[#This Row],[Emp_Name]])),"Remote","")))</f>
        <v>Hybrid</v>
      </c>
      <c r="Z162">
        <v>10</v>
      </c>
      <c r="AA16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162" t="s">
        <v>39</v>
      </c>
      <c r="AC162" t="str">
        <f>IF(COUNTIF(Table2[Emp_ID],Table2[[#This Row],[Emp_ID]])&gt;1,"Duplicate","Unique")</f>
        <v>Unique</v>
      </c>
      <c r="AE162" s="2"/>
      <c r="AG162" t="str">
        <f>IF(Table2[[#This Row],[Monthly_Salary]]="","Exclude",
IF(Table2[[#This Row],[Row_Status]]="Mismatch","Exclude",
IF(AND(Table2[[#This Row],[Row_Status]]="Exact Duplicate",
COUNTIFS(Table2[Emp_ID],Table2[[#This Row],[Emp_ID]],Table2[Row_Concat],Table2[[#This Row],[Row_Concat]],
Table2[Row_Number],"&lt;"&amp;Table2[[#This Row],[Row_Number]])&gt;=1),"Delete","")))</f>
        <v/>
      </c>
      <c r="AH162" t="str">
        <f>VLOOKUP(Table2[[#This Row],[Department]],Raw_2!A:B,2,0)</f>
        <v>Night</v>
      </c>
      <c r="AI162">
        <f>VLOOKUP(Table2[[#This Row],[Department]],Raw_2!A:C,3,0)</f>
        <v>13</v>
      </c>
    </row>
    <row r="163" spans="1:35">
      <c r="A163" t="s">
        <v>370</v>
      </c>
      <c r="B163" t="s">
        <v>371</v>
      </c>
      <c r="C163">
        <v>20</v>
      </c>
      <c r="D163" t="s">
        <v>34</v>
      </c>
      <c r="E163" t="str">
        <f>IF(OR(Table2[[#This Row],[Gender]]="Male",Table2[[#This Row],[Gender]]="M"),"M",
IF(OR(Table2[[#This Row],[Gender]]="Female",Table2[[#This Row],[Gender]]="F"),"F",""))</f>
        <v>F</v>
      </c>
      <c r="F163" t="s">
        <v>35</v>
      </c>
      <c r="G163" t="s">
        <v>27</v>
      </c>
      <c r="H163" t="s">
        <v>1047</v>
      </c>
      <c r="I163" t="s">
        <v>1060</v>
      </c>
      <c r="J163" t="str">
        <f>IF(ISNUMBER(SEARCH("India",Table2[[#This Row],[Emp_Name]])),"INR",
IF(ISNUMBER(SEARCH("Foreign",Table2[[#This Row],[Emp_Name]])),Table2[[#This Row],[Currency]],Table2[[#This Row],[Currency]]))</f>
        <v>INR</v>
      </c>
      <c r="K163">
        <v>9000</v>
      </c>
      <c r="L163">
        <v>12</v>
      </c>
      <c r="M163">
        <f>IF(Table2[[#This Row],[Num_Month]]&lt;&gt;12,12,Table2[[#This Row],[Num_Month]])</f>
        <v>12</v>
      </c>
      <c r="N163">
        <f>IF(Table2[[#This Row],[Monthly_Salary]]="","",Table2[[#This Row],[Monthly_Salary]]*Table2[[#This Row],[Num_Month_Final]])</f>
        <v>108000</v>
      </c>
      <c r="O163">
        <v>0</v>
      </c>
      <c r="P163">
        <f>IF(Table2[[#This Row],[Exp_Years]]&lt;0,ABS(Table2[[#This Row],[Exp_Years]]),Table2[[#This Row],[Exp_Years]])</f>
        <v>0</v>
      </c>
      <c r="Q163">
        <v>2</v>
      </c>
      <c r="S163" t="str">
        <f>IF(Table2[[#This Row],[Performance_Rating]]&gt;=3,Table2[[#This Row],[Monthly_Salary]]*0.3,"")</f>
        <v/>
      </c>
      <c r="T163">
        <v>80</v>
      </c>
      <c r="U163">
        <v>5</v>
      </c>
      <c r="V163">
        <v>7</v>
      </c>
      <c r="W163" t="s">
        <v>21</v>
      </c>
      <c r="X163" t="s">
        <v>19</v>
      </c>
      <c r="Y163" t="str">
        <f>IF(Table2[[#This Row],[Work_Mode]]&lt;&gt;"",Table2[[#This Row],[Work_Mode]],
IF(ISNUMBER(SEARCH("India",Table2[[#This Row],[Emp_Name]])),"Office",
IF(ISNUMBER(SEARCH("Foreign",Table2[[#This Row],[Emp_Name]])),"Remote","")))</f>
        <v>Office</v>
      </c>
      <c r="Z163">
        <v>5</v>
      </c>
      <c r="AA16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163" t="s">
        <v>39</v>
      </c>
      <c r="AC163" t="str">
        <f>IF(COUNTIF(Table2[Emp_ID],Table2[[#This Row],[Emp_ID]])&gt;1,"Duplicate","Unique")</f>
        <v>Unique</v>
      </c>
      <c r="AE163" s="2"/>
      <c r="AG163" t="str">
        <f>IF(Table2[[#This Row],[Monthly_Salary]]="","Exclude",
IF(Table2[[#This Row],[Row_Status]]="Mismatch","Exclude",
IF(AND(Table2[[#This Row],[Row_Status]]="Exact Duplicate",
COUNTIFS(Table2[Emp_ID],Table2[[#This Row],[Emp_ID]],Table2[Row_Concat],Table2[[#This Row],[Row_Concat]],
Table2[Row_Number],"&lt;"&amp;Table2[[#This Row],[Row_Number]])&gt;=1),"Delete","")))</f>
        <v/>
      </c>
      <c r="AH163" t="str">
        <f>VLOOKUP(Table2[[#This Row],[Department]],Raw_2!A:B,2,0)</f>
        <v>Day</v>
      </c>
      <c r="AI163">
        <f>VLOOKUP(Table2[[#This Row],[Department]],Raw_2!A:C,3,0)</f>
        <v>12</v>
      </c>
    </row>
    <row r="164" spans="1:35">
      <c r="A164" t="s">
        <v>372</v>
      </c>
      <c r="B164" t="s">
        <v>373</v>
      </c>
      <c r="C164">
        <v>19</v>
      </c>
      <c r="D164" t="s">
        <v>34</v>
      </c>
      <c r="E164" t="str">
        <f>IF(OR(Table2[[#This Row],[Gender]]="Male",Table2[[#This Row],[Gender]]="M"),"M",
IF(OR(Table2[[#This Row],[Gender]]="Female",Table2[[#This Row],[Gender]]="F"),"F",""))</f>
        <v>F</v>
      </c>
      <c r="F164" t="s">
        <v>35</v>
      </c>
      <c r="G164" t="s">
        <v>42</v>
      </c>
      <c r="H164" t="s">
        <v>1047</v>
      </c>
      <c r="I164" t="s">
        <v>1060</v>
      </c>
      <c r="J164" t="str">
        <f>IF(ISNUMBER(SEARCH("India",Table2[[#This Row],[Emp_Name]])),"INR",
IF(ISNUMBER(SEARCH("Foreign",Table2[[#This Row],[Emp_Name]])),Table2[[#This Row],[Currency]],Table2[[#This Row],[Currency]]))</f>
        <v>INR</v>
      </c>
      <c r="K164">
        <v>9000</v>
      </c>
      <c r="L164">
        <v>12</v>
      </c>
      <c r="M164">
        <f>IF(Table2[[#This Row],[Num_Month]]&lt;&gt;12,12,Table2[[#This Row],[Num_Month]])</f>
        <v>12</v>
      </c>
      <c r="N164">
        <f>IF(Table2[[#This Row],[Monthly_Salary]]="","",Table2[[#This Row],[Monthly_Salary]]*Table2[[#This Row],[Num_Month_Final]])</f>
        <v>108000</v>
      </c>
      <c r="O164">
        <v>1</v>
      </c>
      <c r="P164">
        <f>IF(Table2[[#This Row],[Exp_Years]]&lt;0,ABS(Table2[[#This Row],[Exp_Years]]),Table2[[#This Row],[Exp_Years]])</f>
        <v>1</v>
      </c>
      <c r="Q164">
        <v>4</v>
      </c>
      <c r="R164">
        <v>4000</v>
      </c>
      <c r="S164">
        <f>IF(Table2[[#This Row],[Performance_Rating]]&gt;=3,Table2[[#This Row],[Monthly_Salary]]*0.3,"")</f>
        <v>2700</v>
      </c>
      <c r="T164">
        <v>90</v>
      </c>
      <c r="U164">
        <v>23</v>
      </c>
      <c r="V164">
        <v>3</v>
      </c>
      <c r="W164" t="s">
        <v>21</v>
      </c>
      <c r="X164" t="s">
        <v>19</v>
      </c>
      <c r="Y164" t="str">
        <f>IF(Table2[[#This Row],[Work_Mode]]&lt;&gt;"",Table2[[#This Row],[Work_Mode]],
IF(ISNUMBER(SEARCH("India",Table2[[#This Row],[Emp_Name]])),"Office",
IF(ISNUMBER(SEARCH("Foreign",Table2[[#This Row],[Emp_Name]])),"Remote","")))</f>
        <v>Office</v>
      </c>
      <c r="Z164">
        <v>25</v>
      </c>
      <c r="AA16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6250</v>
      </c>
      <c r="AB164" t="s">
        <v>22</v>
      </c>
      <c r="AC164" t="str">
        <f>IF(COUNTIF(Table2[Emp_ID],Table2[[#This Row],[Emp_ID]])&gt;1,"Duplicate","Unique")</f>
        <v>Unique</v>
      </c>
      <c r="AE164" s="2"/>
      <c r="AG164" t="str">
        <f>IF(Table2[[#This Row],[Monthly_Salary]]="","Exclude",
IF(Table2[[#This Row],[Row_Status]]="Mismatch","Exclude",
IF(AND(Table2[[#This Row],[Row_Status]]="Exact Duplicate",
COUNTIFS(Table2[Emp_ID],Table2[[#This Row],[Emp_ID]],Table2[Row_Concat],Table2[[#This Row],[Row_Concat]],
Table2[Row_Number],"&lt;"&amp;Table2[[#This Row],[Row_Number]])&gt;=1),"Delete","")))</f>
        <v/>
      </c>
      <c r="AH164" t="str">
        <f>VLOOKUP(Table2[[#This Row],[Department]],Raw_2!A:B,2,0)</f>
        <v>Day</v>
      </c>
      <c r="AI164">
        <f>VLOOKUP(Table2[[#This Row],[Department]],Raw_2!A:C,3,0)</f>
        <v>14</v>
      </c>
    </row>
    <row r="165" spans="1:35">
      <c r="A165" t="s">
        <v>374</v>
      </c>
      <c r="B165" t="s">
        <v>375</v>
      </c>
      <c r="C165">
        <v>21</v>
      </c>
      <c r="D165" t="s">
        <v>34</v>
      </c>
      <c r="E165" t="str">
        <f>IF(OR(Table2[[#This Row],[Gender]]="Male",Table2[[#This Row],[Gender]]="M"),"M",
IF(OR(Table2[[#This Row],[Gender]]="Female",Table2[[#This Row],[Gender]]="F"),"F",""))</f>
        <v>F</v>
      </c>
      <c r="F165" t="s">
        <v>50</v>
      </c>
      <c r="G165" t="s">
        <v>66</v>
      </c>
      <c r="H165" t="s">
        <v>1047</v>
      </c>
      <c r="I165" t="s">
        <v>1060</v>
      </c>
      <c r="J165" t="str">
        <f>IF(ISNUMBER(SEARCH("India",Table2[[#This Row],[Emp_Name]])),"INR",
IF(ISNUMBER(SEARCH("Foreign",Table2[[#This Row],[Emp_Name]])),Table2[[#This Row],[Currency]],Table2[[#This Row],[Currency]]))</f>
        <v>INR</v>
      </c>
      <c r="K165">
        <v>9000</v>
      </c>
      <c r="L165">
        <v>12</v>
      </c>
      <c r="M165">
        <f>IF(Table2[[#This Row],[Num_Month]]&lt;&gt;12,12,Table2[[#This Row],[Num_Month]])</f>
        <v>12</v>
      </c>
      <c r="N165">
        <f>IF(Table2[[#This Row],[Monthly_Salary]]="","",Table2[[#This Row],[Monthly_Salary]]*Table2[[#This Row],[Num_Month_Final]])</f>
        <v>108000</v>
      </c>
      <c r="O165">
        <v>0</v>
      </c>
      <c r="P165">
        <f>IF(Table2[[#This Row],[Exp_Years]]&lt;0,ABS(Table2[[#This Row],[Exp_Years]]),Table2[[#This Row],[Exp_Years]])</f>
        <v>0</v>
      </c>
      <c r="Q165">
        <v>3</v>
      </c>
      <c r="R165">
        <v>3000</v>
      </c>
      <c r="S165">
        <f>IF(Table2[[#This Row],[Performance_Rating]]&gt;=3,Table2[[#This Row],[Monthly_Salary]]*0.3,"")</f>
        <v>2700</v>
      </c>
      <c r="T165">
        <v>87</v>
      </c>
      <c r="U165">
        <v>10</v>
      </c>
      <c r="V165">
        <v>5</v>
      </c>
      <c r="W165" t="s">
        <v>21</v>
      </c>
      <c r="X165" t="s">
        <v>19</v>
      </c>
      <c r="Y165" t="str">
        <f>IF(Table2[[#This Row],[Work_Mode]]&lt;&gt;"",Table2[[#This Row],[Work_Mode]],
IF(ISNUMBER(SEARCH("India",Table2[[#This Row],[Emp_Name]])),"Office",
IF(ISNUMBER(SEARCH("Foreign",Table2[[#This Row],[Emp_Name]])),"Remote","")))</f>
        <v>Office</v>
      </c>
      <c r="AA16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65" t="s">
        <v>22</v>
      </c>
      <c r="AC165" t="str">
        <f>IF(COUNTIF(Table2[Emp_ID],Table2[[#This Row],[Emp_ID]])&gt;1,"Duplicate","Unique")</f>
        <v>Unique</v>
      </c>
      <c r="AE165" s="2"/>
      <c r="AG165" t="str">
        <f>IF(Table2[[#This Row],[Monthly_Salary]]="","Exclude",
IF(Table2[[#This Row],[Row_Status]]="Mismatch","Exclude",
IF(AND(Table2[[#This Row],[Row_Status]]="Exact Duplicate",
COUNTIFS(Table2[Emp_ID],Table2[[#This Row],[Emp_ID]],Table2[Row_Concat],Table2[[#This Row],[Row_Concat]],
Table2[Row_Number],"&lt;"&amp;Table2[[#This Row],[Row_Number]])&gt;=1),"Delete","")))</f>
        <v/>
      </c>
      <c r="AH165" t="str">
        <f>VLOOKUP(Table2[[#This Row],[Department]],Raw_2!A:B,2,0)</f>
        <v>Night</v>
      </c>
      <c r="AI165">
        <f>VLOOKUP(Table2[[#This Row],[Department]],Raw_2!A:C,3,0)</f>
        <v>20</v>
      </c>
    </row>
    <row r="166" spans="1:35">
      <c r="A166" t="s">
        <v>376</v>
      </c>
      <c r="B166" t="s">
        <v>377</v>
      </c>
      <c r="C166">
        <v>21</v>
      </c>
      <c r="D166" t="s">
        <v>46</v>
      </c>
      <c r="E166" t="str">
        <f>IF(OR(Table2[[#This Row],[Gender]]="Male",Table2[[#This Row],[Gender]]="M"),"M",
IF(OR(Table2[[#This Row],[Gender]]="Female",Table2[[#This Row],[Gender]]="F"),"F",""))</f>
        <v>M</v>
      </c>
      <c r="F166" t="s">
        <v>57</v>
      </c>
      <c r="G166" t="s">
        <v>42</v>
      </c>
      <c r="H166" t="s">
        <v>1046</v>
      </c>
      <c r="I166" t="s">
        <v>1060</v>
      </c>
      <c r="J166" t="str">
        <f>IF(ISNUMBER(SEARCH("India",Table2[[#This Row],[Emp_Name]])),"INR",
IF(ISNUMBER(SEARCH("Foreign",Table2[[#This Row],[Emp_Name]])),Table2[[#This Row],[Currency]],Table2[[#This Row],[Currency]]))</f>
        <v>INR</v>
      </c>
      <c r="K166">
        <v>20000</v>
      </c>
      <c r="L166">
        <v>12</v>
      </c>
      <c r="M166">
        <f>IF(Table2[[#This Row],[Num_Month]]&lt;&gt;12,12,Table2[[#This Row],[Num_Month]])</f>
        <v>12</v>
      </c>
      <c r="N166">
        <f>IF(Table2[[#This Row],[Monthly_Salary]]="","",Table2[[#This Row],[Monthly_Salary]]*Table2[[#This Row],[Num_Month_Final]])</f>
        <v>240000</v>
      </c>
      <c r="O166">
        <v>0</v>
      </c>
      <c r="P166">
        <f>IF(Table2[[#This Row],[Exp_Years]]&lt;0,ABS(Table2[[#This Row],[Exp_Years]]),Table2[[#This Row],[Exp_Years]])</f>
        <v>0</v>
      </c>
      <c r="Q166">
        <v>2</v>
      </c>
      <c r="S166" t="str">
        <f>IF(Table2[[#This Row],[Performance_Rating]]&gt;=3,Table2[[#This Row],[Monthly_Salary]]*0.3,"")</f>
        <v/>
      </c>
      <c r="T166">
        <v>80</v>
      </c>
      <c r="U166">
        <v>12</v>
      </c>
      <c r="V166">
        <v>2</v>
      </c>
      <c r="W166" t="s">
        <v>37</v>
      </c>
      <c r="X166" t="s">
        <v>38</v>
      </c>
      <c r="Y166" t="str">
        <f>IF(Table2[[#This Row],[Work_Mode]]&lt;&gt;"",Table2[[#This Row],[Work_Mode]],
IF(ISNUMBER(SEARCH("India",Table2[[#This Row],[Emp_Name]])),"Office",
IF(ISNUMBER(SEARCH("Foreign",Table2[[#This Row],[Emp_Name]])),"Remote","")))</f>
        <v>Hybrid</v>
      </c>
      <c r="Z166">
        <v>10</v>
      </c>
      <c r="AA16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166" t="s">
        <v>39</v>
      </c>
      <c r="AC166" t="str">
        <f>IF(COUNTIF(Table2[Emp_ID],Table2[[#This Row],[Emp_ID]])&gt;1,"Duplicate","Unique")</f>
        <v>Unique</v>
      </c>
      <c r="AE166" s="2"/>
      <c r="AG166" t="str">
        <f>IF(Table2[[#This Row],[Monthly_Salary]]="","Exclude",
IF(Table2[[#This Row],[Row_Status]]="Mismatch","Exclude",
IF(AND(Table2[[#This Row],[Row_Status]]="Exact Duplicate",
COUNTIFS(Table2[Emp_ID],Table2[[#This Row],[Emp_ID]],Table2[Row_Concat],Table2[[#This Row],[Row_Concat]],
Table2[Row_Number],"&lt;"&amp;Table2[[#This Row],[Row_Number]])&gt;=1),"Delete","")))</f>
        <v/>
      </c>
      <c r="AH166" t="str">
        <f>VLOOKUP(Table2[[#This Row],[Department]],Raw_2!A:B,2,0)</f>
        <v>Day</v>
      </c>
      <c r="AI166">
        <f>VLOOKUP(Table2[[#This Row],[Department]],Raw_2!A:C,3,0)</f>
        <v>14</v>
      </c>
    </row>
    <row r="167" spans="1:35">
      <c r="A167" t="s">
        <v>378</v>
      </c>
      <c r="B167" t="s">
        <v>379</v>
      </c>
      <c r="C167">
        <v>23</v>
      </c>
      <c r="D167" t="s">
        <v>16</v>
      </c>
      <c r="E167" t="str">
        <f>IF(OR(Table2[[#This Row],[Gender]]="Male",Table2[[#This Row],[Gender]]="M"),"M",
IF(OR(Table2[[#This Row],[Gender]]="Female",Table2[[#This Row],[Gender]]="F"),"F",""))</f>
        <v>M</v>
      </c>
      <c r="F167" t="s">
        <v>61</v>
      </c>
      <c r="G167" t="s">
        <v>27</v>
      </c>
      <c r="H167" t="s">
        <v>1046</v>
      </c>
      <c r="I167" t="s">
        <v>1060</v>
      </c>
      <c r="J167" t="str">
        <f>IF(ISNUMBER(SEARCH("India",Table2[[#This Row],[Emp_Name]])),"INR",
IF(ISNUMBER(SEARCH("Foreign",Table2[[#This Row],[Emp_Name]])),Table2[[#This Row],[Currency]],Table2[[#This Row],[Currency]]))</f>
        <v>INR</v>
      </c>
      <c r="K167">
        <v>29000</v>
      </c>
      <c r="L167">
        <v>12</v>
      </c>
      <c r="M167">
        <f>IF(Table2[[#This Row],[Num_Month]]&lt;&gt;12,12,Table2[[#This Row],[Num_Month]])</f>
        <v>12</v>
      </c>
      <c r="N167">
        <f>IF(Table2[[#This Row],[Monthly_Salary]]="","",Table2[[#This Row],[Monthly_Salary]]*Table2[[#This Row],[Num_Month_Final]])</f>
        <v>348000</v>
      </c>
      <c r="O167">
        <v>0</v>
      </c>
      <c r="P167">
        <f>IF(Table2[[#This Row],[Exp_Years]]&lt;0,ABS(Table2[[#This Row],[Exp_Years]]),Table2[[#This Row],[Exp_Years]])</f>
        <v>0</v>
      </c>
      <c r="Q167">
        <v>4</v>
      </c>
      <c r="R167">
        <v>7000</v>
      </c>
      <c r="S167">
        <f>IF(Table2[[#This Row],[Performance_Rating]]&gt;=3,Table2[[#This Row],[Monthly_Salary]]*0.3,"")</f>
        <v>8700</v>
      </c>
      <c r="T167">
        <v>90</v>
      </c>
      <c r="U167">
        <v>12</v>
      </c>
      <c r="V167">
        <v>5</v>
      </c>
      <c r="W167" t="s">
        <v>21</v>
      </c>
      <c r="X167" t="s">
        <v>38</v>
      </c>
      <c r="Y167" t="str">
        <f>IF(Table2[[#This Row],[Work_Mode]]&lt;&gt;"",Table2[[#This Row],[Work_Mode]],
IF(ISNUMBER(SEARCH("India",Table2[[#This Row],[Emp_Name]])),"Office",
IF(ISNUMBER(SEARCH("Foreign",Table2[[#This Row],[Emp_Name]])),"Remote","")))</f>
        <v>Hybrid</v>
      </c>
      <c r="Z167">
        <v>5</v>
      </c>
      <c r="AA16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167" t="s">
        <v>22</v>
      </c>
      <c r="AC167" t="str">
        <f>IF(COUNTIF(Table2[Emp_ID],Table2[[#This Row],[Emp_ID]])&gt;1,"Duplicate","Unique")</f>
        <v>Unique</v>
      </c>
      <c r="AE167" s="2"/>
      <c r="AG167" t="str">
        <f>IF(Table2[[#This Row],[Monthly_Salary]]="","Exclude",
IF(Table2[[#This Row],[Row_Status]]="Mismatch","Exclude",
IF(AND(Table2[[#This Row],[Row_Status]]="Exact Duplicate",
COUNTIFS(Table2[Emp_ID],Table2[[#This Row],[Emp_ID]],Table2[Row_Concat],Table2[[#This Row],[Row_Concat]],
Table2[Row_Number],"&lt;"&amp;Table2[[#This Row],[Row_Number]])&gt;=1),"Delete","")))</f>
        <v/>
      </c>
      <c r="AH167" t="str">
        <f>VLOOKUP(Table2[[#This Row],[Department]],Raw_2!A:B,2,0)</f>
        <v>Day</v>
      </c>
      <c r="AI167">
        <f>VLOOKUP(Table2[[#This Row],[Department]],Raw_2!A:C,3,0)</f>
        <v>12</v>
      </c>
    </row>
    <row r="168" spans="1:35">
      <c r="A168" t="s">
        <v>380</v>
      </c>
      <c r="B168" t="s">
        <v>381</v>
      </c>
      <c r="C168">
        <v>20</v>
      </c>
      <c r="D168" t="s">
        <v>34</v>
      </c>
      <c r="E168" t="str">
        <f>IF(OR(Table2[[#This Row],[Gender]]="Male",Table2[[#This Row],[Gender]]="M"),"M",
IF(OR(Table2[[#This Row],[Gender]]="Female",Table2[[#This Row],[Gender]]="F"),"F",""))</f>
        <v>F</v>
      </c>
      <c r="F168" t="s">
        <v>65</v>
      </c>
      <c r="G168" t="s">
        <v>36</v>
      </c>
      <c r="H168" t="s">
        <v>1047</v>
      </c>
      <c r="I168" t="s">
        <v>1059</v>
      </c>
      <c r="J168" t="str">
        <f>IF(ISNUMBER(SEARCH("India",Table2[[#This Row],[Emp_Name]])),"INR",
IF(ISNUMBER(SEARCH("Foreign",Table2[[#This Row],[Emp_Name]])),Table2[[#This Row],[Currency]],Table2[[#This Row],[Currency]]))</f>
        <v>USD</v>
      </c>
      <c r="K168">
        <v>9000</v>
      </c>
      <c r="L168">
        <v>12</v>
      </c>
      <c r="M168">
        <f>IF(Table2[[#This Row],[Num_Month]]&lt;&gt;12,12,Table2[[#This Row],[Num_Month]])</f>
        <v>12</v>
      </c>
      <c r="N168">
        <f>IF(Table2[[#This Row],[Monthly_Salary]]="","",Table2[[#This Row],[Monthly_Salary]]*Table2[[#This Row],[Num_Month_Final]])</f>
        <v>108000</v>
      </c>
      <c r="O168">
        <v>0</v>
      </c>
      <c r="P168">
        <f>IF(Table2[[#This Row],[Exp_Years]]&lt;0,ABS(Table2[[#This Row],[Exp_Years]]),Table2[[#This Row],[Exp_Years]])</f>
        <v>0</v>
      </c>
      <c r="Q168">
        <v>1</v>
      </c>
      <c r="S168" t="str">
        <f>IF(Table2[[#This Row],[Performance_Rating]]&gt;=3,Table2[[#This Row],[Monthly_Salary]]*0.3,"")</f>
        <v/>
      </c>
      <c r="T168">
        <v>95</v>
      </c>
      <c r="U168">
        <v>12</v>
      </c>
      <c r="V168">
        <v>3</v>
      </c>
      <c r="W168" t="s">
        <v>21</v>
      </c>
      <c r="X168" t="s">
        <v>28</v>
      </c>
      <c r="Y168" t="str">
        <f>IF(Table2[[#This Row],[Work_Mode]]&lt;&gt;"",Table2[[#This Row],[Work_Mode]],
IF(ISNUMBER(SEARCH("India",Table2[[#This Row],[Emp_Name]])),"Office",
IF(ISNUMBER(SEARCH("Foreign",Table2[[#This Row],[Emp_Name]])),"Remote","")))</f>
        <v>Remote</v>
      </c>
      <c r="AA16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68" t="s">
        <v>39</v>
      </c>
      <c r="AC168" t="str">
        <f>IF(COUNTIF(Table2[Emp_ID],Table2[[#This Row],[Emp_ID]])&gt;1,"Duplicate","Unique")</f>
        <v>Unique</v>
      </c>
      <c r="AE168" s="2"/>
      <c r="AG168" t="str">
        <f>IF(Table2[[#This Row],[Monthly_Salary]]="","Exclude",
IF(Table2[[#This Row],[Row_Status]]="Mismatch","Exclude",
IF(AND(Table2[[#This Row],[Row_Status]]="Exact Duplicate",
COUNTIFS(Table2[Emp_ID],Table2[[#This Row],[Emp_ID]],Table2[Row_Concat],Table2[[#This Row],[Row_Concat]],
Table2[Row_Number],"&lt;"&amp;Table2[[#This Row],[Row_Number]])&gt;=1),"Delete","")))</f>
        <v/>
      </c>
      <c r="AH168" t="str">
        <f>VLOOKUP(Table2[[#This Row],[Department]],Raw_2!A:B,2,0)</f>
        <v>Day</v>
      </c>
      <c r="AI168">
        <f>VLOOKUP(Table2[[#This Row],[Department]],Raw_2!A:C,3,0)</f>
        <v>25</v>
      </c>
    </row>
    <row r="169" spans="1:35">
      <c r="A169" t="s">
        <v>382</v>
      </c>
      <c r="B169" t="s">
        <v>383</v>
      </c>
      <c r="C169">
        <v>21</v>
      </c>
      <c r="D169" t="s">
        <v>25</v>
      </c>
      <c r="E169" t="str">
        <f>IF(OR(Table2[[#This Row],[Gender]]="Male",Table2[[#This Row],[Gender]]="M"),"M",
IF(OR(Table2[[#This Row],[Gender]]="Female",Table2[[#This Row],[Gender]]="F"),"F",""))</f>
        <v>F</v>
      </c>
      <c r="F169" t="s">
        <v>47</v>
      </c>
      <c r="G169" t="s">
        <v>42</v>
      </c>
      <c r="H169" t="s">
        <v>1046</v>
      </c>
      <c r="I169" t="s">
        <v>1060</v>
      </c>
      <c r="J169" t="str">
        <f>IF(ISNUMBER(SEARCH("India",Table2[[#This Row],[Emp_Name]])),"INR",
IF(ISNUMBER(SEARCH("Foreign",Table2[[#This Row],[Emp_Name]])),Table2[[#This Row],[Currency]],Table2[[#This Row],[Currency]]))</f>
        <v>INR</v>
      </c>
      <c r="K169">
        <v>24000</v>
      </c>
      <c r="L169">
        <v>12</v>
      </c>
      <c r="M169">
        <f>IF(Table2[[#This Row],[Num_Month]]&lt;&gt;12,12,Table2[[#This Row],[Num_Month]])</f>
        <v>12</v>
      </c>
      <c r="N169">
        <f>IF(Table2[[#This Row],[Monthly_Salary]]="","",Table2[[#This Row],[Monthly_Salary]]*Table2[[#This Row],[Num_Month_Final]])</f>
        <v>288000</v>
      </c>
      <c r="O169">
        <v>2</v>
      </c>
      <c r="P169">
        <f>IF(Table2[[#This Row],[Exp_Years]]&lt;0,ABS(Table2[[#This Row],[Exp_Years]]),Table2[[#This Row],[Exp_Years]])</f>
        <v>2</v>
      </c>
      <c r="Q169">
        <v>5</v>
      </c>
      <c r="R169">
        <v>9000</v>
      </c>
      <c r="S169">
        <f>IF(Table2[[#This Row],[Performance_Rating]]&gt;=3,Table2[[#This Row],[Monthly_Salary]]*0.3,"")</f>
        <v>7200</v>
      </c>
      <c r="T169">
        <v>80</v>
      </c>
      <c r="U169">
        <v>5</v>
      </c>
      <c r="V169">
        <v>1</v>
      </c>
      <c r="X169" t="s">
        <v>38</v>
      </c>
      <c r="Y169" t="str">
        <f>IF(Table2[[#This Row],[Work_Mode]]&lt;&gt;"",Table2[[#This Row],[Work_Mode]],
IF(ISNUMBER(SEARCH("India",Table2[[#This Row],[Emp_Name]])),"Office",
IF(ISNUMBER(SEARCH("Foreign",Table2[[#This Row],[Emp_Name]])),"Remote","")))</f>
        <v>Hybrid</v>
      </c>
      <c r="AA16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69" t="s">
        <v>58</v>
      </c>
      <c r="AC169" t="str">
        <f>IF(COUNTIF(Table2[Emp_ID],Table2[[#This Row],[Emp_ID]])&gt;1,"Duplicate","Unique")</f>
        <v>Unique</v>
      </c>
      <c r="AE169" s="2"/>
      <c r="AG169" t="str">
        <f>IF(Table2[[#This Row],[Monthly_Salary]]="","Exclude",
IF(Table2[[#This Row],[Row_Status]]="Mismatch","Exclude",
IF(AND(Table2[[#This Row],[Row_Status]]="Exact Duplicate",
COUNTIFS(Table2[Emp_ID],Table2[[#This Row],[Emp_ID]],Table2[Row_Concat],Table2[[#This Row],[Row_Concat]],
Table2[Row_Number],"&lt;"&amp;Table2[[#This Row],[Row_Number]])&gt;=1),"Delete","")))</f>
        <v/>
      </c>
      <c r="AH169" t="str">
        <f>VLOOKUP(Table2[[#This Row],[Department]],Raw_2!A:B,2,0)</f>
        <v>Day</v>
      </c>
      <c r="AI169">
        <f>VLOOKUP(Table2[[#This Row],[Department]],Raw_2!A:C,3,0)</f>
        <v>14</v>
      </c>
    </row>
    <row r="170" spans="1:35">
      <c r="A170" t="s">
        <v>384</v>
      </c>
      <c r="B170" t="s">
        <v>385</v>
      </c>
      <c r="C170">
        <v>20</v>
      </c>
      <c r="D170" t="s">
        <v>25</v>
      </c>
      <c r="E170" t="str">
        <f>IF(OR(Table2[[#This Row],[Gender]]="Male",Table2[[#This Row],[Gender]]="M"),"M",
IF(OR(Table2[[#This Row],[Gender]]="Female",Table2[[#This Row],[Gender]]="F"),"F",""))</f>
        <v>F</v>
      </c>
      <c r="F170" t="s">
        <v>61</v>
      </c>
      <c r="G170" t="s">
        <v>36</v>
      </c>
      <c r="H170" t="s">
        <v>1047</v>
      </c>
      <c r="I170" t="s">
        <v>1060</v>
      </c>
      <c r="J170" t="str">
        <f>IF(ISNUMBER(SEARCH("India",Table2[[#This Row],[Emp_Name]])),"INR",
IF(ISNUMBER(SEARCH("Foreign",Table2[[#This Row],[Emp_Name]])),Table2[[#This Row],[Currency]],Table2[[#This Row],[Currency]]))</f>
        <v>INR</v>
      </c>
      <c r="K170">
        <v>9000</v>
      </c>
      <c r="L170">
        <v>12</v>
      </c>
      <c r="M170">
        <f>IF(Table2[[#This Row],[Num_Month]]&lt;&gt;12,12,Table2[[#This Row],[Num_Month]])</f>
        <v>12</v>
      </c>
      <c r="N170">
        <f>IF(Table2[[#This Row],[Monthly_Salary]]="","",Table2[[#This Row],[Monthly_Salary]]*Table2[[#This Row],[Num_Month_Final]])</f>
        <v>108000</v>
      </c>
      <c r="O170">
        <v>1</v>
      </c>
      <c r="P170">
        <f>IF(Table2[[#This Row],[Exp_Years]]&lt;0,ABS(Table2[[#This Row],[Exp_Years]]),Table2[[#This Row],[Exp_Years]])</f>
        <v>1</v>
      </c>
      <c r="Q170">
        <v>1</v>
      </c>
      <c r="S170" t="str">
        <f>IF(Table2[[#This Row],[Performance_Rating]]&gt;=3,Table2[[#This Row],[Monthly_Salary]]*0.3,"")</f>
        <v/>
      </c>
      <c r="T170">
        <v>85</v>
      </c>
      <c r="U170">
        <v>15</v>
      </c>
      <c r="V170">
        <v>3</v>
      </c>
      <c r="W170" t="s">
        <v>21</v>
      </c>
      <c r="X170" t="s">
        <v>38</v>
      </c>
      <c r="Y170" t="str">
        <f>IF(Table2[[#This Row],[Work_Mode]]&lt;&gt;"",Table2[[#This Row],[Work_Mode]],
IF(ISNUMBER(SEARCH("India",Table2[[#This Row],[Emp_Name]])),"Office",
IF(ISNUMBER(SEARCH("Foreign",Table2[[#This Row],[Emp_Name]])),"Remote","")))</f>
        <v>Hybrid</v>
      </c>
      <c r="Z170">
        <v>10</v>
      </c>
      <c r="AA17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170" t="s">
        <v>39</v>
      </c>
      <c r="AC170" t="str">
        <f>IF(COUNTIF(Table2[Emp_ID],Table2[[#This Row],[Emp_ID]])&gt;1,"Duplicate","Unique")</f>
        <v>Unique</v>
      </c>
      <c r="AE170" s="2"/>
      <c r="AG170" t="str">
        <f>IF(Table2[[#This Row],[Monthly_Salary]]="","Exclude",
IF(Table2[[#This Row],[Row_Status]]="Mismatch","Exclude",
IF(AND(Table2[[#This Row],[Row_Status]]="Exact Duplicate",
COUNTIFS(Table2[Emp_ID],Table2[[#This Row],[Emp_ID]],Table2[Row_Concat],Table2[[#This Row],[Row_Concat]],
Table2[Row_Number],"&lt;"&amp;Table2[[#This Row],[Row_Number]])&gt;=1),"Delete","")))</f>
        <v/>
      </c>
      <c r="AH170" t="str">
        <f>VLOOKUP(Table2[[#This Row],[Department]],Raw_2!A:B,2,0)</f>
        <v>Day</v>
      </c>
      <c r="AI170">
        <f>VLOOKUP(Table2[[#This Row],[Department]],Raw_2!A:C,3,0)</f>
        <v>25</v>
      </c>
    </row>
    <row r="171" spans="1:35">
      <c r="A171" t="s">
        <v>386</v>
      </c>
      <c r="B171" t="s">
        <v>387</v>
      </c>
      <c r="C171">
        <v>24</v>
      </c>
      <c r="D171" t="s">
        <v>46</v>
      </c>
      <c r="E171" t="str">
        <f>IF(OR(Table2[[#This Row],[Gender]]="Male",Table2[[#This Row],[Gender]]="M"),"M",
IF(OR(Table2[[#This Row],[Gender]]="Female",Table2[[#This Row],[Gender]]="F"),"F",""))</f>
        <v>M</v>
      </c>
      <c r="F171" t="s">
        <v>26</v>
      </c>
      <c r="G171" t="s">
        <v>42</v>
      </c>
      <c r="H171" t="s">
        <v>1048</v>
      </c>
      <c r="I171" t="s">
        <v>1060</v>
      </c>
      <c r="J171" t="str">
        <f>IF(ISNUMBER(SEARCH("India",Table2[[#This Row],[Emp_Name]])),"INR",
IF(ISNUMBER(SEARCH("Foreign",Table2[[#This Row],[Emp_Name]])),Table2[[#This Row],[Currency]],Table2[[#This Row],[Currency]]))</f>
        <v>INR</v>
      </c>
      <c r="K171">
        <v>65600</v>
      </c>
      <c r="L171">
        <v>12</v>
      </c>
      <c r="M171">
        <f>IF(Table2[[#This Row],[Num_Month]]&lt;&gt;12,12,Table2[[#This Row],[Num_Month]])</f>
        <v>12</v>
      </c>
      <c r="N171">
        <f>IF(Table2[[#This Row],[Monthly_Salary]]="","",Table2[[#This Row],[Monthly_Salary]]*Table2[[#This Row],[Num_Month_Final]])</f>
        <v>787200</v>
      </c>
      <c r="O171">
        <v>5</v>
      </c>
      <c r="P171">
        <f>IF(Table2[[#This Row],[Exp_Years]]&lt;0,ABS(Table2[[#This Row],[Exp_Years]]),Table2[[#This Row],[Exp_Years]])</f>
        <v>5</v>
      </c>
      <c r="Q171">
        <v>3</v>
      </c>
      <c r="R171">
        <v>19000</v>
      </c>
      <c r="S171">
        <f>IF(Table2[[#This Row],[Performance_Rating]]&gt;=3,Table2[[#This Row],[Monthly_Salary]]*0.3,"")</f>
        <v>19680</v>
      </c>
      <c r="T171">
        <v>80</v>
      </c>
      <c r="U171">
        <v>5</v>
      </c>
      <c r="V171">
        <v>5</v>
      </c>
      <c r="W171" t="s">
        <v>37</v>
      </c>
      <c r="X171" t="s">
        <v>38</v>
      </c>
      <c r="Y171" t="str">
        <f>IF(Table2[[#This Row],[Work_Mode]]&lt;&gt;"",Table2[[#This Row],[Work_Mode]],
IF(ISNUMBER(SEARCH("India",Table2[[#This Row],[Emp_Name]])),"Office",
IF(ISNUMBER(SEARCH("Foreign",Table2[[#This Row],[Emp_Name]])),"Remote","")))</f>
        <v>Hybrid</v>
      </c>
      <c r="Z171">
        <v>10</v>
      </c>
      <c r="AA17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171" t="s">
        <v>22</v>
      </c>
      <c r="AC171" t="str">
        <f>IF(COUNTIF(Table2[Emp_ID],Table2[[#This Row],[Emp_ID]])&gt;1,"Duplicate","Unique")</f>
        <v>Unique</v>
      </c>
      <c r="AE171" s="2"/>
      <c r="AG171" t="str">
        <f>IF(Table2[[#This Row],[Monthly_Salary]]="","Exclude",
IF(Table2[[#This Row],[Row_Status]]="Mismatch","Exclude",
IF(AND(Table2[[#This Row],[Row_Status]]="Exact Duplicate",
COUNTIFS(Table2[Emp_ID],Table2[[#This Row],[Emp_ID]],Table2[Row_Concat],Table2[[#This Row],[Row_Concat]],
Table2[Row_Number],"&lt;"&amp;Table2[[#This Row],[Row_Number]])&gt;=1),"Delete","")))</f>
        <v/>
      </c>
      <c r="AH171" t="str">
        <f>VLOOKUP(Table2[[#This Row],[Department]],Raw_2!A:B,2,0)</f>
        <v>Day</v>
      </c>
      <c r="AI171">
        <f>VLOOKUP(Table2[[#This Row],[Department]],Raw_2!A:C,3,0)</f>
        <v>14</v>
      </c>
    </row>
    <row r="172" spans="1:35">
      <c r="A172" t="s">
        <v>388</v>
      </c>
      <c r="B172" t="s">
        <v>389</v>
      </c>
      <c r="C172">
        <v>25</v>
      </c>
      <c r="D172" t="s">
        <v>34</v>
      </c>
      <c r="E172" t="str">
        <f>IF(OR(Table2[[#This Row],[Gender]]="Male",Table2[[#This Row],[Gender]]="M"),"M",
IF(OR(Table2[[#This Row],[Gender]]="Female",Table2[[#This Row],[Gender]]="F"),"F",""))</f>
        <v>F</v>
      </c>
      <c r="F172" t="s">
        <v>65</v>
      </c>
      <c r="G172" t="s">
        <v>18</v>
      </c>
      <c r="H172" t="s">
        <v>43</v>
      </c>
      <c r="I172" t="s">
        <v>1059</v>
      </c>
      <c r="J172" t="str">
        <f>IF(ISNUMBER(SEARCH("India",Table2[[#This Row],[Emp_Name]])),"INR",
IF(ISNUMBER(SEARCH("Foreign",Table2[[#This Row],[Emp_Name]])),Table2[[#This Row],[Currency]],Table2[[#This Row],[Currency]]))</f>
        <v>USD</v>
      </c>
      <c r="K172">
        <v>24000</v>
      </c>
      <c r="L172">
        <v>12</v>
      </c>
      <c r="M172">
        <f>IF(Table2[[#This Row],[Num_Month]]&lt;&gt;12,12,Table2[[#This Row],[Num_Month]])</f>
        <v>12</v>
      </c>
      <c r="N172">
        <f>IF(Table2[[#This Row],[Monthly_Salary]]="","",Table2[[#This Row],[Monthly_Salary]]*Table2[[#This Row],[Num_Month_Final]])</f>
        <v>288000</v>
      </c>
      <c r="O172">
        <v>1</v>
      </c>
      <c r="P172">
        <f>IF(Table2[[#This Row],[Exp_Years]]&lt;0,ABS(Table2[[#This Row],[Exp_Years]]),Table2[[#This Row],[Exp_Years]])</f>
        <v>1</v>
      </c>
      <c r="Q172">
        <v>1</v>
      </c>
      <c r="S172" t="str">
        <f>IF(Table2[[#This Row],[Performance_Rating]]&gt;=3,Table2[[#This Row],[Monthly_Salary]]*0.3,"")</f>
        <v/>
      </c>
      <c r="T172">
        <v>95</v>
      </c>
      <c r="U172">
        <v>15</v>
      </c>
      <c r="V172">
        <v>3</v>
      </c>
      <c r="W172" t="s">
        <v>37</v>
      </c>
      <c r="X172" t="s">
        <v>28</v>
      </c>
      <c r="Y172" t="str">
        <f>IF(Table2[[#This Row],[Work_Mode]]&lt;&gt;"",Table2[[#This Row],[Work_Mode]],
IF(ISNUMBER(SEARCH("India",Table2[[#This Row],[Emp_Name]])),"Office",
IF(ISNUMBER(SEARCH("Foreign",Table2[[#This Row],[Emp_Name]])),"Remote","")))</f>
        <v>Remote</v>
      </c>
      <c r="AA17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72" t="s">
        <v>39</v>
      </c>
      <c r="AC172" t="str">
        <f>IF(COUNTIF(Table2[Emp_ID],Table2[[#This Row],[Emp_ID]])&gt;1,"Duplicate","Unique")</f>
        <v>Unique</v>
      </c>
      <c r="AE172" s="2"/>
      <c r="AG172" t="str">
        <f>IF(Table2[[#This Row],[Monthly_Salary]]="","Exclude",
IF(Table2[[#This Row],[Row_Status]]="Mismatch","Exclude",
IF(AND(Table2[[#This Row],[Row_Status]]="Exact Duplicate",
COUNTIFS(Table2[Emp_ID],Table2[[#This Row],[Emp_ID]],Table2[Row_Concat],Table2[[#This Row],[Row_Concat]],
Table2[Row_Number],"&lt;"&amp;Table2[[#This Row],[Row_Number]])&gt;=1),"Delete","")))</f>
        <v/>
      </c>
      <c r="AH172" t="str">
        <f>VLOOKUP(Table2[[#This Row],[Department]],Raw_2!A:B,2,0)</f>
        <v>Day</v>
      </c>
      <c r="AI172">
        <f>VLOOKUP(Table2[[#This Row],[Department]],Raw_2!A:C,3,0)</f>
        <v>10</v>
      </c>
    </row>
    <row r="173" spans="1:35">
      <c r="A173" t="s">
        <v>390</v>
      </c>
      <c r="B173" t="s">
        <v>391</v>
      </c>
      <c r="C173">
        <v>33</v>
      </c>
      <c r="D173" t="s">
        <v>34</v>
      </c>
      <c r="E173" t="str">
        <f>IF(OR(Table2[[#This Row],[Gender]]="Male",Table2[[#This Row],[Gender]]="M"),"M",
IF(OR(Table2[[#This Row],[Gender]]="Female",Table2[[#This Row],[Gender]]="F"),"F",""))</f>
        <v>F</v>
      </c>
      <c r="F173" t="s">
        <v>26</v>
      </c>
      <c r="G173" t="s">
        <v>31</v>
      </c>
      <c r="H173" t="s">
        <v>82</v>
      </c>
      <c r="I173" t="s">
        <v>1060</v>
      </c>
      <c r="J173" t="str">
        <f>IF(ISNUMBER(SEARCH("India",Table2[[#This Row],[Emp_Name]])),"INR",
IF(ISNUMBER(SEARCH("Foreign",Table2[[#This Row],[Emp_Name]])),Table2[[#This Row],[Currency]],Table2[[#This Row],[Currency]]))</f>
        <v>INR</v>
      </c>
      <c r="K173">
        <v>88000</v>
      </c>
      <c r="L173">
        <v>12</v>
      </c>
      <c r="M173">
        <f>IF(Table2[[#This Row],[Num_Month]]&lt;&gt;12,12,Table2[[#This Row],[Num_Month]])</f>
        <v>12</v>
      </c>
      <c r="N173">
        <f>IF(Table2[[#This Row],[Monthly_Salary]]="","",Table2[[#This Row],[Monthly_Salary]]*Table2[[#This Row],[Num_Month_Final]])</f>
        <v>1056000</v>
      </c>
      <c r="O173">
        <v>7</v>
      </c>
      <c r="P173">
        <f>IF(Table2[[#This Row],[Exp_Years]]&lt;0,ABS(Table2[[#This Row],[Exp_Years]]),Table2[[#This Row],[Exp_Years]])</f>
        <v>7</v>
      </c>
      <c r="Q173">
        <v>3</v>
      </c>
      <c r="R173">
        <v>26000</v>
      </c>
      <c r="S173">
        <f>IF(Table2[[#This Row],[Performance_Rating]]&gt;=3,Table2[[#This Row],[Monthly_Salary]]*0.3,"")</f>
        <v>26400</v>
      </c>
      <c r="T173">
        <v>95</v>
      </c>
      <c r="U173">
        <v>12</v>
      </c>
      <c r="V173">
        <v>12</v>
      </c>
      <c r="W173" t="s">
        <v>21</v>
      </c>
      <c r="X173" t="s">
        <v>38</v>
      </c>
      <c r="Y173" t="str">
        <f>IF(Table2[[#This Row],[Work_Mode]]&lt;&gt;"",Table2[[#This Row],[Work_Mode]],
IF(ISNUMBER(SEARCH("India",Table2[[#This Row],[Emp_Name]])),"Office",
IF(ISNUMBER(SEARCH("Foreign",Table2[[#This Row],[Emp_Name]])),"Remote","")))</f>
        <v>Hybrid</v>
      </c>
      <c r="Z173">
        <v>10</v>
      </c>
      <c r="AA17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3500</v>
      </c>
      <c r="AB173" t="s">
        <v>22</v>
      </c>
      <c r="AC173" t="str">
        <f>IF(COUNTIF(Table2[Emp_ID],Table2[[#This Row],[Emp_ID]])&gt;1,"Duplicate","Unique")</f>
        <v>Unique</v>
      </c>
      <c r="AE173" s="2"/>
      <c r="AG173" t="str">
        <f>IF(Table2[[#This Row],[Monthly_Salary]]="","Exclude",
IF(Table2[[#This Row],[Row_Status]]="Mismatch","Exclude",
IF(AND(Table2[[#This Row],[Row_Status]]="Exact Duplicate",
COUNTIFS(Table2[Emp_ID],Table2[[#This Row],[Emp_ID]],Table2[Row_Concat],Table2[[#This Row],[Row_Concat]],
Table2[Row_Number],"&lt;"&amp;Table2[[#This Row],[Row_Number]])&gt;=1),"Delete","")))</f>
        <v/>
      </c>
      <c r="AH173" t="str">
        <f>VLOOKUP(Table2[[#This Row],[Department]],Raw_2!A:B,2,0)</f>
        <v>Night</v>
      </c>
      <c r="AI173">
        <f>VLOOKUP(Table2[[#This Row],[Department]],Raw_2!A:C,3,0)</f>
        <v>13</v>
      </c>
    </row>
    <row r="174" spans="1:35">
      <c r="A174" t="s">
        <v>392</v>
      </c>
      <c r="B174" t="s">
        <v>393</v>
      </c>
      <c r="C174">
        <v>49</v>
      </c>
      <c r="D174" t="s">
        <v>34</v>
      </c>
      <c r="E174" t="str">
        <f>IF(OR(Table2[[#This Row],[Gender]]="Male",Table2[[#This Row],[Gender]]="M"),"M",
IF(OR(Table2[[#This Row],[Gender]]="Female",Table2[[#This Row],[Gender]]="F"),"F",""))</f>
        <v>F</v>
      </c>
      <c r="F174" t="s">
        <v>26</v>
      </c>
      <c r="G174" t="s">
        <v>66</v>
      </c>
      <c r="H174" t="s">
        <v>1050</v>
      </c>
      <c r="I174" t="s">
        <v>1060</v>
      </c>
      <c r="J174" t="str">
        <f>IF(ISNUMBER(SEARCH("India",Table2[[#This Row],[Emp_Name]])),"INR",
IF(ISNUMBER(SEARCH("Foreign",Table2[[#This Row],[Emp_Name]])),Table2[[#This Row],[Currency]],Table2[[#This Row],[Currency]]))</f>
        <v>INR</v>
      </c>
      <c r="K174">
        <v>140000</v>
      </c>
      <c r="L174">
        <v>12</v>
      </c>
      <c r="M174">
        <f>IF(Table2[[#This Row],[Num_Month]]&lt;&gt;12,12,Table2[[#This Row],[Num_Month]])</f>
        <v>12</v>
      </c>
      <c r="N174">
        <f>IF(Table2[[#This Row],[Monthly_Salary]]="","",Table2[[#This Row],[Monthly_Salary]]*Table2[[#This Row],[Num_Month_Final]])</f>
        <v>1680000</v>
      </c>
      <c r="O174">
        <v>17</v>
      </c>
      <c r="P174">
        <f>IF(Table2[[#This Row],[Exp_Years]]&lt;0,ABS(Table2[[#This Row],[Exp_Years]]),Table2[[#This Row],[Exp_Years]])</f>
        <v>17</v>
      </c>
      <c r="Q174">
        <v>2</v>
      </c>
      <c r="S174" t="str">
        <f>IF(Table2[[#This Row],[Performance_Rating]]&gt;=3,Table2[[#This Row],[Monthly_Salary]]*0.3,"")</f>
        <v/>
      </c>
      <c r="T174">
        <v>80</v>
      </c>
      <c r="U174">
        <v>15</v>
      </c>
      <c r="V174">
        <v>1</v>
      </c>
      <c r="W174" t="s">
        <v>37</v>
      </c>
      <c r="X174" t="s">
        <v>38</v>
      </c>
      <c r="Y174" t="str">
        <f>IF(Table2[[#This Row],[Work_Mode]]&lt;&gt;"",Table2[[#This Row],[Work_Mode]],
IF(ISNUMBER(SEARCH("India",Table2[[#This Row],[Emp_Name]])),"Office",
IF(ISNUMBER(SEARCH("Foreign",Table2[[#This Row],[Emp_Name]])),"Remote","")))</f>
        <v>Hybrid</v>
      </c>
      <c r="AA174"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174" t="s">
        <v>39</v>
      </c>
      <c r="AC174" t="str">
        <f>IF(COUNTIF(Table2[Emp_ID],Table2[[#This Row],[Emp_ID]])&gt;1,"Duplicate","Unique")</f>
        <v>Unique</v>
      </c>
      <c r="AE174" s="2"/>
      <c r="AG174" t="str">
        <f>IF(Table2[[#This Row],[Monthly_Salary]]="","Exclude",
IF(Table2[[#This Row],[Row_Status]]="Mismatch","Exclude",
IF(AND(Table2[[#This Row],[Row_Status]]="Exact Duplicate",
COUNTIFS(Table2[Emp_ID],Table2[[#This Row],[Emp_ID]],Table2[Row_Concat],Table2[[#This Row],[Row_Concat]],
Table2[Row_Number],"&lt;"&amp;Table2[[#This Row],[Row_Number]])&gt;=1),"Delete","")))</f>
        <v/>
      </c>
      <c r="AH174" t="str">
        <f>VLOOKUP(Table2[[#This Row],[Department]],Raw_2!A:B,2,0)</f>
        <v>Night</v>
      </c>
      <c r="AI174">
        <f>VLOOKUP(Table2[[#This Row],[Department]],Raw_2!A:C,3,0)</f>
        <v>20</v>
      </c>
    </row>
    <row r="175" spans="1:35">
      <c r="A175" t="s">
        <v>394</v>
      </c>
      <c r="B175" t="s">
        <v>395</v>
      </c>
      <c r="C175">
        <v>20</v>
      </c>
      <c r="D175" t="s">
        <v>34</v>
      </c>
      <c r="E175" t="str">
        <f>IF(OR(Table2[[#This Row],[Gender]]="Male",Table2[[#This Row],[Gender]]="M"),"M",
IF(OR(Table2[[#This Row],[Gender]]="Female",Table2[[#This Row],[Gender]]="F"),"F",""))</f>
        <v>F</v>
      </c>
      <c r="F175" t="s">
        <v>17</v>
      </c>
      <c r="G175" t="s">
        <v>36</v>
      </c>
      <c r="H175" t="s">
        <v>1046</v>
      </c>
      <c r="I175" t="s">
        <v>1060</v>
      </c>
      <c r="J175" t="str">
        <f>IF(ISNUMBER(SEARCH("India",Table2[[#This Row],[Emp_Name]])),"INR",
IF(ISNUMBER(SEARCH("Foreign",Table2[[#This Row],[Emp_Name]])),Table2[[#This Row],[Currency]],Table2[[#This Row],[Currency]]))</f>
        <v>INR</v>
      </c>
      <c r="K175">
        <v>20000</v>
      </c>
      <c r="L175">
        <v>12</v>
      </c>
      <c r="M175">
        <f>IF(Table2[[#This Row],[Num_Month]]&lt;&gt;12,12,Table2[[#This Row],[Num_Month]])</f>
        <v>12</v>
      </c>
      <c r="N175">
        <f>IF(Table2[[#This Row],[Monthly_Salary]]="","",Table2[[#This Row],[Monthly_Salary]]*Table2[[#This Row],[Num_Month_Final]])</f>
        <v>240000</v>
      </c>
      <c r="O175">
        <v>1</v>
      </c>
      <c r="P175">
        <f>IF(Table2[[#This Row],[Exp_Years]]&lt;0,ABS(Table2[[#This Row],[Exp_Years]]),Table2[[#This Row],[Exp_Years]])</f>
        <v>1</v>
      </c>
      <c r="Q175">
        <v>4</v>
      </c>
      <c r="R175">
        <v>7000</v>
      </c>
      <c r="S175">
        <f>IF(Table2[[#This Row],[Performance_Rating]]&gt;=3,Table2[[#This Row],[Monthly_Salary]]*0.3,"")</f>
        <v>6000</v>
      </c>
      <c r="T175">
        <v>80</v>
      </c>
      <c r="U175">
        <v>5</v>
      </c>
      <c r="V175">
        <v>1</v>
      </c>
      <c r="W175" t="s">
        <v>37</v>
      </c>
      <c r="X175" t="s">
        <v>19</v>
      </c>
      <c r="Y175" t="str">
        <f>IF(Table2[[#This Row],[Work_Mode]]&lt;&gt;"",Table2[[#This Row],[Work_Mode]],
IF(ISNUMBER(SEARCH("India",Table2[[#This Row],[Emp_Name]])),"Office",
IF(ISNUMBER(SEARCH("Foreign",Table2[[#This Row],[Emp_Name]])),"Remote","")))</f>
        <v>Office</v>
      </c>
      <c r="Z175">
        <v>20</v>
      </c>
      <c r="AA17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175" t="s">
        <v>22</v>
      </c>
      <c r="AC175" t="str">
        <f>IF(COUNTIF(Table2[Emp_ID],Table2[[#This Row],[Emp_ID]])&gt;1,"Duplicate","Unique")</f>
        <v>Unique</v>
      </c>
      <c r="AE175" s="2"/>
      <c r="AG175" t="str">
        <f>IF(Table2[[#This Row],[Monthly_Salary]]="","Exclude",
IF(Table2[[#This Row],[Row_Status]]="Mismatch","Exclude",
IF(AND(Table2[[#This Row],[Row_Status]]="Exact Duplicate",
COUNTIFS(Table2[Emp_ID],Table2[[#This Row],[Emp_ID]],Table2[Row_Concat],Table2[[#This Row],[Row_Concat]],
Table2[Row_Number],"&lt;"&amp;Table2[[#This Row],[Row_Number]])&gt;=1),"Delete","")))</f>
        <v/>
      </c>
      <c r="AH175" t="str">
        <f>VLOOKUP(Table2[[#This Row],[Department]],Raw_2!A:B,2,0)</f>
        <v>Day</v>
      </c>
      <c r="AI175">
        <f>VLOOKUP(Table2[[#This Row],[Department]],Raw_2!A:C,3,0)</f>
        <v>25</v>
      </c>
    </row>
    <row r="176" spans="1:35">
      <c r="A176" t="s">
        <v>396</v>
      </c>
      <c r="B176" t="s">
        <v>397</v>
      </c>
      <c r="C176">
        <v>35</v>
      </c>
      <c r="D176" t="s">
        <v>34</v>
      </c>
      <c r="E176" t="str">
        <f>IF(OR(Table2[[#This Row],[Gender]]="Male",Table2[[#This Row],[Gender]]="M"),"M",
IF(OR(Table2[[#This Row],[Gender]]="Female",Table2[[#This Row],[Gender]]="F"),"F",""))</f>
        <v>F</v>
      </c>
      <c r="F176" t="s">
        <v>64</v>
      </c>
      <c r="G176" t="s">
        <v>66</v>
      </c>
      <c r="H176" t="s">
        <v>82</v>
      </c>
      <c r="I176" t="s">
        <v>1060</v>
      </c>
      <c r="J176" t="str">
        <f>IF(ISNUMBER(SEARCH("India",Table2[[#This Row],[Emp_Name]])),"INR",
IF(ISNUMBER(SEARCH("Foreign",Table2[[#This Row],[Emp_Name]])),Table2[[#This Row],[Currency]],Table2[[#This Row],[Currency]]))</f>
        <v>INR</v>
      </c>
      <c r="K176">
        <v>87000</v>
      </c>
      <c r="L176">
        <v>12</v>
      </c>
      <c r="M176">
        <f>IF(Table2[[#This Row],[Num_Month]]&lt;&gt;12,12,Table2[[#This Row],[Num_Month]])</f>
        <v>12</v>
      </c>
      <c r="N176">
        <f>IF(Table2[[#This Row],[Monthly_Salary]]="","",Table2[[#This Row],[Monthly_Salary]]*Table2[[#This Row],[Num_Month_Final]])</f>
        <v>1044000</v>
      </c>
      <c r="O176">
        <v>9</v>
      </c>
      <c r="P176">
        <f>IF(Table2[[#This Row],[Exp_Years]]&lt;0,ABS(Table2[[#This Row],[Exp_Years]]),Table2[[#This Row],[Exp_Years]])</f>
        <v>9</v>
      </c>
      <c r="Q176">
        <v>1</v>
      </c>
      <c r="S176" t="str">
        <f>IF(Table2[[#This Row],[Performance_Rating]]&gt;=3,Table2[[#This Row],[Monthly_Salary]]*0.3,"")</f>
        <v/>
      </c>
      <c r="T176">
        <v>85</v>
      </c>
      <c r="U176">
        <v>15</v>
      </c>
      <c r="V176">
        <v>1</v>
      </c>
      <c r="W176" t="s">
        <v>21</v>
      </c>
      <c r="X176" t="s">
        <v>38</v>
      </c>
      <c r="Y176" t="str">
        <f>IF(Table2[[#This Row],[Work_Mode]]&lt;&gt;"",Table2[[#This Row],[Work_Mode]],
IF(ISNUMBER(SEARCH("India",Table2[[#This Row],[Emp_Name]])),"Office",
IF(ISNUMBER(SEARCH("Foreign",Table2[[#This Row],[Emp_Name]])),"Remote","")))</f>
        <v>Hybrid</v>
      </c>
      <c r="Z176">
        <v>5</v>
      </c>
      <c r="AA17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1750</v>
      </c>
      <c r="AB176" t="s">
        <v>39</v>
      </c>
      <c r="AC176" t="str">
        <f>IF(COUNTIF(Table2[Emp_ID],Table2[[#This Row],[Emp_ID]])&gt;1,"Duplicate","Unique")</f>
        <v>Unique</v>
      </c>
      <c r="AE176" s="2"/>
      <c r="AG176" t="str">
        <f>IF(Table2[[#This Row],[Monthly_Salary]]="","Exclude",
IF(Table2[[#This Row],[Row_Status]]="Mismatch","Exclude",
IF(AND(Table2[[#This Row],[Row_Status]]="Exact Duplicate",
COUNTIFS(Table2[Emp_ID],Table2[[#This Row],[Emp_ID]],Table2[Row_Concat],Table2[[#This Row],[Row_Concat]],
Table2[Row_Number],"&lt;"&amp;Table2[[#This Row],[Row_Number]])&gt;=1),"Delete","")))</f>
        <v/>
      </c>
      <c r="AH176" t="str">
        <f>VLOOKUP(Table2[[#This Row],[Department]],Raw_2!A:B,2,0)</f>
        <v>Night</v>
      </c>
      <c r="AI176">
        <f>VLOOKUP(Table2[[#This Row],[Department]],Raw_2!A:C,3,0)</f>
        <v>20</v>
      </c>
    </row>
    <row r="177" spans="1:35">
      <c r="A177" t="s">
        <v>398</v>
      </c>
      <c r="B177" t="s">
        <v>399</v>
      </c>
      <c r="C177">
        <v>40</v>
      </c>
      <c r="E177" t="str">
        <f>IF(OR(Table2[[#This Row],[Gender]]="Male",Table2[[#This Row],[Gender]]="M"),"M",
IF(OR(Table2[[#This Row],[Gender]]="Female",Table2[[#This Row],[Gender]]="F"),"F",""))</f>
        <v/>
      </c>
      <c r="F177" t="s">
        <v>17</v>
      </c>
      <c r="G177" t="s">
        <v>36</v>
      </c>
      <c r="H177" t="s">
        <v>1050</v>
      </c>
      <c r="I177" t="s">
        <v>1060</v>
      </c>
      <c r="J177" t="str">
        <f>IF(ISNUMBER(SEARCH("India",Table2[[#This Row],[Emp_Name]])),"INR",
IF(ISNUMBER(SEARCH("Foreign",Table2[[#This Row],[Emp_Name]])),Table2[[#This Row],[Currency]],Table2[[#This Row],[Currency]]))</f>
        <v>INR</v>
      </c>
      <c r="K177">
        <v>145000</v>
      </c>
      <c r="L177">
        <v>12</v>
      </c>
      <c r="M177">
        <f>IF(Table2[[#This Row],[Num_Month]]&lt;&gt;12,12,Table2[[#This Row],[Num_Month]])</f>
        <v>12</v>
      </c>
      <c r="N177">
        <f>IF(Table2[[#This Row],[Monthly_Salary]]="","",Table2[[#This Row],[Monthly_Salary]]*Table2[[#This Row],[Num_Month_Final]])</f>
        <v>1740000</v>
      </c>
      <c r="O177">
        <v>20</v>
      </c>
      <c r="P177">
        <f>IF(Table2[[#This Row],[Exp_Years]]&lt;0,ABS(Table2[[#This Row],[Exp_Years]]),Table2[[#This Row],[Exp_Years]])</f>
        <v>20</v>
      </c>
      <c r="Q177">
        <v>4</v>
      </c>
      <c r="R177">
        <v>60000</v>
      </c>
      <c r="S177">
        <f>IF(Table2[[#This Row],[Performance_Rating]]&gt;=3,Table2[[#This Row],[Monthly_Salary]]*0.3,"")</f>
        <v>43500</v>
      </c>
      <c r="T177">
        <v>95</v>
      </c>
      <c r="U177">
        <v>12</v>
      </c>
      <c r="V177">
        <v>5</v>
      </c>
      <c r="W177" t="s">
        <v>37</v>
      </c>
      <c r="X177" t="s">
        <v>19</v>
      </c>
      <c r="Y177" t="str">
        <f>IF(Table2[[#This Row],[Work_Mode]]&lt;&gt;"",Table2[[#This Row],[Work_Mode]],
IF(ISNUMBER(SEARCH("India",Table2[[#This Row],[Emp_Name]])),"Office",
IF(ISNUMBER(SEARCH("Foreign",Table2[[#This Row],[Emp_Name]])),"Remote","")))</f>
        <v>Office</v>
      </c>
      <c r="AA177"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177" t="s">
        <v>22</v>
      </c>
      <c r="AC177" t="str">
        <f>IF(COUNTIF(Table2[Emp_ID],Table2[[#This Row],[Emp_ID]])&gt;1,"Duplicate","Unique")</f>
        <v>Unique</v>
      </c>
      <c r="AE177" s="2"/>
      <c r="AG177" t="str">
        <f>IF(Table2[[#This Row],[Monthly_Salary]]="","Exclude",
IF(Table2[[#This Row],[Row_Status]]="Mismatch","Exclude",
IF(AND(Table2[[#This Row],[Row_Status]]="Exact Duplicate",
COUNTIFS(Table2[Emp_ID],Table2[[#This Row],[Emp_ID]],Table2[Row_Concat],Table2[[#This Row],[Row_Concat]],
Table2[Row_Number],"&lt;"&amp;Table2[[#This Row],[Row_Number]])&gt;=1),"Delete","")))</f>
        <v/>
      </c>
      <c r="AH177" t="str">
        <f>VLOOKUP(Table2[[#This Row],[Department]],Raw_2!A:B,2,0)</f>
        <v>Day</v>
      </c>
      <c r="AI177">
        <f>VLOOKUP(Table2[[#This Row],[Department]],Raw_2!A:C,3,0)</f>
        <v>25</v>
      </c>
    </row>
    <row r="178" spans="1:35">
      <c r="A178" t="s">
        <v>400</v>
      </c>
      <c r="B178" t="s">
        <v>401</v>
      </c>
      <c r="C178">
        <v>23</v>
      </c>
      <c r="D178" t="s">
        <v>25</v>
      </c>
      <c r="E178" t="str">
        <f>IF(OR(Table2[[#This Row],[Gender]]="Male",Table2[[#This Row],[Gender]]="M"),"M",
IF(OR(Table2[[#This Row],[Gender]]="Female",Table2[[#This Row],[Gender]]="F"),"F",""))</f>
        <v>F</v>
      </c>
      <c r="F178" t="s">
        <v>73</v>
      </c>
      <c r="G178" t="s">
        <v>42</v>
      </c>
      <c r="H178" t="s">
        <v>43</v>
      </c>
      <c r="I178" t="s">
        <v>1060</v>
      </c>
      <c r="J178" t="str">
        <f>IF(ISNUMBER(SEARCH("India",Table2[[#This Row],[Emp_Name]])),"INR",
IF(ISNUMBER(SEARCH("Foreign",Table2[[#This Row],[Emp_Name]])),Table2[[#This Row],[Currency]],Table2[[#This Row],[Currency]]))</f>
        <v>INR</v>
      </c>
      <c r="K178">
        <v>28000</v>
      </c>
      <c r="L178">
        <v>12</v>
      </c>
      <c r="M178">
        <f>IF(Table2[[#This Row],[Num_Month]]&lt;&gt;12,12,Table2[[#This Row],[Num_Month]])</f>
        <v>12</v>
      </c>
      <c r="N178">
        <f>IF(Table2[[#This Row],[Monthly_Salary]]="","",Table2[[#This Row],[Monthly_Salary]]*Table2[[#This Row],[Num_Month_Final]])</f>
        <v>336000</v>
      </c>
      <c r="O178">
        <v>2</v>
      </c>
      <c r="P178">
        <f>IF(Table2[[#This Row],[Exp_Years]]&lt;0,ABS(Table2[[#This Row],[Exp_Years]]),Table2[[#This Row],[Exp_Years]])</f>
        <v>2</v>
      </c>
      <c r="Q178">
        <v>4</v>
      </c>
      <c r="R178">
        <v>16000</v>
      </c>
      <c r="S178">
        <f>IF(Table2[[#This Row],[Performance_Rating]]&gt;=3,Table2[[#This Row],[Monthly_Salary]]*0.3,"")</f>
        <v>8400</v>
      </c>
      <c r="T178">
        <v>95</v>
      </c>
      <c r="U178">
        <v>5</v>
      </c>
      <c r="V178">
        <v>2</v>
      </c>
      <c r="W178" t="s">
        <v>21</v>
      </c>
      <c r="X178" t="s">
        <v>38</v>
      </c>
      <c r="Y178" t="str">
        <f>IF(Table2[[#This Row],[Work_Mode]]&lt;&gt;"",Table2[[#This Row],[Work_Mode]],
IF(ISNUMBER(SEARCH("India",Table2[[#This Row],[Emp_Name]])),"Office",
IF(ISNUMBER(SEARCH("Foreign",Table2[[#This Row],[Emp_Name]])),"Remote","")))</f>
        <v>Hybrid</v>
      </c>
      <c r="AA17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78" t="s">
        <v>22</v>
      </c>
      <c r="AC178" t="str">
        <f>IF(COUNTIF(Table2[Emp_ID],Table2[[#This Row],[Emp_ID]])&gt;1,"Duplicate","Unique")</f>
        <v>Unique</v>
      </c>
      <c r="AE178" s="2"/>
      <c r="AG178" t="str">
        <f>IF(Table2[[#This Row],[Monthly_Salary]]="","Exclude",
IF(Table2[[#This Row],[Row_Status]]="Mismatch","Exclude",
IF(AND(Table2[[#This Row],[Row_Status]]="Exact Duplicate",
COUNTIFS(Table2[Emp_ID],Table2[[#This Row],[Emp_ID]],Table2[Row_Concat],Table2[[#This Row],[Row_Concat]],
Table2[Row_Number],"&lt;"&amp;Table2[[#This Row],[Row_Number]])&gt;=1),"Delete","")))</f>
        <v/>
      </c>
      <c r="AH178" t="str">
        <f>VLOOKUP(Table2[[#This Row],[Department]],Raw_2!A:B,2,0)</f>
        <v>Day</v>
      </c>
      <c r="AI178">
        <f>VLOOKUP(Table2[[#This Row],[Department]],Raw_2!A:C,3,0)</f>
        <v>14</v>
      </c>
    </row>
    <row r="179" spans="1:35">
      <c r="A179" t="s">
        <v>402</v>
      </c>
      <c r="B179" t="s">
        <v>403</v>
      </c>
      <c r="C179">
        <v>31</v>
      </c>
      <c r="E179" t="str">
        <f>IF(OR(Table2[[#This Row],[Gender]]="Male",Table2[[#This Row],[Gender]]="M"),"M",
IF(OR(Table2[[#This Row],[Gender]]="Female",Table2[[#This Row],[Gender]]="F"),"F",""))</f>
        <v/>
      </c>
      <c r="F179" t="s">
        <v>57</v>
      </c>
      <c r="G179" t="s">
        <v>66</v>
      </c>
      <c r="H179" t="s">
        <v>82</v>
      </c>
      <c r="I179" t="s">
        <v>1060</v>
      </c>
      <c r="J179" t="str">
        <f>IF(ISNUMBER(SEARCH("India",Table2[[#This Row],[Emp_Name]])),"INR",
IF(ISNUMBER(SEARCH("Foreign",Table2[[#This Row],[Emp_Name]])),Table2[[#This Row],[Currency]],Table2[[#This Row],[Currency]]))</f>
        <v>INR</v>
      </c>
      <c r="K179">
        <v>87000</v>
      </c>
      <c r="L179">
        <v>12</v>
      </c>
      <c r="M179">
        <f>IF(Table2[[#This Row],[Num_Month]]&lt;&gt;12,12,Table2[[#This Row],[Num_Month]])</f>
        <v>12</v>
      </c>
      <c r="N179">
        <f>IF(Table2[[#This Row],[Monthly_Salary]]="","",Table2[[#This Row],[Monthly_Salary]]*Table2[[#This Row],[Num_Month_Final]])</f>
        <v>1044000</v>
      </c>
      <c r="O179">
        <v>7</v>
      </c>
      <c r="P179">
        <f>IF(Table2[[#This Row],[Exp_Years]]&lt;0,ABS(Table2[[#This Row],[Exp_Years]]),Table2[[#This Row],[Exp_Years]])</f>
        <v>7</v>
      </c>
      <c r="Q179">
        <v>4</v>
      </c>
      <c r="R179">
        <v>23316</v>
      </c>
      <c r="S179">
        <f>IF(Table2[[#This Row],[Performance_Rating]]&gt;=3,Table2[[#This Row],[Monthly_Salary]]*0.3,"")</f>
        <v>26100</v>
      </c>
      <c r="T179">
        <v>80</v>
      </c>
      <c r="U179">
        <v>15</v>
      </c>
      <c r="V179">
        <v>2</v>
      </c>
      <c r="W179" t="s">
        <v>21</v>
      </c>
      <c r="X179" t="s">
        <v>38</v>
      </c>
      <c r="Y179" t="str">
        <f>IF(Table2[[#This Row],[Work_Mode]]&lt;&gt;"",Table2[[#This Row],[Work_Mode]],
IF(ISNUMBER(SEARCH("India",Table2[[#This Row],[Emp_Name]])),"Office",
IF(ISNUMBER(SEARCH("Foreign",Table2[[#This Row],[Emp_Name]])),"Remote","")))</f>
        <v>Hybrid</v>
      </c>
      <c r="Z179">
        <v>20</v>
      </c>
      <c r="AA17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7000</v>
      </c>
      <c r="AB179" t="s">
        <v>22</v>
      </c>
      <c r="AC179" t="str">
        <f>IF(COUNTIF(Table2[Emp_ID],Table2[[#This Row],[Emp_ID]])&gt;1,"Duplicate","Unique")</f>
        <v>Unique</v>
      </c>
      <c r="AE179" s="2"/>
      <c r="AG179" t="str">
        <f>IF(Table2[[#This Row],[Monthly_Salary]]="","Exclude",
IF(Table2[[#This Row],[Row_Status]]="Mismatch","Exclude",
IF(AND(Table2[[#This Row],[Row_Status]]="Exact Duplicate",
COUNTIFS(Table2[Emp_ID],Table2[[#This Row],[Emp_ID]],Table2[Row_Concat],Table2[[#This Row],[Row_Concat]],
Table2[Row_Number],"&lt;"&amp;Table2[[#This Row],[Row_Number]])&gt;=1),"Delete","")))</f>
        <v/>
      </c>
      <c r="AH179" t="str">
        <f>VLOOKUP(Table2[[#This Row],[Department]],Raw_2!A:B,2,0)</f>
        <v>Night</v>
      </c>
      <c r="AI179">
        <f>VLOOKUP(Table2[[#This Row],[Department]],Raw_2!A:C,3,0)</f>
        <v>20</v>
      </c>
    </row>
    <row r="180" spans="1:35">
      <c r="A180" t="s">
        <v>404</v>
      </c>
      <c r="B180" t="s">
        <v>405</v>
      </c>
      <c r="C180">
        <v>25</v>
      </c>
      <c r="D180" t="s">
        <v>25</v>
      </c>
      <c r="E180" t="str">
        <f>IF(OR(Table2[[#This Row],[Gender]]="Male",Table2[[#This Row],[Gender]]="M"),"M",
IF(OR(Table2[[#This Row],[Gender]]="Female",Table2[[#This Row],[Gender]]="F"),"F",""))</f>
        <v>F</v>
      </c>
      <c r="F180" t="s">
        <v>73</v>
      </c>
      <c r="G180" t="s">
        <v>42</v>
      </c>
      <c r="H180" t="s">
        <v>43</v>
      </c>
      <c r="I180" t="s">
        <v>1060</v>
      </c>
      <c r="J180" t="str">
        <f>IF(ISNUMBER(SEARCH("India",Table2[[#This Row],[Emp_Name]])),"INR",
IF(ISNUMBER(SEARCH("Foreign",Table2[[#This Row],[Emp_Name]])),Table2[[#This Row],[Currency]],Table2[[#This Row],[Currency]]))</f>
        <v>INR</v>
      </c>
      <c r="K180">
        <v>28000</v>
      </c>
      <c r="L180">
        <v>12</v>
      </c>
      <c r="M180">
        <f>IF(Table2[[#This Row],[Num_Month]]&lt;&gt;12,12,Table2[[#This Row],[Num_Month]])</f>
        <v>12</v>
      </c>
      <c r="N180">
        <f>IF(Table2[[#This Row],[Monthly_Salary]]="","",Table2[[#This Row],[Monthly_Salary]]*Table2[[#This Row],[Num_Month_Final]])</f>
        <v>336000</v>
      </c>
      <c r="O180">
        <v>2</v>
      </c>
      <c r="P180">
        <f>IF(Table2[[#This Row],[Exp_Years]]&lt;0,ABS(Table2[[#This Row],[Exp_Years]]),Table2[[#This Row],[Exp_Years]])</f>
        <v>2</v>
      </c>
      <c r="Q180">
        <v>1</v>
      </c>
      <c r="S180" t="str">
        <f>IF(Table2[[#This Row],[Performance_Rating]]&gt;=3,Table2[[#This Row],[Monthly_Salary]]*0.3,"")</f>
        <v/>
      </c>
      <c r="T180">
        <v>80</v>
      </c>
      <c r="U180">
        <v>12</v>
      </c>
      <c r="V180">
        <v>7</v>
      </c>
      <c r="X180" t="s">
        <v>38</v>
      </c>
      <c r="Y180" t="str">
        <f>IF(Table2[[#This Row],[Work_Mode]]&lt;&gt;"",Table2[[#This Row],[Work_Mode]],
IF(ISNUMBER(SEARCH("India",Table2[[#This Row],[Emp_Name]])),"Office",
IF(ISNUMBER(SEARCH("Foreign",Table2[[#This Row],[Emp_Name]])),"Remote","")))</f>
        <v>Hybrid</v>
      </c>
      <c r="Z180">
        <v>10</v>
      </c>
      <c r="AA18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180" t="s">
        <v>39</v>
      </c>
      <c r="AC180" t="str">
        <f>IF(COUNTIF(Table2[Emp_ID],Table2[[#This Row],[Emp_ID]])&gt;1,"Duplicate","Unique")</f>
        <v>Unique</v>
      </c>
      <c r="AE180" s="2"/>
      <c r="AG180" t="str">
        <f>IF(Table2[[#This Row],[Monthly_Salary]]="","Exclude",
IF(Table2[[#This Row],[Row_Status]]="Mismatch","Exclude",
IF(AND(Table2[[#This Row],[Row_Status]]="Exact Duplicate",
COUNTIFS(Table2[Emp_ID],Table2[[#This Row],[Emp_ID]],Table2[Row_Concat],Table2[[#This Row],[Row_Concat]],
Table2[Row_Number],"&lt;"&amp;Table2[[#This Row],[Row_Number]])&gt;=1),"Delete","")))</f>
        <v/>
      </c>
      <c r="AH180" t="str">
        <f>VLOOKUP(Table2[[#This Row],[Department]],Raw_2!A:B,2,0)</f>
        <v>Day</v>
      </c>
      <c r="AI180">
        <f>VLOOKUP(Table2[[#This Row],[Department]],Raw_2!A:C,3,0)</f>
        <v>14</v>
      </c>
    </row>
    <row r="181" spans="1:35">
      <c r="A181" t="s">
        <v>406</v>
      </c>
      <c r="B181" t="s">
        <v>407</v>
      </c>
      <c r="C181">
        <v>21</v>
      </c>
      <c r="D181" t="s">
        <v>16</v>
      </c>
      <c r="E181" t="str">
        <f>IF(OR(Table2[[#This Row],[Gender]]="Male",Table2[[#This Row],[Gender]]="M"),"M",
IF(OR(Table2[[#This Row],[Gender]]="Female",Table2[[#This Row],[Gender]]="F"),"F",""))</f>
        <v>M</v>
      </c>
      <c r="F181" t="s">
        <v>64</v>
      </c>
      <c r="G181" t="s">
        <v>18</v>
      </c>
      <c r="H181" t="s">
        <v>1046</v>
      </c>
      <c r="I181" t="s">
        <v>1060</v>
      </c>
      <c r="J181" t="str">
        <f>IF(ISNUMBER(SEARCH("India",Table2[[#This Row],[Emp_Name]])),"INR",
IF(ISNUMBER(SEARCH("Foreign",Table2[[#This Row],[Emp_Name]])),Table2[[#This Row],[Currency]],Table2[[#This Row],[Currency]]))</f>
        <v>INR</v>
      </c>
      <c r="K181">
        <v>29000</v>
      </c>
      <c r="L181">
        <v>12</v>
      </c>
      <c r="M181">
        <f>IF(Table2[[#This Row],[Num_Month]]&lt;&gt;12,12,Table2[[#This Row],[Num_Month]])</f>
        <v>12</v>
      </c>
      <c r="N181">
        <f>IF(Table2[[#This Row],[Monthly_Salary]]="","",Table2[[#This Row],[Monthly_Salary]]*Table2[[#This Row],[Num_Month_Final]])</f>
        <v>348000</v>
      </c>
      <c r="O181">
        <v>1</v>
      </c>
      <c r="P181">
        <f>IF(Table2[[#This Row],[Exp_Years]]&lt;0,ABS(Table2[[#This Row],[Exp_Years]]),Table2[[#This Row],[Exp_Years]])</f>
        <v>1</v>
      </c>
      <c r="Q181">
        <v>3</v>
      </c>
      <c r="R181">
        <v>5000</v>
      </c>
      <c r="S181">
        <f>IF(Table2[[#This Row],[Performance_Rating]]&gt;=3,Table2[[#This Row],[Monthly_Salary]]*0.3,"")</f>
        <v>8700</v>
      </c>
      <c r="T181">
        <v>95</v>
      </c>
      <c r="U181">
        <v>5</v>
      </c>
      <c r="V181">
        <v>2</v>
      </c>
      <c r="W181" t="s">
        <v>37</v>
      </c>
      <c r="X181" t="s">
        <v>19</v>
      </c>
      <c r="Y181" t="str">
        <f>IF(Table2[[#This Row],[Work_Mode]]&lt;&gt;"",Table2[[#This Row],[Work_Mode]],
IF(ISNUMBER(SEARCH("India",Table2[[#This Row],[Emp_Name]])),"Office",
IF(ISNUMBER(SEARCH("Foreign",Table2[[#This Row],[Emp_Name]])),"Remote","")))</f>
        <v>Office</v>
      </c>
      <c r="Z181">
        <v>10</v>
      </c>
      <c r="AA18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181" t="s">
        <v>22</v>
      </c>
      <c r="AC181" t="str">
        <f>IF(COUNTIF(Table2[Emp_ID],Table2[[#This Row],[Emp_ID]])&gt;1,"Duplicate","Unique")</f>
        <v>Unique</v>
      </c>
      <c r="AE181" s="2"/>
      <c r="AG181" t="str">
        <f>IF(Table2[[#This Row],[Monthly_Salary]]="","Exclude",
IF(Table2[[#This Row],[Row_Status]]="Mismatch","Exclude",
IF(AND(Table2[[#This Row],[Row_Status]]="Exact Duplicate",
COUNTIFS(Table2[Emp_ID],Table2[[#This Row],[Emp_ID]],Table2[Row_Concat],Table2[[#This Row],[Row_Concat]],
Table2[Row_Number],"&lt;"&amp;Table2[[#This Row],[Row_Number]])&gt;=1),"Delete","")))</f>
        <v/>
      </c>
      <c r="AH181" t="str">
        <f>VLOOKUP(Table2[[#This Row],[Department]],Raw_2!A:B,2,0)</f>
        <v>Day</v>
      </c>
      <c r="AI181">
        <f>VLOOKUP(Table2[[#This Row],[Department]],Raw_2!A:C,3,0)</f>
        <v>10</v>
      </c>
    </row>
    <row r="182" spans="1:35">
      <c r="A182" t="s">
        <v>408</v>
      </c>
      <c r="B182" t="s">
        <v>409</v>
      </c>
      <c r="C182">
        <v>23</v>
      </c>
      <c r="D182" t="s">
        <v>34</v>
      </c>
      <c r="E182" t="str">
        <f>IF(OR(Table2[[#This Row],[Gender]]="Male",Table2[[#This Row],[Gender]]="M"),"M",
IF(OR(Table2[[#This Row],[Gender]]="Female",Table2[[#This Row],[Gender]]="F"),"F",""))</f>
        <v>F</v>
      </c>
      <c r="F182" t="s">
        <v>57</v>
      </c>
      <c r="G182" t="s">
        <v>66</v>
      </c>
      <c r="H182" t="s">
        <v>43</v>
      </c>
      <c r="I182" t="s">
        <v>1060</v>
      </c>
      <c r="J182" t="str">
        <f>IF(ISNUMBER(SEARCH("India",Table2[[#This Row],[Emp_Name]])),"INR",
IF(ISNUMBER(SEARCH("Foreign",Table2[[#This Row],[Emp_Name]])),Table2[[#This Row],[Currency]],Table2[[#This Row],[Currency]]))</f>
        <v>INR</v>
      </c>
      <c r="K182">
        <v>24000</v>
      </c>
      <c r="L182">
        <v>12</v>
      </c>
      <c r="M182">
        <f>IF(Table2[[#This Row],[Num_Month]]&lt;&gt;12,12,Table2[[#This Row],[Num_Month]])</f>
        <v>12</v>
      </c>
      <c r="N182">
        <f>IF(Table2[[#This Row],[Monthly_Salary]]="","",Table2[[#This Row],[Monthly_Salary]]*Table2[[#This Row],[Num_Month_Final]])</f>
        <v>288000</v>
      </c>
      <c r="O182">
        <v>1</v>
      </c>
      <c r="P182">
        <f>IF(Table2[[#This Row],[Exp_Years]]&lt;0,ABS(Table2[[#This Row],[Exp_Years]]),Table2[[#This Row],[Exp_Years]])</f>
        <v>1</v>
      </c>
      <c r="Q182">
        <v>3</v>
      </c>
      <c r="R182">
        <v>13400</v>
      </c>
      <c r="S182">
        <f>IF(Table2[[#This Row],[Performance_Rating]]&gt;=3,Table2[[#This Row],[Monthly_Salary]]*0.3,"")</f>
        <v>7200</v>
      </c>
      <c r="T182">
        <v>87</v>
      </c>
      <c r="U182">
        <v>10</v>
      </c>
      <c r="V182">
        <v>3</v>
      </c>
      <c r="W182" t="s">
        <v>21</v>
      </c>
      <c r="X182" t="s">
        <v>38</v>
      </c>
      <c r="Y182" t="str">
        <f>IF(Table2[[#This Row],[Work_Mode]]&lt;&gt;"",Table2[[#This Row],[Work_Mode]],
IF(ISNUMBER(SEARCH("India",Table2[[#This Row],[Emp_Name]])),"Office",
IF(ISNUMBER(SEARCH("Foreign",Table2[[#This Row],[Emp_Name]])),"Remote","")))</f>
        <v>Hybrid</v>
      </c>
      <c r="Z182">
        <v>5</v>
      </c>
      <c r="AA18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182" t="s">
        <v>22</v>
      </c>
      <c r="AC182" t="str">
        <f>IF(COUNTIF(Table2[Emp_ID],Table2[[#This Row],[Emp_ID]])&gt;1,"Duplicate","Unique")</f>
        <v>Unique</v>
      </c>
      <c r="AE182" s="2"/>
      <c r="AG182" t="str">
        <f>IF(Table2[[#This Row],[Monthly_Salary]]="","Exclude",
IF(Table2[[#This Row],[Row_Status]]="Mismatch","Exclude",
IF(AND(Table2[[#This Row],[Row_Status]]="Exact Duplicate",
COUNTIFS(Table2[Emp_ID],Table2[[#This Row],[Emp_ID]],Table2[Row_Concat],Table2[[#This Row],[Row_Concat]],
Table2[Row_Number],"&lt;"&amp;Table2[[#This Row],[Row_Number]])&gt;=1),"Delete","")))</f>
        <v/>
      </c>
      <c r="AH182" t="str">
        <f>VLOOKUP(Table2[[#This Row],[Department]],Raw_2!A:B,2,0)</f>
        <v>Night</v>
      </c>
      <c r="AI182">
        <f>VLOOKUP(Table2[[#This Row],[Department]],Raw_2!A:C,3,0)</f>
        <v>20</v>
      </c>
    </row>
    <row r="183" spans="1:35">
      <c r="A183" t="s">
        <v>410</v>
      </c>
      <c r="B183" t="s">
        <v>411</v>
      </c>
      <c r="C183">
        <v>22</v>
      </c>
      <c r="E183" t="str">
        <f>IF(OR(Table2[[#This Row],[Gender]]="Male",Table2[[#This Row],[Gender]]="M"),"M",
IF(OR(Table2[[#This Row],[Gender]]="Female",Table2[[#This Row],[Gender]]="F"),"F",""))</f>
        <v/>
      </c>
      <c r="F183" t="s">
        <v>57</v>
      </c>
      <c r="G183" t="s">
        <v>36</v>
      </c>
      <c r="H183" t="s">
        <v>1046</v>
      </c>
      <c r="I183" t="s">
        <v>1060</v>
      </c>
      <c r="J183" t="str">
        <f>IF(ISNUMBER(SEARCH("India",Table2[[#This Row],[Emp_Name]])),"INR",
IF(ISNUMBER(SEARCH("Foreign",Table2[[#This Row],[Emp_Name]])),Table2[[#This Row],[Currency]],Table2[[#This Row],[Currency]]))</f>
        <v>INR</v>
      </c>
      <c r="K183">
        <v>20000</v>
      </c>
      <c r="L183">
        <v>12</v>
      </c>
      <c r="M183">
        <f>IF(Table2[[#This Row],[Num_Month]]&lt;&gt;12,12,Table2[[#This Row],[Num_Month]])</f>
        <v>12</v>
      </c>
      <c r="N183">
        <f>IF(Table2[[#This Row],[Monthly_Salary]]="","",Table2[[#This Row],[Monthly_Salary]]*Table2[[#This Row],[Num_Month_Final]])</f>
        <v>240000</v>
      </c>
      <c r="O183">
        <v>2</v>
      </c>
      <c r="P183">
        <f>IF(Table2[[#This Row],[Exp_Years]]&lt;0,ABS(Table2[[#This Row],[Exp_Years]]),Table2[[#This Row],[Exp_Years]])</f>
        <v>2</v>
      </c>
      <c r="Q183">
        <v>4</v>
      </c>
      <c r="R183">
        <v>7000</v>
      </c>
      <c r="S183">
        <f>IF(Table2[[#This Row],[Performance_Rating]]&gt;=3,Table2[[#This Row],[Monthly_Salary]]*0.3,"")</f>
        <v>6000</v>
      </c>
      <c r="T183">
        <v>80</v>
      </c>
      <c r="U183">
        <v>5</v>
      </c>
      <c r="V183">
        <v>1</v>
      </c>
      <c r="W183" t="s">
        <v>37</v>
      </c>
      <c r="X183" t="s">
        <v>19</v>
      </c>
      <c r="Y183" t="str">
        <f>IF(Table2[[#This Row],[Work_Mode]]&lt;&gt;"",Table2[[#This Row],[Work_Mode]],
IF(ISNUMBER(SEARCH("India",Table2[[#This Row],[Emp_Name]])),"Office",
IF(ISNUMBER(SEARCH("Foreign",Table2[[#This Row],[Emp_Name]])),"Remote","")))</f>
        <v>Office</v>
      </c>
      <c r="Z183">
        <v>20</v>
      </c>
      <c r="AA18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183" t="s">
        <v>58</v>
      </c>
      <c r="AC183" t="str">
        <f>IF(COUNTIF(Table2[Emp_ID],Table2[[#This Row],[Emp_ID]])&gt;1,"Duplicate","Unique")</f>
        <v>Unique</v>
      </c>
      <c r="AE183" s="2"/>
      <c r="AG183" t="str">
        <f>IF(Table2[[#This Row],[Monthly_Salary]]="","Exclude",
IF(Table2[[#This Row],[Row_Status]]="Mismatch","Exclude",
IF(AND(Table2[[#This Row],[Row_Status]]="Exact Duplicate",
COUNTIFS(Table2[Emp_ID],Table2[[#This Row],[Emp_ID]],Table2[Row_Concat],Table2[[#This Row],[Row_Concat]],
Table2[Row_Number],"&lt;"&amp;Table2[[#This Row],[Row_Number]])&gt;=1),"Delete","")))</f>
        <v/>
      </c>
      <c r="AH183" t="str">
        <f>VLOOKUP(Table2[[#This Row],[Department]],Raw_2!A:B,2,0)</f>
        <v>Day</v>
      </c>
      <c r="AI183">
        <f>VLOOKUP(Table2[[#This Row],[Department]],Raw_2!A:C,3,0)</f>
        <v>25</v>
      </c>
    </row>
    <row r="184" spans="1:35">
      <c r="A184" t="s">
        <v>412</v>
      </c>
      <c r="B184" t="s">
        <v>413</v>
      </c>
      <c r="C184">
        <v>22</v>
      </c>
      <c r="D184" t="s">
        <v>25</v>
      </c>
      <c r="E184" t="str">
        <f>IF(OR(Table2[[#This Row],[Gender]]="Male",Table2[[#This Row],[Gender]]="M"),"M",
IF(OR(Table2[[#This Row],[Gender]]="Female",Table2[[#This Row],[Gender]]="F"),"F",""))</f>
        <v>F</v>
      </c>
      <c r="F184" t="s">
        <v>17</v>
      </c>
      <c r="G184" t="s">
        <v>66</v>
      </c>
      <c r="H184" t="s">
        <v>1046</v>
      </c>
      <c r="I184" t="s">
        <v>1060</v>
      </c>
      <c r="J184" t="str">
        <f>IF(ISNUMBER(SEARCH("India",Table2[[#This Row],[Emp_Name]])),"INR",
IF(ISNUMBER(SEARCH("Foreign",Table2[[#This Row],[Emp_Name]])),Table2[[#This Row],[Currency]],Table2[[#This Row],[Currency]]))</f>
        <v>INR</v>
      </c>
      <c r="K184">
        <v>20000</v>
      </c>
      <c r="L184">
        <v>12</v>
      </c>
      <c r="M184">
        <f>IF(Table2[[#This Row],[Num_Month]]&lt;&gt;12,12,Table2[[#This Row],[Num_Month]])</f>
        <v>12</v>
      </c>
      <c r="N184">
        <f>IF(Table2[[#This Row],[Monthly_Salary]]="","",Table2[[#This Row],[Monthly_Salary]]*Table2[[#This Row],[Num_Month_Final]])</f>
        <v>240000</v>
      </c>
      <c r="O184">
        <v>2</v>
      </c>
      <c r="P184">
        <f>IF(Table2[[#This Row],[Exp_Years]]&lt;0,ABS(Table2[[#This Row],[Exp_Years]]),Table2[[#This Row],[Exp_Years]])</f>
        <v>2</v>
      </c>
      <c r="Q184">
        <v>2</v>
      </c>
      <c r="S184" t="str">
        <f>IF(Table2[[#This Row],[Performance_Rating]]&gt;=3,Table2[[#This Row],[Monthly_Salary]]*0.3,"")</f>
        <v/>
      </c>
      <c r="T184">
        <v>80</v>
      </c>
      <c r="U184">
        <v>12</v>
      </c>
      <c r="V184">
        <v>2</v>
      </c>
      <c r="W184" t="s">
        <v>21</v>
      </c>
      <c r="X184" t="s">
        <v>38</v>
      </c>
      <c r="Y184" t="str">
        <f>IF(Table2[[#This Row],[Work_Mode]]&lt;&gt;"",Table2[[#This Row],[Work_Mode]],
IF(ISNUMBER(SEARCH("India",Table2[[#This Row],[Emp_Name]])),"Office",
IF(ISNUMBER(SEARCH("Foreign",Table2[[#This Row],[Emp_Name]])),"Remote","")))</f>
        <v>Hybrid</v>
      </c>
      <c r="Z184">
        <v>20</v>
      </c>
      <c r="AA18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184" t="s">
        <v>39</v>
      </c>
      <c r="AC184" t="str">
        <f>IF(COUNTIF(Table2[Emp_ID],Table2[[#This Row],[Emp_ID]])&gt;1,"Duplicate","Unique")</f>
        <v>Unique</v>
      </c>
      <c r="AE184" s="2"/>
      <c r="AG184" t="str">
        <f>IF(Table2[[#This Row],[Monthly_Salary]]="","Exclude",
IF(Table2[[#This Row],[Row_Status]]="Mismatch","Exclude",
IF(AND(Table2[[#This Row],[Row_Status]]="Exact Duplicate",
COUNTIFS(Table2[Emp_ID],Table2[[#This Row],[Emp_ID]],Table2[Row_Concat],Table2[[#This Row],[Row_Concat]],
Table2[Row_Number],"&lt;"&amp;Table2[[#This Row],[Row_Number]])&gt;=1),"Delete","")))</f>
        <v/>
      </c>
      <c r="AH184" t="str">
        <f>VLOOKUP(Table2[[#This Row],[Department]],Raw_2!A:B,2,0)</f>
        <v>Night</v>
      </c>
      <c r="AI184">
        <f>VLOOKUP(Table2[[#This Row],[Department]],Raw_2!A:C,3,0)</f>
        <v>20</v>
      </c>
    </row>
    <row r="185" spans="1:35">
      <c r="A185" t="s">
        <v>414</v>
      </c>
      <c r="B185" t="s">
        <v>415</v>
      </c>
      <c r="C185">
        <v>20</v>
      </c>
      <c r="D185" t="s">
        <v>25</v>
      </c>
      <c r="E185" t="str">
        <f>IF(OR(Table2[[#This Row],[Gender]]="Male",Table2[[#This Row],[Gender]]="M"),"M",
IF(OR(Table2[[#This Row],[Gender]]="Female",Table2[[#This Row],[Gender]]="F"),"F",""))</f>
        <v>F</v>
      </c>
      <c r="F185" t="s">
        <v>17</v>
      </c>
      <c r="G185" t="s">
        <v>18</v>
      </c>
      <c r="H185" t="s">
        <v>1046</v>
      </c>
      <c r="I185" t="s">
        <v>1060</v>
      </c>
      <c r="J185" t="str">
        <f>IF(ISNUMBER(SEARCH("India",Table2[[#This Row],[Emp_Name]])),"INR",
IF(ISNUMBER(SEARCH("Foreign",Table2[[#This Row],[Emp_Name]])),Table2[[#This Row],[Currency]],Table2[[#This Row],[Currency]]))</f>
        <v>INR</v>
      </c>
      <c r="K185">
        <v>29000</v>
      </c>
      <c r="L185">
        <v>12</v>
      </c>
      <c r="M185">
        <f>IF(Table2[[#This Row],[Num_Month]]&lt;&gt;12,12,Table2[[#This Row],[Num_Month]])</f>
        <v>12</v>
      </c>
      <c r="N185">
        <f>IF(Table2[[#This Row],[Monthly_Salary]]="","",Table2[[#This Row],[Monthly_Salary]]*Table2[[#This Row],[Num_Month_Final]])</f>
        <v>348000</v>
      </c>
      <c r="O185">
        <v>1</v>
      </c>
      <c r="P185">
        <f>IF(Table2[[#This Row],[Exp_Years]]&lt;0,ABS(Table2[[#This Row],[Exp_Years]]),Table2[[#This Row],[Exp_Years]])</f>
        <v>1</v>
      </c>
      <c r="Q185">
        <v>5</v>
      </c>
      <c r="R185">
        <v>9000</v>
      </c>
      <c r="S185">
        <f>IF(Table2[[#This Row],[Performance_Rating]]&gt;=3,Table2[[#This Row],[Monthly_Salary]]*0.3,"")</f>
        <v>8700</v>
      </c>
      <c r="T185">
        <v>90</v>
      </c>
      <c r="U185">
        <v>12</v>
      </c>
      <c r="V185">
        <v>10</v>
      </c>
      <c r="X185" t="s">
        <v>19</v>
      </c>
      <c r="Y185" t="str">
        <f>IF(Table2[[#This Row],[Work_Mode]]&lt;&gt;"",Table2[[#This Row],[Work_Mode]],
IF(ISNUMBER(SEARCH("India",Table2[[#This Row],[Emp_Name]])),"Office",
IF(ISNUMBER(SEARCH("Foreign",Table2[[#This Row],[Emp_Name]])),"Remote","")))</f>
        <v>Office</v>
      </c>
      <c r="Z185">
        <v>10</v>
      </c>
      <c r="AA18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185" t="s">
        <v>58</v>
      </c>
      <c r="AC185" t="str">
        <f>IF(COUNTIF(Table2[Emp_ID],Table2[[#This Row],[Emp_ID]])&gt;1,"Duplicate","Unique")</f>
        <v>Unique</v>
      </c>
      <c r="AE185" s="2"/>
      <c r="AG185" t="str">
        <f>IF(Table2[[#This Row],[Monthly_Salary]]="","Exclude",
IF(Table2[[#This Row],[Row_Status]]="Mismatch","Exclude",
IF(AND(Table2[[#This Row],[Row_Status]]="Exact Duplicate",
COUNTIFS(Table2[Emp_ID],Table2[[#This Row],[Emp_ID]],Table2[Row_Concat],Table2[[#This Row],[Row_Concat]],
Table2[Row_Number],"&lt;"&amp;Table2[[#This Row],[Row_Number]])&gt;=1),"Delete","")))</f>
        <v/>
      </c>
      <c r="AH185" t="str">
        <f>VLOOKUP(Table2[[#This Row],[Department]],Raw_2!A:B,2,0)</f>
        <v>Day</v>
      </c>
      <c r="AI185">
        <f>VLOOKUP(Table2[[#This Row],[Department]],Raw_2!A:C,3,0)</f>
        <v>10</v>
      </c>
    </row>
    <row r="186" spans="1:35">
      <c r="A186" t="s">
        <v>416</v>
      </c>
      <c r="B186" t="s">
        <v>417</v>
      </c>
      <c r="C186">
        <v>23</v>
      </c>
      <c r="E186" t="str">
        <f>IF(OR(Table2[[#This Row],[Gender]]="Male",Table2[[#This Row],[Gender]]="M"),"M",
IF(OR(Table2[[#This Row],[Gender]]="Female",Table2[[#This Row],[Gender]]="F"),"F",""))</f>
        <v/>
      </c>
      <c r="F186" t="s">
        <v>35</v>
      </c>
      <c r="G186" t="s">
        <v>27</v>
      </c>
      <c r="H186" t="s">
        <v>1046</v>
      </c>
      <c r="I186" t="s">
        <v>1060</v>
      </c>
      <c r="J186" t="str">
        <f>IF(ISNUMBER(SEARCH("India",Table2[[#This Row],[Emp_Name]])),"INR",
IF(ISNUMBER(SEARCH("Foreign",Table2[[#This Row],[Emp_Name]])),Table2[[#This Row],[Currency]],Table2[[#This Row],[Currency]]))</f>
        <v>INR</v>
      </c>
      <c r="K186">
        <v>20000</v>
      </c>
      <c r="L186">
        <v>12</v>
      </c>
      <c r="M186">
        <f>IF(Table2[[#This Row],[Num_Month]]&lt;&gt;12,12,Table2[[#This Row],[Num_Month]])</f>
        <v>12</v>
      </c>
      <c r="N186">
        <f>IF(Table2[[#This Row],[Monthly_Salary]]="","",Table2[[#This Row],[Monthly_Salary]]*Table2[[#This Row],[Num_Month_Final]])</f>
        <v>240000</v>
      </c>
      <c r="O186">
        <v>1</v>
      </c>
      <c r="P186">
        <f>IF(Table2[[#This Row],[Exp_Years]]&lt;0,ABS(Table2[[#This Row],[Exp_Years]]),Table2[[#This Row],[Exp_Years]])</f>
        <v>1</v>
      </c>
      <c r="Q186">
        <v>1</v>
      </c>
      <c r="S186" t="str">
        <f>IF(Table2[[#This Row],[Performance_Rating]]&gt;=3,Table2[[#This Row],[Monthly_Salary]]*0.3,"")</f>
        <v/>
      </c>
      <c r="T186">
        <v>95</v>
      </c>
      <c r="U186">
        <v>12</v>
      </c>
      <c r="V186">
        <v>5</v>
      </c>
      <c r="W186" t="s">
        <v>21</v>
      </c>
      <c r="X186" t="s">
        <v>38</v>
      </c>
      <c r="Y186" t="str">
        <f>IF(Table2[[#This Row],[Work_Mode]]&lt;&gt;"",Table2[[#This Row],[Work_Mode]],
IF(ISNUMBER(SEARCH("India",Table2[[#This Row],[Emp_Name]])),"Office",
IF(ISNUMBER(SEARCH("Foreign",Table2[[#This Row],[Emp_Name]])),"Remote","")))</f>
        <v>Hybrid</v>
      </c>
      <c r="AA18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86" t="s">
        <v>39</v>
      </c>
      <c r="AC186" t="str">
        <f>IF(COUNTIF(Table2[Emp_ID],Table2[[#This Row],[Emp_ID]])&gt;1,"Duplicate","Unique")</f>
        <v>Unique</v>
      </c>
      <c r="AE186" s="2"/>
      <c r="AG186" t="str">
        <f>IF(Table2[[#This Row],[Monthly_Salary]]="","Exclude",
IF(Table2[[#This Row],[Row_Status]]="Mismatch","Exclude",
IF(AND(Table2[[#This Row],[Row_Status]]="Exact Duplicate",
COUNTIFS(Table2[Emp_ID],Table2[[#This Row],[Emp_ID]],Table2[Row_Concat],Table2[[#This Row],[Row_Concat]],
Table2[Row_Number],"&lt;"&amp;Table2[[#This Row],[Row_Number]])&gt;=1),"Delete","")))</f>
        <v/>
      </c>
      <c r="AH186" t="str">
        <f>VLOOKUP(Table2[[#This Row],[Department]],Raw_2!A:B,2,0)</f>
        <v>Day</v>
      </c>
      <c r="AI186">
        <f>VLOOKUP(Table2[[#This Row],[Department]],Raw_2!A:C,3,0)</f>
        <v>12</v>
      </c>
    </row>
    <row r="187" spans="1:35">
      <c r="A187" t="s">
        <v>418</v>
      </c>
      <c r="B187" t="s">
        <v>419</v>
      </c>
      <c r="C187">
        <v>22</v>
      </c>
      <c r="D187" t="s">
        <v>16</v>
      </c>
      <c r="E187" t="str">
        <f>IF(OR(Table2[[#This Row],[Gender]]="Male",Table2[[#This Row],[Gender]]="M"),"M",
IF(OR(Table2[[#This Row],[Gender]]="Female",Table2[[#This Row],[Gender]]="F"),"F",""))</f>
        <v>M</v>
      </c>
      <c r="F187" t="s">
        <v>35</v>
      </c>
      <c r="G187" t="s">
        <v>36</v>
      </c>
      <c r="H187" t="s">
        <v>1046</v>
      </c>
      <c r="I187" t="s">
        <v>1060</v>
      </c>
      <c r="J187" t="str">
        <f>IF(ISNUMBER(SEARCH("India",Table2[[#This Row],[Emp_Name]])),"INR",
IF(ISNUMBER(SEARCH("Foreign",Table2[[#This Row],[Emp_Name]])),Table2[[#This Row],[Currency]],Table2[[#This Row],[Currency]]))</f>
        <v>INR</v>
      </c>
      <c r="K187">
        <v>29000</v>
      </c>
      <c r="L187">
        <v>12</v>
      </c>
      <c r="M187">
        <f>IF(Table2[[#This Row],[Num_Month]]&lt;&gt;12,12,Table2[[#This Row],[Num_Month]])</f>
        <v>12</v>
      </c>
      <c r="N187">
        <f>IF(Table2[[#This Row],[Monthly_Salary]]="","",Table2[[#This Row],[Monthly_Salary]]*Table2[[#This Row],[Num_Month_Final]])</f>
        <v>348000</v>
      </c>
      <c r="O187">
        <v>0</v>
      </c>
      <c r="P187">
        <f>IF(Table2[[#This Row],[Exp_Years]]&lt;0,ABS(Table2[[#This Row],[Exp_Years]]),Table2[[#This Row],[Exp_Years]])</f>
        <v>0</v>
      </c>
      <c r="Q187">
        <v>4</v>
      </c>
      <c r="R187">
        <v>7000</v>
      </c>
      <c r="S187">
        <f>IF(Table2[[#This Row],[Performance_Rating]]&gt;=3,Table2[[#This Row],[Monthly_Salary]]*0.3,"")</f>
        <v>8700</v>
      </c>
      <c r="T187">
        <v>80</v>
      </c>
      <c r="U187">
        <v>15</v>
      </c>
      <c r="V187">
        <v>5</v>
      </c>
      <c r="X187" t="s">
        <v>38</v>
      </c>
      <c r="Y187" t="str">
        <f>IF(Table2[[#This Row],[Work_Mode]]&lt;&gt;"",Table2[[#This Row],[Work_Mode]],
IF(ISNUMBER(SEARCH("India",Table2[[#This Row],[Emp_Name]])),"Office",
IF(ISNUMBER(SEARCH("Foreign",Table2[[#This Row],[Emp_Name]])),"Remote","")))</f>
        <v>Hybrid</v>
      </c>
      <c r="Z187">
        <v>5</v>
      </c>
      <c r="AA18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187" t="s">
        <v>22</v>
      </c>
      <c r="AC187" t="str">
        <f>IF(COUNTIF(Table2[Emp_ID],Table2[[#This Row],[Emp_ID]])&gt;1,"Duplicate","Unique")</f>
        <v>Unique</v>
      </c>
      <c r="AE187" s="2"/>
      <c r="AG187" t="str">
        <f>IF(Table2[[#This Row],[Monthly_Salary]]="","Exclude",
IF(Table2[[#This Row],[Row_Status]]="Mismatch","Exclude",
IF(AND(Table2[[#This Row],[Row_Status]]="Exact Duplicate",
COUNTIFS(Table2[Emp_ID],Table2[[#This Row],[Emp_ID]],Table2[Row_Concat],Table2[[#This Row],[Row_Concat]],
Table2[Row_Number],"&lt;"&amp;Table2[[#This Row],[Row_Number]])&gt;=1),"Delete","")))</f>
        <v/>
      </c>
      <c r="AH187" t="str">
        <f>VLOOKUP(Table2[[#This Row],[Department]],Raw_2!A:B,2,0)</f>
        <v>Day</v>
      </c>
      <c r="AI187">
        <f>VLOOKUP(Table2[[#This Row],[Department]],Raw_2!A:C,3,0)</f>
        <v>25</v>
      </c>
    </row>
    <row r="188" spans="1:35">
      <c r="A188" t="s">
        <v>420</v>
      </c>
      <c r="B188" t="s">
        <v>421</v>
      </c>
      <c r="C188">
        <v>28</v>
      </c>
      <c r="D188" t="s">
        <v>16</v>
      </c>
      <c r="E188" t="str">
        <f>IF(OR(Table2[[#This Row],[Gender]]="Male",Table2[[#This Row],[Gender]]="M"),"M",
IF(OR(Table2[[#This Row],[Gender]]="Female",Table2[[#This Row],[Gender]]="F"),"F",""))</f>
        <v>M</v>
      </c>
      <c r="F188" t="s">
        <v>50</v>
      </c>
      <c r="G188" t="s">
        <v>18</v>
      </c>
      <c r="H188" t="s">
        <v>1048</v>
      </c>
      <c r="I188" t="s">
        <v>1060</v>
      </c>
      <c r="J188" t="str">
        <f>IF(ISNUMBER(SEARCH("India",Table2[[#This Row],[Emp_Name]])),"INR",
IF(ISNUMBER(SEARCH("Foreign",Table2[[#This Row],[Emp_Name]])),Table2[[#This Row],[Currency]],Table2[[#This Row],[Currency]]))</f>
        <v>INR</v>
      </c>
      <c r="K188">
        <v>55000</v>
      </c>
      <c r="L188">
        <v>12</v>
      </c>
      <c r="M188">
        <f>IF(Table2[[#This Row],[Num_Month]]&lt;&gt;12,12,Table2[[#This Row],[Num_Month]])</f>
        <v>12</v>
      </c>
      <c r="N188">
        <f>IF(Table2[[#This Row],[Monthly_Salary]]="","",Table2[[#This Row],[Monthly_Salary]]*Table2[[#This Row],[Num_Month_Final]])</f>
        <v>660000</v>
      </c>
      <c r="O188">
        <v>3</v>
      </c>
      <c r="P188">
        <f>IF(Table2[[#This Row],[Exp_Years]]&lt;0,ABS(Table2[[#This Row],[Exp_Years]]),Table2[[#This Row],[Exp_Years]])</f>
        <v>3</v>
      </c>
      <c r="Q188">
        <v>4</v>
      </c>
      <c r="R188">
        <v>24000</v>
      </c>
      <c r="S188">
        <f>IF(Table2[[#This Row],[Performance_Rating]]&gt;=3,Table2[[#This Row],[Monthly_Salary]]*0.3,"")</f>
        <v>16500</v>
      </c>
      <c r="T188">
        <v>80</v>
      </c>
      <c r="U188">
        <v>10</v>
      </c>
      <c r="V188">
        <v>2</v>
      </c>
      <c r="W188" t="s">
        <v>21</v>
      </c>
      <c r="X188" t="s">
        <v>38</v>
      </c>
      <c r="Y188" t="str">
        <f>IF(Table2[[#This Row],[Work_Mode]]&lt;&gt;"",Table2[[#This Row],[Work_Mode]],
IF(ISNUMBER(SEARCH("India",Table2[[#This Row],[Emp_Name]])),"Office",
IF(ISNUMBER(SEARCH("Foreign",Table2[[#This Row],[Emp_Name]])),"Remote","")))</f>
        <v>Hybrid</v>
      </c>
      <c r="Z188">
        <v>5</v>
      </c>
      <c r="AA18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188" t="s">
        <v>22</v>
      </c>
      <c r="AC188" t="str">
        <f>IF(COUNTIF(Table2[Emp_ID],Table2[[#This Row],[Emp_ID]])&gt;1,"Duplicate","Unique")</f>
        <v>Unique</v>
      </c>
      <c r="AE188" s="2"/>
      <c r="AG188" t="str">
        <f>IF(Table2[[#This Row],[Monthly_Salary]]="","Exclude",
IF(Table2[[#This Row],[Row_Status]]="Mismatch","Exclude",
IF(AND(Table2[[#This Row],[Row_Status]]="Exact Duplicate",
COUNTIFS(Table2[Emp_ID],Table2[[#This Row],[Emp_ID]],Table2[Row_Concat],Table2[[#This Row],[Row_Concat]],
Table2[Row_Number],"&lt;"&amp;Table2[[#This Row],[Row_Number]])&gt;=1),"Delete","")))</f>
        <v/>
      </c>
      <c r="AH188" t="str">
        <f>VLOOKUP(Table2[[#This Row],[Department]],Raw_2!A:B,2,0)</f>
        <v>Day</v>
      </c>
      <c r="AI188">
        <f>VLOOKUP(Table2[[#This Row],[Department]],Raw_2!A:C,3,0)</f>
        <v>10</v>
      </c>
    </row>
    <row r="189" spans="1:35">
      <c r="A189" t="s">
        <v>422</v>
      </c>
      <c r="B189" t="s">
        <v>423</v>
      </c>
      <c r="C189">
        <v>24</v>
      </c>
      <c r="D189" t="s">
        <v>34</v>
      </c>
      <c r="E189" t="str">
        <f>IF(OR(Table2[[#This Row],[Gender]]="Male",Table2[[#This Row],[Gender]]="M"),"M",
IF(OR(Table2[[#This Row],[Gender]]="Female",Table2[[#This Row],[Gender]]="F"),"F",""))</f>
        <v>F</v>
      </c>
      <c r="F189" t="s">
        <v>17</v>
      </c>
      <c r="G189" t="s">
        <v>18</v>
      </c>
      <c r="H189" t="s">
        <v>1046</v>
      </c>
      <c r="I189" t="s">
        <v>1060</v>
      </c>
      <c r="J189" t="str">
        <f>IF(ISNUMBER(SEARCH("India",Table2[[#This Row],[Emp_Name]])),"INR",
IF(ISNUMBER(SEARCH("Foreign",Table2[[#This Row],[Emp_Name]])),Table2[[#This Row],[Currency]],Table2[[#This Row],[Currency]]))</f>
        <v>INR</v>
      </c>
      <c r="K189">
        <v>29000</v>
      </c>
      <c r="L189">
        <v>12</v>
      </c>
      <c r="M189">
        <f>IF(Table2[[#This Row],[Num_Month]]&lt;&gt;12,12,Table2[[#This Row],[Num_Month]])</f>
        <v>12</v>
      </c>
      <c r="N189">
        <f>IF(Table2[[#This Row],[Monthly_Salary]]="","",Table2[[#This Row],[Monthly_Salary]]*Table2[[#This Row],[Num_Month_Final]])</f>
        <v>348000</v>
      </c>
      <c r="O189">
        <v>0</v>
      </c>
      <c r="P189">
        <f>IF(Table2[[#This Row],[Exp_Years]]&lt;0,ABS(Table2[[#This Row],[Exp_Years]]),Table2[[#This Row],[Exp_Years]])</f>
        <v>0</v>
      </c>
      <c r="Q189">
        <v>2</v>
      </c>
      <c r="S189" t="str">
        <f>IF(Table2[[#This Row],[Performance_Rating]]&gt;=3,Table2[[#This Row],[Monthly_Salary]]*0.3,"")</f>
        <v/>
      </c>
      <c r="T189">
        <v>95</v>
      </c>
      <c r="U189">
        <v>12</v>
      </c>
      <c r="V189">
        <v>11</v>
      </c>
      <c r="X189" t="s">
        <v>38</v>
      </c>
      <c r="Y189" t="str">
        <f>IF(Table2[[#This Row],[Work_Mode]]&lt;&gt;"",Table2[[#This Row],[Work_Mode]],
IF(ISNUMBER(SEARCH("India",Table2[[#This Row],[Emp_Name]])),"Office",
IF(ISNUMBER(SEARCH("Foreign",Table2[[#This Row],[Emp_Name]])),"Remote","")))</f>
        <v>Hybrid</v>
      </c>
      <c r="Z189">
        <v>10</v>
      </c>
      <c r="AA18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189" t="s">
        <v>39</v>
      </c>
      <c r="AC189" t="str">
        <f>IF(COUNTIF(Table2[Emp_ID],Table2[[#This Row],[Emp_ID]])&gt;1,"Duplicate","Unique")</f>
        <v>Unique</v>
      </c>
      <c r="AE189" s="2"/>
      <c r="AG189" t="str">
        <f>IF(Table2[[#This Row],[Monthly_Salary]]="","Exclude",
IF(Table2[[#This Row],[Row_Status]]="Mismatch","Exclude",
IF(AND(Table2[[#This Row],[Row_Status]]="Exact Duplicate",
COUNTIFS(Table2[Emp_ID],Table2[[#This Row],[Emp_ID]],Table2[Row_Concat],Table2[[#This Row],[Row_Concat]],
Table2[Row_Number],"&lt;"&amp;Table2[[#This Row],[Row_Number]])&gt;=1),"Delete","")))</f>
        <v/>
      </c>
      <c r="AH189" t="str">
        <f>VLOOKUP(Table2[[#This Row],[Department]],Raw_2!A:B,2,0)</f>
        <v>Day</v>
      </c>
      <c r="AI189">
        <f>VLOOKUP(Table2[[#This Row],[Department]],Raw_2!A:C,3,0)</f>
        <v>10</v>
      </c>
    </row>
    <row r="190" spans="1:35">
      <c r="A190" t="s">
        <v>424</v>
      </c>
      <c r="B190" t="s">
        <v>425</v>
      </c>
      <c r="C190">
        <v>40</v>
      </c>
      <c r="D190" t="s">
        <v>34</v>
      </c>
      <c r="E190" t="str">
        <f>IF(OR(Table2[[#This Row],[Gender]]="Male",Table2[[#This Row],[Gender]]="M"),"M",
IF(OR(Table2[[#This Row],[Gender]]="Female",Table2[[#This Row],[Gender]]="F"),"F",""))</f>
        <v>F</v>
      </c>
      <c r="F190" t="s">
        <v>26</v>
      </c>
      <c r="G190" t="s">
        <v>36</v>
      </c>
      <c r="H190" t="s">
        <v>32</v>
      </c>
      <c r="I190" t="s">
        <v>1060</v>
      </c>
      <c r="J190" t="str">
        <f>IF(ISNUMBER(SEARCH("India",Table2[[#This Row],[Emp_Name]])),"INR",
IF(ISNUMBER(SEARCH("Foreign",Table2[[#This Row],[Emp_Name]])),Table2[[#This Row],[Currency]],Table2[[#This Row],[Currency]]))</f>
        <v>INR</v>
      </c>
      <c r="K190">
        <v>90000</v>
      </c>
      <c r="L190">
        <v>12</v>
      </c>
      <c r="M190">
        <f>IF(Table2[[#This Row],[Num_Month]]&lt;&gt;12,12,Table2[[#This Row],[Num_Month]])</f>
        <v>12</v>
      </c>
      <c r="N190">
        <f>IF(Table2[[#This Row],[Monthly_Salary]]="","",Table2[[#This Row],[Monthly_Salary]]*Table2[[#This Row],[Num_Month_Final]])</f>
        <v>1080000</v>
      </c>
      <c r="O190">
        <v>12</v>
      </c>
      <c r="P190">
        <f>IF(Table2[[#This Row],[Exp_Years]]&lt;0,ABS(Table2[[#This Row],[Exp_Years]]),Table2[[#This Row],[Exp_Years]])</f>
        <v>12</v>
      </c>
      <c r="Q190">
        <v>5</v>
      </c>
      <c r="R190">
        <v>27820</v>
      </c>
      <c r="S190">
        <f>IF(Table2[[#This Row],[Performance_Rating]]&gt;=3,Table2[[#This Row],[Monthly_Salary]]*0.3,"")</f>
        <v>27000</v>
      </c>
      <c r="T190">
        <v>87</v>
      </c>
      <c r="U190">
        <v>12</v>
      </c>
      <c r="V190">
        <v>3</v>
      </c>
      <c r="X190" t="s">
        <v>19</v>
      </c>
      <c r="Y190" t="str">
        <f>IF(Table2[[#This Row],[Work_Mode]]&lt;&gt;"",Table2[[#This Row],[Work_Mode]],
IF(ISNUMBER(SEARCH("India",Table2[[#This Row],[Emp_Name]])),"Office",
IF(ISNUMBER(SEARCH("Foreign",Table2[[#This Row],[Emp_Name]])),"Remote","")))</f>
        <v>Office</v>
      </c>
      <c r="Z190">
        <v>5</v>
      </c>
      <c r="AA19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1750</v>
      </c>
      <c r="AB190" t="s">
        <v>58</v>
      </c>
      <c r="AC190" t="str">
        <f>IF(COUNTIF(Table2[Emp_ID],Table2[[#This Row],[Emp_ID]])&gt;1,"Duplicate","Unique")</f>
        <v>Unique</v>
      </c>
      <c r="AE190" s="2"/>
      <c r="AG190" t="str">
        <f>IF(Table2[[#This Row],[Monthly_Salary]]="","Exclude",
IF(Table2[[#This Row],[Row_Status]]="Mismatch","Exclude",
IF(AND(Table2[[#This Row],[Row_Status]]="Exact Duplicate",
COUNTIFS(Table2[Emp_ID],Table2[[#This Row],[Emp_ID]],Table2[Row_Concat],Table2[[#This Row],[Row_Concat]],
Table2[Row_Number],"&lt;"&amp;Table2[[#This Row],[Row_Number]])&gt;=1),"Delete","")))</f>
        <v/>
      </c>
      <c r="AH190" t="str">
        <f>VLOOKUP(Table2[[#This Row],[Department]],Raw_2!A:B,2,0)</f>
        <v>Day</v>
      </c>
      <c r="AI190">
        <f>VLOOKUP(Table2[[#This Row],[Department]],Raw_2!A:C,3,0)</f>
        <v>25</v>
      </c>
    </row>
    <row r="191" spans="1:35">
      <c r="A191" t="s">
        <v>426</v>
      </c>
      <c r="B191" t="s">
        <v>427</v>
      </c>
      <c r="C191">
        <v>23</v>
      </c>
      <c r="D191" t="s">
        <v>25</v>
      </c>
      <c r="E191" t="str">
        <f>IF(OR(Table2[[#This Row],[Gender]]="Male",Table2[[#This Row],[Gender]]="M"),"M",
IF(OR(Table2[[#This Row],[Gender]]="Female",Table2[[#This Row],[Gender]]="F"),"F",""))</f>
        <v>F</v>
      </c>
      <c r="F191" t="s">
        <v>26</v>
      </c>
      <c r="G191" t="s">
        <v>31</v>
      </c>
      <c r="H191" t="s">
        <v>1046</v>
      </c>
      <c r="I191" t="s">
        <v>1060</v>
      </c>
      <c r="J191" t="str">
        <f>IF(ISNUMBER(SEARCH("India",Table2[[#This Row],[Emp_Name]])),"INR",
IF(ISNUMBER(SEARCH("Foreign",Table2[[#This Row],[Emp_Name]])),Table2[[#This Row],[Currency]],Table2[[#This Row],[Currency]]))</f>
        <v>INR</v>
      </c>
      <c r="K191">
        <v>29000</v>
      </c>
      <c r="L191">
        <v>12</v>
      </c>
      <c r="M191">
        <f>IF(Table2[[#This Row],[Num_Month]]&lt;&gt;12,12,Table2[[#This Row],[Num_Month]])</f>
        <v>12</v>
      </c>
      <c r="N191">
        <f>IF(Table2[[#This Row],[Monthly_Salary]]="","",Table2[[#This Row],[Monthly_Salary]]*Table2[[#This Row],[Num_Month_Final]])</f>
        <v>348000</v>
      </c>
      <c r="O191">
        <v>0</v>
      </c>
      <c r="P191">
        <f>IF(Table2[[#This Row],[Exp_Years]]&lt;0,ABS(Table2[[#This Row],[Exp_Years]]),Table2[[#This Row],[Exp_Years]])</f>
        <v>0</v>
      </c>
      <c r="Q191">
        <v>5</v>
      </c>
      <c r="R191">
        <v>9000</v>
      </c>
      <c r="S191">
        <f>IF(Table2[[#This Row],[Performance_Rating]]&gt;=3,Table2[[#This Row],[Monthly_Salary]]*0.3,"")</f>
        <v>8700</v>
      </c>
      <c r="T191">
        <v>85</v>
      </c>
      <c r="U191">
        <v>10</v>
      </c>
      <c r="V191">
        <v>3</v>
      </c>
      <c r="X191" t="s">
        <v>19</v>
      </c>
      <c r="Y191" t="str">
        <f>IF(Table2[[#This Row],[Work_Mode]]&lt;&gt;"",Table2[[#This Row],[Work_Mode]],
IF(ISNUMBER(SEARCH("India",Table2[[#This Row],[Emp_Name]])),"Office",
IF(ISNUMBER(SEARCH("Foreign",Table2[[#This Row],[Emp_Name]])),"Remote","")))</f>
        <v>Office</v>
      </c>
      <c r="Z191">
        <v>20</v>
      </c>
      <c r="AA19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191" t="s">
        <v>58</v>
      </c>
      <c r="AC191" t="str">
        <f>IF(COUNTIF(Table2[Emp_ID],Table2[[#This Row],[Emp_ID]])&gt;1,"Duplicate","Unique")</f>
        <v>Unique</v>
      </c>
      <c r="AE191" s="2"/>
      <c r="AG191" t="str">
        <f>IF(Table2[[#This Row],[Monthly_Salary]]="","Exclude",
IF(Table2[[#This Row],[Row_Status]]="Mismatch","Exclude",
IF(AND(Table2[[#This Row],[Row_Status]]="Exact Duplicate",
COUNTIFS(Table2[Emp_ID],Table2[[#This Row],[Emp_ID]],Table2[Row_Concat],Table2[[#This Row],[Row_Concat]],
Table2[Row_Number],"&lt;"&amp;Table2[[#This Row],[Row_Number]])&gt;=1),"Delete","")))</f>
        <v/>
      </c>
      <c r="AH191" t="str">
        <f>VLOOKUP(Table2[[#This Row],[Department]],Raw_2!A:B,2,0)</f>
        <v>Night</v>
      </c>
      <c r="AI191">
        <f>VLOOKUP(Table2[[#This Row],[Department]],Raw_2!A:C,3,0)</f>
        <v>13</v>
      </c>
    </row>
    <row r="192" spans="1:35">
      <c r="A192" t="s">
        <v>428</v>
      </c>
      <c r="B192" t="s">
        <v>429</v>
      </c>
      <c r="C192">
        <v>23</v>
      </c>
      <c r="D192" t="s">
        <v>16</v>
      </c>
      <c r="E192" t="str">
        <f>IF(OR(Table2[[#This Row],[Gender]]="Male",Table2[[#This Row],[Gender]]="M"),"M",
IF(OR(Table2[[#This Row],[Gender]]="Female",Table2[[#This Row],[Gender]]="F"),"F",""))</f>
        <v>M</v>
      </c>
      <c r="F192" t="s">
        <v>64</v>
      </c>
      <c r="G192" t="s">
        <v>36</v>
      </c>
      <c r="H192" t="s">
        <v>1046</v>
      </c>
      <c r="I192" t="s">
        <v>1060</v>
      </c>
      <c r="J192" t="str">
        <f>IF(ISNUMBER(SEARCH("India",Table2[[#This Row],[Emp_Name]])),"INR",
IF(ISNUMBER(SEARCH("Foreign",Table2[[#This Row],[Emp_Name]])),Table2[[#This Row],[Currency]],Table2[[#This Row],[Currency]]))</f>
        <v>INR</v>
      </c>
      <c r="K192">
        <v>29000</v>
      </c>
      <c r="L192">
        <v>12</v>
      </c>
      <c r="M192">
        <f>IF(Table2[[#This Row],[Num_Month]]&lt;&gt;12,12,Table2[[#This Row],[Num_Month]])</f>
        <v>12</v>
      </c>
      <c r="N192">
        <f>IF(Table2[[#This Row],[Monthly_Salary]]="","",Table2[[#This Row],[Monthly_Salary]]*Table2[[#This Row],[Num_Month_Final]])</f>
        <v>348000</v>
      </c>
      <c r="O192">
        <v>2</v>
      </c>
      <c r="P192">
        <f>IF(Table2[[#This Row],[Exp_Years]]&lt;0,ABS(Table2[[#This Row],[Exp_Years]]),Table2[[#This Row],[Exp_Years]])</f>
        <v>2</v>
      </c>
      <c r="Q192">
        <v>2</v>
      </c>
      <c r="S192" t="str">
        <f>IF(Table2[[#This Row],[Performance_Rating]]&gt;=3,Table2[[#This Row],[Monthly_Salary]]*0.3,"")</f>
        <v/>
      </c>
      <c r="T192">
        <v>85</v>
      </c>
      <c r="U192">
        <v>12</v>
      </c>
      <c r="V192">
        <v>3</v>
      </c>
      <c r="W192" t="s">
        <v>21</v>
      </c>
      <c r="X192" t="s">
        <v>19</v>
      </c>
      <c r="Y192" t="str">
        <f>IF(Table2[[#This Row],[Work_Mode]]&lt;&gt;"",Table2[[#This Row],[Work_Mode]],
IF(ISNUMBER(SEARCH("India",Table2[[#This Row],[Emp_Name]])),"Office",
IF(ISNUMBER(SEARCH("Foreign",Table2[[#This Row],[Emp_Name]])),"Remote","")))</f>
        <v>Office</v>
      </c>
      <c r="Z192">
        <v>20</v>
      </c>
      <c r="AA19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192" t="s">
        <v>39</v>
      </c>
      <c r="AC192" t="str">
        <f>IF(COUNTIF(Table2[Emp_ID],Table2[[#This Row],[Emp_ID]])&gt;1,"Duplicate","Unique")</f>
        <v>Unique</v>
      </c>
      <c r="AE192" s="2"/>
      <c r="AG192" t="str">
        <f>IF(Table2[[#This Row],[Monthly_Salary]]="","Exclude",
IF(Table2[[#This Row],[Row_Status]]="Mismatch","Exclude",
IF(AND(Table2[[#This Row],[Row_Status]]="Exact Duplicate",
COUNTIFS(Table2[Emp_ID],Table2[[#This Row],[Emp_ID]],Table2[Row_Concat],Table2[[#This Row],[Row_Concat]],
Table2[Row_Number],"&lt;"&amp;Table2[[#This Row],[Row_Number]])&gt;=1),"Delete","")))</f>
        <v/>
      </c>
      <c r="AH192" t="str">
        <f>VLOOKUP(Table2[[#This Row],[Department]],Raw_2!A:B,2,0)</f>
        <v>Day</v>
      </c>
      <c r="AI192">
        <f>VLOOKUP(Table2[[#This Row],[Department]],Raw_2!A:C,3,0)</f>
        <v>25</v>
      </c>
    </row>
    <row r="193" spans="1:35">
      <c r="A193" t="s">
        <v>430</v>
      </c>
      <c r="B193" t="s">
        <v>431</v>
      </c>
      <c r="C193">
        <v>20</v>
      </c>
      <c r="E193" t="str">
        <f>IF(OR(Table2[[#This Row],[Gender]]="Male",Table2[[#This Row],[Gender]]="M"),"M",
IF(OR(Table2[[#This Row],[Gender]]="Female",Table2[[#This Row],[Gender]]="F"),"F",""))</f>
        <v/>
      </c>
      <c r="F193" t="s">
        <v>65</v>
      </c>
      <c r="G193" t="s">
        <v>31</v>
      </c>
      <c r="H193" t="s">
        <v>1046</v>
      </c>
      <c r="I193" t="s">
        <v>1060</v>
      </c>
      <c r="J193" t="str">
        <f>IF(ISNUMBER(SEARCH("India",Table2[[#This Row],[Emp_Name]])),"INR",
IF(ISNUMBER(SEARCH("Foreign",Table2[[#This Row],[Emp_Name]])),Table2[[#This Row],[Currency]],Table2[[#This Row],[Currency]]))</f>
        <v>INR</v>
      </c>
      <c r="K193">
        <v>29000</v>
      </c>
      <c r="L193">
        <v>12</v>
      </c>
      <c r="M193">
        <f>IF(Table2[[#This Row],[Num_Month]]&lt;&gt;12,12,Table2[[#This Row],[Num_Month]])</f>
        <v>12</v>
      </c>
      <c r="N193">
        <f>IF(Table2[[#This Row],[Monthly_Salary]]="","",Table2[[#This Row],[Monthly_Salary]]*Table2[[#This Row],[Num_Month_Final]])</f>
        <v>348000</v>
      </c>
      <c r="O193">
        <v>1</v>
      </c>
      <c r="P193">
        <f>IF(Table2[[#This Row],[Exp_Years]]&lt;0,ABS(Table2[[#This Row],[Exp_Years]]),Table2[[#This Row],[Exp_Years]])</f>
        <v>1</v>
      </c>
      <c r="Q193">
        <v>4</v>
      </c>
      <c r="R193">
        <v>7000</v>
      </c>
      <c r="S193">
        <f>IF(Table2[[#This Row],[Performance_Rating]]&gt;=3,Table2[[#This Row],[Monthly_Salary]]*0.3,"")</f>
        <v>8700</v>
      </c>
      <c r="T193">
        <v>95</v>
      </c>
      <c r="U193">
        <v>12</v>
      </c>
      <c r="V193">
        <v>5</v>
      </c>
      <c r="W193" t="s">
        <v>21</v>
      </c>
      <c r="X193" t="s">
        <v>38</v>
      </c>
      <c r="Y193" t="str">
        <f>IF(Table2[[#This Row],[Work_Mode]]&lt;&gt;"",Table2[[#This Row],[Work_Mode]],
IF(ISNUMBER(SEARCH("India",Table2[[#This Row],[Emp_Name]])),"Office",
IF(ISNUMBER(SEARCH("Foreign",Table2[[#This Row],[Emp_Name]])),"Remote","")))</f>
        <v>Hybrid</v>
      </c>
      <c r="AA19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93" t="s">
        <v>22</v>
      </c>
      <c r="AC193" t="str">
        <f>IF(COUNTIF(Table2[Emp_ID],Table2[[#This Row],[Emp_ID]])&gt;1,"Duplicate","Unique")</f>
        <v>Unique</v>
      </c>
      <c r="AE193" s="2"/>
      <c r="AG193" t="str">
        <f>IF(Table2[[#This Row],[Monthly_Salary]]="","Exclude",
IF(Table2[[#This Row],[Row_Status]]="Mismatch","Exclude",
IF(AND(Table2[[#This Row],[Row_Status]]="Exact Duplicate",
COUNTIFS(Table2[Emp_ID],Table2[[#This Row],[Emp_ID]],Table2[Row_Concat],Table2[[#This Row],[Row_Concat]],
Table2[Row_Number],"&lt;"&amp;Table2[[#This Row],[Row_Number]])&gt;=1),"Delete","")))</f>
        <v/>
      </c>
      <c r="AH193" t="str">
        <f>VLOOKUP(Table2[[#This Row],[Department]],Raw_2!A:B,2,0)</f>
        <v>Night</v>
      </c>
      <c r="AI193">
        <f>VLOOKUP(Table2[[#This Row],[Department]],Raw_2!A:C,3,0)</f>
        <v>13</v>
      </c>
    </row>
    <row r="194" spans="1:35">
      <c r="A194" t="s">
        <v>432</v>
      </c>
      <c r="B194" t="s">
        <v>433</v>
      </c>
      <c r="C194">
        <v>22</v>
      </c>
      <c r="E194" t="str">
        <f>IF(OR(Table2[[#This Row],[Gender]]="Male",Table2[[#This Row],[Gender]]="M"),"M",
IF(OR(Table2[[#This Row],[Gender]]="Female",Table2[[#This Row],[Gender]]="F"),"F",""))</f>
        <v/>
      </c>
      <c r="F194" t="s">
        <v>50</v>
      </c>
      <c r="G194" t="s">
        <v>42</v>
      </c>
      <c r="H194" t="s">
        <v>1046</v>
      </c>
      <c r="I194" t="s">
        <v>1060</v>
      </c>
      <c r="J194" t="str">
        <f>IF(ISNUMBER(SEARCH("India",Table2[[#This Row],[Emp_Name]])),"INR",
IF(ISNUMBER(SEARCH("Foreign",Table2[[#This Row],[Emp_Name]])),Table2[[#This Row],[Currency]],Table2[[#This Row],[Currency]]))</f>
        <v>INR</v>
      </c>
      <c r="K194">
        <v>29000</v>
      </c>
      <c r="L194">
        <v>12</v>
      </c>
      <c r="M194">
        <f>IF(Table2[[#This Row],[Num_Month]]&lt;&gt;12,12,Table2[[#This Row],[Num_Month]])</f>
        <v>12</v>
      </c>
      <c r="N194">
        <f>IF(Table2[[#This Row],[Monthly_Salary]]="","",Table2[[#This Row],[Monthly_Salary]]*Table2[[#This Row],[Num_Month_Final]])</f>
        <v>348000</v>
      </c>
      <c r="O194">
        <v>0</v>
      </c>
      <c r="P194">
        <f>IF(Table2[[#This Row],[Exp_Years]]&lt;0,ABS(Table2[[#This Row],[Exp_Years]]),Table2[[#This Row],[Exp_Years]])</f>
        <v>0</v>
      </c>
      <c r="Q194">
        <v>3</v>
      </c>
      <c r="R194">
        <v>7000</v>
      </c>
      <c r="S194">
        <f>IF(Table2[[#This Row],[Performance_Rating]]&gt;=3,Table2[[#This Row],[Monthly_Salary]]*0.3,"")</f>
        <v>8700</v>
      </c>
      <c r="T194">
        <v>90</v>
      </c>
      <c r="U194">
        <v>5</v>
      </c>
      <c r="V194">
        <v>5</v>
      </c>
      <c r="W194" t="s">
        <v>37</v>
      </c>
      <c r="X194" t="s">
        <v>38</v>
      </c>
      <c r="Y194" t="str">
        <f>IF(Table2[[#This Row],[Work_Mode]]&lt;&gt;"",Table2[[#This Row],[Work_Mode]],
IF(ISNUMBER(SEARCH("India",Table2[[#This Row],[Emp_Name]])),"Office",
IF(ISNUMBER(SEARCH("Foreign",Table2[[#This Row],[Emp_Name]])),"Remote","")))</f>
        <v>Hybrid</v>
      </c>
      <c r="AA19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94" t="s">
        <v>22</v>
      </c>
      <c r="AC194" t="str">
        <f>IF(COUNTIF(Table2[Emp_ID],Table2[[#This Row],[Emp_ID]])&gt;1,"Duplicate","Unique")</f>
        <v>Unique</v>
      </c>
      <c r="AE194" s="2"/>
      <c r="AG194" t="str">
        <f>IF(Table2[[#This Row],[Monthly_Salary]]="","Exclude",
IF(Table2[[#This Row],[Row_Status]]="Mismatch","Exclude",
IF(AND(Table2[[#This Row],[Row_Status]]="Exact Duplicate",
COUNTIFS(Table2[Emp_ID],Table2[[#This Row],[Emp_ID]],Table2[Row_Concat],Table2[[#This Row],[Row_Concat]],
Table2[Row_Number],"&lt;"&amp;Table2[[#This Row],[Row_Number]])&gt;=1),"Delete","")))</f>
        <v/>
      </c>
      <c r="AH194" t="str">
        <f>VLOOKUP(Table2[[#This Row],[Department]],Raw_2!A:B,2,0)</f>
        <v>Day</v>
      </c>
      <c r="AI194">
        <f>VLOOKUP(Table2[[#This Row],[Department]],Raw_2!A:C,3,0)</f>
        <v>14</v>
      </c>
    </row>
    <row r="195" spans="1:35">
      <c r="A195" t="s">
        <v>434</v>
      </c>
      <c r="B195" t="s">
        <v>435</v>
      </c>
      <c r="C195">
        <v>20</v>
      </c>
      <c r="D195" t="s">
        <v>16</v>
      </c>
      <c r="E195" t="str">
        <f>IF(OR(Table2[[#This Row],[Gender]]="Male",Table2[[#This Row],[Gender]]="M"),"M",
IF(OR(Table2[[#This Row],[Gender]]="Female",Table2[[#This Row],[Gender]]="F"),"F",""))</f>
        <v>M</v>
      </c>
      <c r="F195" t="s">
        <v>47</v>
      </c>
      <c r="G195" t="s">
        <v>36</v>
      </c>
      <c r="H195" t="s">
        <v>1046</v>
      </c>
      <c r="I195" t="s">
        <v>1060</v>
      </c>
      <c r="J195" t="str">
        <f>IF(ISNUMBER(SEARCH("India",Table2[[#This Row],[Emp_Name]])),"INR",
IF(ISNUMBER(SEARCH("Foreign",Table2[[#This Row],[Emp_Name]])),Table2[[#This Row],[Currency]],Table2[[#This Row],[Currency]]))</f>
        <v>INR</v>
      </c>
      <c r="K195">
        <v>29000</v>
      </c>
      <c r="L195">
        <v>12</v>
      </c>
      <c r="M195">
        <f>IF(Table2[[#This Row],[Num_Month]]&lt;&gt;12,12,Table2[[#This Row],[Num_Month]])</f>
        <v>12</v>
      </c>
      <c r="N195">
        <f>IF(Table2[[#This Row],[Monthly_Salary]]="","",Table2[[#This Row],[Monthly_Salary]]*Table2[[#This Row],[Num_Month_Final]])</f>
        <v>348000</v>
      </c>
      <c r="O195">
        <v>0</v>
      </c>
      <c r="P195">
        <f>IF(Table2[[#This Row],[Exp_Years]]&lt;0,ABS(Table2[[#This Row],[Exp_Years]]),Table2[[#This Row],[Exp_Years]])</f>
        <v>0</v>
      </c>
      <c r="Q195">
        <v>3</v>
      </c>
      <c r="R195">
        <v>5000</v>
      </c>
      <c r="S195">
        <f>IF(Table2[[#This Row],[Performance_Rating]]&gt;=3,Table2[[#This Row],[Monthly_Salary]]*0.3,"")</f>
        <v>8700</v>
      </c>
      <c r="T195">
        <v>85</v>
      </c>
      <c r="U195">
        <v>15</v>
      </c>
      <c r="V195">
        <v>1</v>
      </c>
      <c r="W195" t="s">
        <v>37</v>
      </c>
      <c r="X195" t="s">
        <v>19</v>
      </c>
      <c r="Y195" t="str">
        <f>IF(Table2[[#This Row],[Work_Mode]]&lt;&gt;"",Table2[[#This Row],[Work_Mode]],
IF(ISNUMBER(SEARCH("India",Table2[[#This Row],[Emp_Name]])),"Office",
IF(ISNUMBER(SEARCH("Foreign",Table2[[#This Row],[Emp_Name]])),"Remote","")))</f>
        <v>Office</v>
      </c>
      <c r="Z195">
        <v>10</v>
      </c>
      <c r="AA19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195" t="s">
        <v>22</v>
      </c>
      <c r="AC195" t="str">
        <f>IF(COUNTIF(Table2[Emp_ID],Table2[[#This Row],[Emp_ID]])&gt;1,"Duplicate","Unique")</f>
        <v>Unique</v>
      </c>
      <c r="AE195" s="2"/>
      <c r="AG195" t="str">
        <f>IF(Table2[[#This Row],[Monthly_Salary]]="","Exclude",
IF(Table2[[#This Row],[Row_Status]]="Mismatch","Exclude",
IF(AND(Table2[[#This Row],[Row_Status]]="Exact Duplicate",
COUNTIFS(Table2[Emp_ID],Table2[[#This Row],[Emp_ID]],Table2[Row_Concat],Table2[[#This Row],[Row_Concat]],
Table2[Row_Number],"&lt;"&amp;Table2[[#This Row],[Row_Number]])&gt;=1),"Delete","")))</f>
        <v/>
      </c>
      <c r="AH195" t="str">
        <f>VLOOKUP(Table2[[#This Row],[Department]],Raw_2!A:B,2,0)</f>
        <v>Day</v>
      </c>
      <c r="AI195">
        <f>VLOOKUP(Table2[[#This Row],[Department]],Raw_2!A:C,3,0)</f>
        <v>25</v>
      </c>
    </row>
    <row r="196" spans="1:35">
      <c r="A196" t="s">
        <v>436</v>
      </c>
      <c r="B196" t="s">
        <v>437</v>
      </c>
      <c r="C196">
        <v>22</v>
      </c>
      <c r="D196" t="s">
        <v>25</v>
      </c>
      <c r="E196" t="str">
        <f>IF(OR(Table2[[#This Row],[Gender]]="Male",Table2[[#This Row],[Gender]]="M"),"M",
IF(OR(Table2[[#This Row],[Gender]]="Female",Table2[[#This Row],[Gender]]="F"),"F",""))</f>
        <v>F</v>
      </c>
      <c r="F196" t="s">
        <v>26</v>
      </c>
      <c r="G196" t="s">
        <v>18</v>
      </c>
      <c r="H196" t="s">
        <v>1046</v>
      </c>
      <c r="I196" t="s">
        <v>1059</v>
      </c>
      <c r="J196" t="str">
        <f>IF(ISNUMBER(SEARCH("India",Table2[[#This Row],[Emp_Name]])),"INR",
IF(ISNUMBER(SEARCH("Foreign",Table2[[#This Row],[Emp_Name]])),Table2[[#This Row],[Currency]],Table2[[#This Row],[Currency]]))</f>
        <v>USD</v>
      </c>
      <c r="K196">
        <v>29000</v>
      </c>
      <c r="L196">
        <v>12</v>
      </c>
      <c r="M196">
        <f>IF(Table2[[#This Row],[Num_Month]]&lt;&gt;12,12,Table2[[#This Row],[Num_Month]])</f>
        <v>12</v>
      </c>
      <c r="N196">
        <f>IF(Table2[[#This Row],[Monthly_Salary]]="","",Table2[[#This Row],[Monthly_Salary]]*Table2[[#This Row],[Num_Month_Final]])</f>
        <v>348000</v>
      </c>
      <c r="O196">
        <v>1</v>
      </c>
      <c r="P196">
        <f>IF(Table2[[#This Row],[Exp_Years]]&lt;0,ABS(Table2[[#This Row],[Exp_Years]]),Table2[[#This Row],[Exp_Years]])</f>
        <v>1</v>
      </c>
      <c r="Q196">
        <v>5</v>
      </c>
      <c r="R196">
        <v>9000</v>
      </c>
      <c r="S196">
        <f>IF(Table2[[#This Row],[Performance_Rating]]&gt;=3,Table2[[#This Row],[Monthly_Salary]]*0.3,"")</f>
        <v>8700</v>
      </c>
      <c r="T196">
        <v>85</v>
      </c>
      <c r="U196">
        <v>12</v>
      </c>
      <c r="V196">
        <v>12</v>
      </c>
      <c r="W196" t="s">
        <v>21</v>
      </c>
      <c r="X196" t="s">
        <v>28</v>
      </c>
      <c r="Y196" t="str">
        <f>IF(Table2[[#This Row],[Work_Mode]]&lt;&gt;"",Table2[[#This Row],[Work_Mode]],
IF(ISNUMBER(SEARCH("India",Table2[[#This Row],[Emp_Name]])),"Office",
IF(ISNUMBER(SEARCH("Foreign",Table2[[#This Row],[Emp_Name]])),"Remote","")))</f>
        <v>Remote</v>
      </c>
      <c r="AA19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196" t="s">
        <v>58</v>
      </c>
      <c r="AC196" t="str">
        <f>IF(COUNTIF(Table2[Emp_ID],Table2[[#This Row],[Emp_ID]])&gt;1,"Duplicate","Unique")</f>
        <v>Unique</v>
      </c>
      <c r="AE196" s="2"/>
      <c r="AG196" t="str">
        <f>IF(Table2[[#This Row],[Monthly_Salary]]="","Exclude",
IF(Table2[[#This Row],[Row_Status]]="Mismatch","Exclude",
IF(AND(Table2[[#This Row],[Row_Status]]="Exact Duplicate",
COUNTIFS(Table2[Emp_ID],Table2[[#This Row],[Emp_ID]],Table2[Row_Concat],Table2[[#This Row],[Row_Concat]],
Table2[Row_Number],"&lt;"&amp;Table2[[#This Row],[Row_Number]])&gt;=1),"Delete","")))</f>
        <v/>
      </c>
      <c r="AH196" t="str">
        <f>VLOOKUP(Table2[[#This Row],[Department]],Raw_2!A:B,2,0)</f>
        <v>Day</v>
      </c>
      <c r="AI196">
        <f>VLOOKUP(Table2[[#This Row],[Department]],Raw_2!A:C,3,0)</f>
        <v>10</v>
      </c>
    </row>
    <row r="197" spans="1:35">
      <c r="A197" t="s">
        <v>438</v>
      </c>
      <c r="B197" t="s">
        <v>439</v>
      </c>
      <c r="C197">
        <v>23</v>
      </c>
      <c r="D197" t="s">
        <v>34</v>
      </c>
      <c r="E197" t="str">
        <f>IF(OR(Table2[[#This Row],[Gender]]="Male",Table2[[#This Row],[Gender]]="M"),"M",
IF(OR(Table2[[#This Row],[Gender]]="Female",Table2[[#This Row],[Gender]]="F"),"F",""))</f>
        <v>F</v>
      </c>
      <c r="F197" t="s">
        <v>73</v>
      </c>
      <c r="G197" t="s">
        <v>42</v>
      </c>
      <c r="H197" t="s">
        <v>1046</v>
      </c>
      <c r="I197" t="s">
        <v>1060</v>
      </c>
      <c r="J197" t="str">
        <f>IF(ISNUMBER(SEARCH("India",Table2[[#This Row],[Emp_Name]])),"INR",
IF(ISNUMBER(SEARCH("Foreign",Table2[[#This Row],[Emp_Name]])),Table2[[#This Row],[Currency]],Table2[[#This Row],[Currency]]))</f>
        <v>INR</v>
      </c>
      <c r="K197">
        <v>29000</v>
      </c>
      <c r="L197">
        <v>12</v>
      </c>
      <c r="M197">
        <f>IF(Table2[[#This Row],[Num_Month]]&lt;&gt;12,12,Table2[[#This Row],[Num_Month]])</f>
        <v>12</v>
      </c>
      <c r="N197">
        <f>IF(Table2[[#This Row],[Monthly_Salary]]="","",Table2[[#This Row],[Monthly_Salary]]*Table2[[#This Row],[Num_Month_Final]])</f>
        <v>348000</v>
      </c>
      <c r="O197">
        <v>2</v>
      </c>
      <c r="P197">
        <f>IF(Table2[[#This Row],[Exp_Years]]&lt;0,ABS(Table2[[#This Row],[Exp_Years]]),Table2[[#This Row],[Exp_Years]])</f>
        <v>2</v>
      </c>
      <c r="Q197">
        <v>3</v>
      </c>
      <c r="R197">
        <v>6000</v>
      </c>
      <c r="S197">
        <f>IF(Table2[[#This Row],[Performance_Rating]]&gt;=3,Table2[[#This Row],[Monthly_Salary]]*0.3,"")</f>
        <v>8700</v>
      </c>
      <c r="T197">
        <v>95</v>
      </c>
      <c r="U197">
        <v>5</v>
      </c>
      <c r="V197">
        <v>3</v>
      </c>
      <c r="W197" t="s">
        <v>37</v>
      </c>
      <c r="X197" t="s">
        <v>19</v>
      </c>
      <c r="Y197" t="str">
        <f>IF(Table2[[#This Row],[Work_Mode]]&lt;&gt;"",Table2[[#This Row],[Work_Mode]],
IF(ISNUMBER(SEARCH("India",Table2[[#This Row],[Emp_Name]])),"Office",
IF(ISNUMBER(SEARCH("Foreign",Table2[[#This Row],[Emp_Name]])),"Remote","")))</f>
        <v>Office</v>
      </c>
      <c r="Z197">
        <v>20</v>
      </c>
      <c r="AA19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197" t="s">
        <v>22</v>
      </c>
      <c r="AC197" t="str">
        <f>IF(COUNTIF(Table2[Emp_ID],Table2[[#This Row],[Emp_ID]])&gt;1,"Duplicate","Unique")</f>
        <v>Unique</v>
      </c>
      <c r="AE197" s="2"/>
      <c r="AG197" t="str">
        <f>IF(Table2[[#This Row],[Monthly_Salary]]="","Exclude",
IF(Table2[[#This Row],[Row_Status]]="Mismatch","Exclude",
IF(AND(Table2[[#This Row],[Row_Status]]="Exact Duplicate",
COUNTIFS(Table2[Emp_ID],Table2[[#This Row],[Emp_ID]],Table2[Row_Concat],Table2[[#This Row],[Row_Concat]],
Table2[Row_Number],"&lt;"&amp;Table2[[#This Row],[Row_Number]])&gt;=1),"Delete","")))</f>
        <v/>
      </c>
      <c r="AH197" t="str">
        <f>VLOOKUP(Table2[[#This Row],[Department]],Raw_2!A:B,2,0)</f>
        <v>Day</v>
      </c>
      <c r="AI197">
        <f>VLOOKUP(Table2[[#This Row],[Department]],Raw_2!A:C,3,0)</f>
        <v>14</v>
      </c>
    </row>
    <row r="198" spans="1:35">
      <c r="A198" t="s">
        <v>440</v>
      </c>
      <c r="B198" t="s">
        <v>441</v>
      </c>
      <c r="C198">
        <v>22</v>
      </c>
      <c r="D198" t="s">
        <v>46</v>
      </c>
      <c r="E198" t="str">
        <f>IF(OR(Table2[[#This Row],[Gender]]="Male",Table2[[#This Row],[Gender]]="M"),"M",
IF(OR(Table2[[#This Row],[Gender]]="Female",Table2[[#This Row],[Gender]]="F"),"F",""))</f>
        <v>M</v>
      </c>
      <c r="F198" t="s">
        <v>47</v>
      </c>
      <c r="G198" t="s">
        <v>36</v>
      </c>
      <c r="H198" t="s">
        <v>1046</v>
      </c>
      <c r="I198" t="s">
        <v>1060</v>
      </c>
      <c r="J198" t="str">
        <f>IF(ISNUMBER(SEARCH("India",Table2[[#This Row],[Emp_Name]])),"INR",
IF(ISNUMBER(SEARCH("Foreign",Table2[[#This Row],[Emp_Name]])),Table2[[#This Row],[Currency]],Table2[[#This Row],[Currency]]))</f>
        <v>INR</v>
      </c>
      <c r="K198">
        <v>29000</v>
      </c>
      <c r="L198">
        <v>12</v>
      </c>
      <c r="M198">
        <f>IF(Table2[[#This Row],[Num_Month]]&lt;&gt;12,12,Table2[[#This Row],[Num_Month]])</f>
        <v>12</v>
      </c>
      <c r="N198">
        <f>IF(Table2[[#This Row],[Monthly_Salary]]="","",Table2[[#This Row],[Monthly_Salary]]*Table2[[#This Row],[Num_Month_Final]])</f>
        <v>348000</v>
      </c>
      <c r="O198">
        <v>0</v>
      </c>
      <c r="P198">
        <f>IF(Table2[[#This Row],[Exp_Years]]&lt;0,ABS(Table2[[#This Row],[Exp_Years]]),Table2[[#This Row],[Exp_Years]])</f>
        <v>0</v>
      </c>
      <c r="Q198">
        <v>4</v>
      </c>
      <c r="R198">
        <v>7000</v>
      </c>
      <c r="S198">
        <f>IF(Table2[[#This Row],[Performance_Rating]]&gt;=3,Table2[[#This Row],[Monthly_Salary]]*0.3,"")</f>
        <v>8700</v>
      </c>
      <c r="T198">
        <v>87</v>
      </c>
      <c r="U198">
        <v>10</v>
      </c>
      <c r="V198">
        <v>8</v>
      </c>
      <c r="W198" t="s">
        <v>37</v>
      </c>
      <c r="X198" t="s">
        <v>38</v>
      </c>
      <c r="Y198" t="str">
        <f>IF(Table2[[#This Row],[Work_Mode]]&lt;&gt;"",Table2[[#This Row],[Work_Mode]],
IF(ISNUMBER(SEARCH("India",Table2[[#This Row],[Emp_Name]])),"Office",
IF(ISNUMBER(SEARCH("Foreign",Table2[[#This Row],[Emp_Name]])),"Remote","")))</f>
        <v>Hybrid</v>
      </c>
      <c r="Z198">
        <v>20</v>
      </c>
      <c r="AA19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198" t="s">
        <v>22</v>
      </c>
      <c r="AC198" t="str">
        <f>IF(COUNTIF(Table2[Emp_ID],Table2[[#This Row],[Emp_ID]])&gt;1,"Duplicate","Unique")</f>
        <v>Unique</v>
      </c>
      <c r="AE198" s="2"/>
      <c r="AG198" t="str">
        <f>IF(Table2[[#This Row],[Monthly_Salary]]="","Exclude",
IF(Table2[[#This Row],[Row_Status]]="Mismatch","Exclude",
IF(AND(Table2[[#This Row],[Row_Status]]="Exact Duplicate",
COUNTIFS(Table2[Emp_ID],Table2[[#This Row],[Emp_ID]],Table2[Row_Concat],Table2[[#This Row],[Row_Concat]],
Table2[Row_Number],"&lt;"&amp;Table2[[#This Row],[Row_Number]])&gt;=1),"Delete","")))</f>
        <v/>
      </c>
      <c r="AH198" t="str">
        <f>VLOOKUP(Table2[[#This Row],[Department]],Raw_2!A:B,2,0)</f>
        <v>Day</v>
      </c>
      <c r="AI198">
        <f>VLOOKUP(Table2[[#This Row],[Department]],Raw_2!A:C,3,0)</f>
        <v>25</v>
      </c>
    </row>
    <row r="199" spans="1:35">
      <c r="A199" t="s">
        <v>442</v>
      </c>
      <c r="B199" t="s">
        <v>443</v>
      </c>
      <c r="C199">
        <v>23</v>
      </c>
      <c r="D199" t="s">
        <v>25</v>
      </c>
      <c r="E199" t="str">
        <f>IF(OR(Table2[[#This Row],[Gender]]="Male",Table2[[#This Row],[Gender]]="M"),"M",
IF(OR(Table2[[#This Row],[Gender]]="Female",Table2[[#This Row],[Gender]]="F"),"F",""))</f>
        <v>F</v>
      </c>
      <c r="F199" t="s">
        <v>65</v>
      </c>
      <c r="G199" t="s">
        <v>18</v>
      </c>
      <c r="H199" t="s">
        <v>43</v>
      </c>
      <c r="I199" t="s">
        <v>1060</v>
      </c>
      <c r="J199" t="str">
        <f>IF(ISNUMBER(SEARCH("India",Table2[[#This Row],[Emp_Name]])),"INR",
IF(ISNUMBER(SEARCH("Foreign",Table2[[#This Row],[Emp_Name]])),Table2[[#This Row],[Currency]],Table2[[#This Row],[Currency]]))</f>
        <v>INR</v>
      </c>
      <c r="K199">
        <v>24000</v>
      </c>
      <c r="L199">
        <v>12</v>
      </c>
      <c r="M199">
        <f>IF(Table2[[#This Row],[Num_Month]]&lt;&gt;12,12,Table2[[#This Row],[Num_Month]])</f>
        <v>12</v>
      </c>
      <c r="N199">
        <f>IF(Table2[[#This Row],[Monthly_Salary]]="","",Table2[[#This Row],[Monthly_Salary]]*Table2[[#This Row],[Num_Month_Final]])</f>
        <v>288000</v>
      </c>
      <c r="O199">
        <v>1</v>
      </c>
      <c r="P199">
        <f>IF(Table2[[#This Row],[Exp_Years]]&lt;0,ABS(Table2[[#This Row],[Exp_Years]]),Table2[[#This Row],[Exp_Years]])</f>
        <v>1</v>
      </c>
      <c r="Q199">
        <v>4</v>
      </c>
      <c r="R199">
        <v>16000</v>
      </c>
      <c r="S199">
        <f>IF(Table2[[#This Row],[Performance_Rating]]&gt;=3,Table2[[#This Row],[Monthly_Salary]]*0.3,"")</f>
        <v>7200</v>
      </c>
      <c r="T199">
        <v>85</v>
      </c>
      <c r="U199">
        <v>15</v>
      </c>
      <c r="V199">
        <v>2</v>
      </c>
      <c r="W199" t="s">
        <v>21</v>
      </c>
      <c r="X199" t="s">
        <v>38</v>
      </c>
      <c r="Y199" t="str">
        <f>IF(Table2[[#This Row],[Work_Mode]]&lt;&gt;"",Table2[[#This Row],[Work_Mode]],
IF(ISNUMBER(SEARCH("India",Table2[[#This Row],[Emp_Name]])),"Office",
IF(ISNUMBER(SEARCH("Foreign",Table2[[#This Row],[Emp_Name]])),"Remote","")))</f>
        <v>Hybrid</v>
      </c>
      <c r="Z199">
        <v>10</v>
      </c>
      <c r="AA19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199" t="s">
        <v>22</v>
      </c>
      <c r="AC199" t="str">
        <f>IF(COUNTIF(Table2[Emp_ID],Table2[[#This Row],[Emp_ID]])&gt;1,"Duplicate","Unique")</f>
        <v>Unique</v>
      </c>
      <c r="AE199" s="2"/>
      <c r="AG199" t="str">
        <f>IF(Table2[[#This Row],[Monthly_Salary]]="","Exclude",
IF(Table2[[#This Row],[Row_Status]]="Mismatch","Exclude",
IF(AND(Table2[[#This Row],[Row_Status]]="Exact Duplicate",
COUNTIFS(Table2[Emp_ID],Table2[[#This Row],[Emp_ID]],Table2[Row_Concat],Table2[[#This Row],[Row_Concat]],
Table2[Row_Number],"&lt;"&amp;Table2[[#This Row],[Row_Number]])&gt;=1),"Delete","")))</f>
        <v/>
      </c>
      <c r="AH199" t="str">
        <f>VLOOKUP(Table2[[#This Row],[Department]],Raw_2!A:B,2,0)</f>
        <v>Day</v>
      </c>
      <c r="AI199">
        <f>VLOOKUP(Table2[[#This Row],[Department]],Raw_2!A:C,3,0)</f>
        <v>10</v>
      </c>
    </row>
    <row r="200" spans="1:35">
      <c r="A200" t="s">
        <v>444</v>
      </c>
      <c r="B200" t="s">
        <v>445</v>
      </c>
      <c r="C200">
        <v>23</v>
      </c>
      <c r="D200" t="s">
        <v>34</v>
      </c>
      <c r="E200" t="str">
        <f>IF(OR(Table2[[#This Row],[Gender]]="Male",Table2[[#This Row],[Gender]]="M"),"M",
IF(OR(Table2[[#This Row],[Gender]]="Female",Table2[[#This Row],[Gender]]="F"),"F",""))</f>
        <v>F</v>
      </c>
      <c r="F200" t="s">
        <v>57</v>
      </c>
      <c r="G200" t="s">
        <v>18</v>
      </c>
      <c r="H200" t="s">
        <v>43</v>
      </c>
      <c r="I200" t="s">
        <v>1060</v>
      </c>
      <c r="J200" t="str">
        <f>IF(ISNUMBER(SEARCH("India",Table2[[#This Row],[Emp_Name]])),"INR",
IF(ISNUMBER(SEARCH("Foreign",Table2[[#This Row],[Emp_Name]])),Table2[[#This Row],[Currency]],Table2[[#This Row],[Currency]]))</f>
        <v>INR</v>
      </c>
      <c r="K200">
        <v>24000</v>
      </c>
      <c r="L200">
        <v>12</v>
      </c>
      <c r="M200">
        <f>IF(Table2[[#This Row],[Num_Month]]&lt;&gt;12,12,Table2[[#This Row],[Num_Month]])</f>
        <v>12</v>
      </c>
      <c r="N200">
        <f>IF(Table2[[#This Row],[Monthly_Salary]]="","",Table2[[#This Row],[Monthly_Salary]]*Table2[[#This Row],[Num_Month_Final]])</f>
        <v>288000</v>
      </c>
      <c r="O200">
        <v>1</v>
      </c>
      <c r="P200">
        <f>IF(Table2[[#This Row],[Exp_Years]]&lt;0,ABS(Table2[[#This Row],[Exp_Years]]),Table2[[#This Row],[Exp_Years]])</f>
        <v>1</v>
      </c>
      <c r="Q200">
        <v>4</v>
      </c>
      <c r="R200">
        <v>16000</v>
      </c>
      <c r="S200">
        <f>IF(Table2[[#This Row],[Performance_Rating]]&gt;=3,Table2[[#This Row],[Monthly_Salary]]*0.3,"")</f>
        <v>7200</v>
      </c>
      <c r="T200">
        <v>80</v>
      </c>
      <c r="U200">
        <v>10</v>
      </c>
      <c r="V200">
        <v>2</v>
      </c>
      <c r="X200" t="s">
        <v>38</v>
      </c>
      <c r="Y200" t="str">
        <f>IF(Table2[[#This Row],[Work_Mode]]&lt;&gt;"",Table2[[#This Row],[Work_Mode]],
IF(ISNUMBER(SEARCH("India",Table2[[#This Row],[Emp_Name]])),"Office",
IF(ISNUMBER(SEARCH("Foreign",Table2[[#This Row],[Emp_Name]])),"Remote","")))</f>
        <v>Hybrid</v>
      </c>
      <c r="Z200">
        <v>5</v>
      </c>
      <c r="AA20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200" t="s">
        <v>58</v>
      </c>
      <c r="AC200" t="str">
        <f>IF(COUNTIF(Table2[Emp_ID],Table2[[#This Row],[Emp_ID]])&gt;1,"Duplicate","Unique")</f>
        <v>Unique</v>
      </c>
      <c r="AE200" s="2"/>
      <c r="AG200" t="str">
        <f>IF(Table2[[#This Row],[Monthly_Salary]]="","Exclude",
IF(Table2[[#This Row],[Row_Status]]="Mismatch","Exclude",
IF(AND(Table2[[#This Row],[Row_Status]]="Exact Duplicate",
COUNTIFS(Table2[Emp_ID],Table2[[#This Row],[Emp_ID]],Table2[Row_Concat],Table2[[#This Row],[Row_Concat]],
Table2[Row_Number],"&lt;"&amp;Table2[[#This Row],[Row_Number]])&gt;=1),"Delete","")))</f>
        <v/>
      </c>
      <c r="AH200" t="str">
        <f>VLOOKUP(Table2[[#This Row],[Department]],Raw_2!A:B,2,0)</f>
        <v>Day</v>
      </c>
      <c r="AI200">
        <f>VLOOKUP(Table2[[#This Row],[Department]],Raw_2!A:C,3,0)</f>
        <v>10</v>
      </c>
    </row>
    <row r="201" spans="1:35">
      <c r="A201" t="s">
        <v>446</v>
      </c>
      <c r="B201" t="s">
        <v>447</v>
      </c>
      <c r="C201">
        <v>23</v>
      </c>
      <c r="D201" t="s">
        <v>16</v>
      </c>
      <c r="E201" t="str">
        <f>IF(OR(Table2[[#This Row],[Gender]]="Male",Table2[[#This Row],[Gender]]="M"),"M",
IF(OR(Table2[[#This Row],[Gender]]="Female",Table2[[#This Row],[Gender]]="F"),"F",""))</f>
        <v>M</v>
      </c>
      <c r="F201" t="s">
        <v>26</v>
      </c>
      <c r="G201" t="s">
        <v>31</v>
      </c>
      <c r="H201" t="s">
        <v>43</v>
      </c>
      <c r="I201" t="s">
        <v>1060</v>
      </c>
      <c r="J201" t="str">
        <f>IF(ISNUMBER(SEARCH("India",Table2[[#This Row],[Emp_Name]])),"INR",
IF(ISNUMBER(SEARCH("Foreign",Table2[[#This Row],[Emp_Name]])),Table2[[#This Row],[Currency]],Table2[[#This Row],[Currency]]))</f>
        <v>INR</v>
      </c>
      <c r="K201">
        <v>28000</v>
      </c>
      <c r="L201">
        <v>12</v>
      </c>
      <c r="M201">
        <f>IF(Table2[[#This Row],[Num_Month]]&lt;&gt;12,12,Table2[[#This Row],[Num_Month]])</f>
        <v>12</v>
      </c>
      <c r="N201">
        <f>IF(Table2[[#This Row],[Monthly_Salary]]="","",Table2[[#This Row],[Monthly_Salary]]*Table2[[#This Row],[Num_Month_Final]])</f>
        <v>336000</v>
      </c>
      <c r="O201">
        <v>2</v>
      </c>
      <c r="P201">
        <f>IF(Table2[[#This Row],[Exp_Years]]&lt;0,ABS(Table2[[#This Row],[Exp_Years]]),Table2[[#This Row],[Exp_Years]])</f>
        <v>2</v>
      </c>
      <c r="Q201">
        <v>4</v>
      </c>
      <c r="R201">
        <v>16000</v>
      </c>
      <c r="S201">
        <f>IF(Table2[[#This Row],[Performance_Rating]]&gt;=3,Table2[[#This Row],[Monthly_Salary]]*0.3,"")</f>
        <v>8400</v>
      </c>
      <c r="T201">
        <v>85</v>
      </c>
      <c r="U201">
        <v>15</v>
      </c>
      <c r="V201">
        <v>3</v>
      </c>
      <c r="W201" t="s">
        <v>37</v>
      </c>
      <c r="X201" t="s">
        <v>38</v>
      </c>
      <c r="Y201" t="str">
        <f>IF(Table2[[#This Row],[Work_Mode]]&lt;&gt;"",Table2[[#This Row],[Work_Mode]],
IF(ISNUMBER(SEARCH("India",Table2[[#This Row],[Emp_Name]])),"Office",
IF(ISNUMBER(SEARCH("Foreign",Table2[[#This Row],[Emp_Name]])),"Remote","")))</f>
        <v>Hybrid</v>
      </c>
      <c r="Z201">
        <v>5</v>
      </c>
      <c r="AA20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201" t="s">
        <v>58</v>
      </c>
      <c r="AC201" t="str">
        <f>IF(COUNTIF(Table2[Emp_ID],Table2[[#This Row],[Emp_ID]])&gt;1,"Duplicate","Unique")</f>
        <v>Unique</v>
      </c>
      <c r="AE201" s="2"/>
      <c r="AG201" t="str">
        <f>IF(Table2[[#This Row],[Monthly_Salary]]="","Exclude",
IF(Table2[[#This Row],[Row_Status]]="Mismatch","Exclude",
IF(AND(Table2[[#This Row],[Row_Status]]="Exact Duplicate",
COUNTIFS(Table2[Emp_ID],Table2[[#This Row],[Emp_ID]],Table2[Row_Concat],Table2[[#This Row],[Row_Concat]],
Table2[Row_Number],"&lt;"&amp;Table2[[#This Row],[Row_Number]])&gt;=1),"Delete","")))</f>
        <v/>
      </c>
      <c r="AH201" t="str">
        <f>VLOOKUP(Table2[[#This Row],[Department]],Raw_2!A:B,2,0)</f>
        <v>Night</v>
      </c>
      <c r="AI201">
        <f>VLOOKUP(Table2[[#This Row],[Department]],Raw_2!A:C,3,0)</f>
        <v>13</v>
      </c>
    </row>
    <row r="202" spans="1:35">
      <c r="A202" t="s">
        <v>448</v>
      </c>
      <c r="B202" t="s">
        <v>449</v>
      </c>
      <c r="C202">
        <v>24</v>
      </c>
      <c r="D202" t="s">
        <v>46</v>
      </c>
      <c r="E202" t="str">
        <f>IF(OR(Table2[[#This Row],[Gender]]="Male",Table2[[#This Row],[Gender]]="M"),"M",
IF(OR(Table2[[#This Row],[Gender]]="Female",Table2[[#This Row],[Gender]]="F"),"F",""))</f>
        <v>M</v>
      </c>
      <c r="F202" t="s">
        <v>35</v>
      </c>
      <c r="G202" t="s">
        <v>31</v>
      </c>
      <c r="H202" t="s">
        <v>43</v>
      </c>
      <c r="I202" t="s">
        <v>1060</v>
      </c>
      <c r="J202" t="str">
        <f>IF(ISNUMBER(SEARCH("India",Table2[[#This Row],[Emp_Name]])),"INR",
IF(ISNUMBER(SEARCH("Foreign",Table2[[#This Row],[Emp_Name]])),Table2[[#This Row],[Currency]],Table2[[#This Row],[Currency]]))</f>
        <v>INR</v>
      </c>
      <c r="K202">
        <v>31500</v>
      </c>
      <c r="L202">
        <v>12</v>
      </c>
      <c r="M202">
        <f>IF(Table2[[#This Row],[Num_Month]]&lt;&gt;12,12,Table2[[#This Row],[Num_Month]])</f>
        <v>12</v>
      </c>
      <c r="N202">
        <f>IF(Table2[[#This Row],[Monthly_Salary]]="","",Table2[[#This Row],[Monthly_Salary]]*Table2[[#This Row],[Num_Month_Final]])</f>
        <v>378000</v>
      </c>
      <c r="O202">
        <v>2</v>
      </c>
      <c r="P202">
        <f>IF(Table2[[#This Row],[Exp_Years]]&lt;0,ABS(Table2[[#This Row],[Exp_Years]]),Table2[[#This Row],[Exp_Years]])</f>
        <v>2</v>
      </c>
      <c r="Q202">
        <v>4</v>
      </c>
      <c r="R202">
        <v>16000</v>
      </c>
      <c r="S202">
        <f>IF(Table2[[#This Row],[Performance_Rating]]&gt;=3,Table2[[#This Row],[Monthly_Salary]]*0.3,"")</f>
        <v>9450</v>
      </c>
      <c r="T202">
        <v>85</v>
      </c>
      <c r="U202">
        <v>10</v>
      </c>
      <c r="V202">
        <v>2</v>
      </c>
      <c r="X202" t="s">
        <v>38</v>
      </c>
      <c r="Y202" t="str">
        <f>IF(Table2[[#This Row],[Work_Mode]]&lt;&gt;"",Table2[[#This Row],[Work_Mode]],
IF(ISNUMBER(SEARCH("India",Table2[[#This Row],[Emp_Name]])),"Office",
IF(ISNUMBER(SEARCH("Foreign",Table2[[#This Row],[Emp_Name]])),"Remote","")))</f>
        <v>Hybrid</v>
      </c>
      <c r="Z202">
        <v>20</v>
      </c>
      <c r="AA20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202" t="s">
        <v>58</v>
      </c>
      <c r="AC202" t="str">
        <f>IF(COUNTIF(Table2[Emp_ID],Table2[[#This Row],[Emp_ID]])&gt;1,"Duplicate","Unique")</f>
        <v>Unique</v>
      </c>
      <c r="AE202" s="2"/>
      <c r="AG202" t="str">
        <f>IF(Table2[[#This Row],[Monthly_Salary]]="","Exclude",
IF(Table2[[#This Row],[Row_Status]]="Mismatch","Exclude",
IF(AND(Table2[[#This Row],[Row_Status]]="Exact Duplicate",
COUNTIFS(Table2[Emp_ID],Table2[[#This Row],[Emp_ID]],Table2[Row_Concat],Table2[[#This Row],[Row_Concat]],
Table2[Row_Number],"&lt;"&amp;Table2[[#This Row],[Row_Number]])&gt;=1),"Delete","")))</f>
        <v/>
      </c>
      <c r="AH202" t="str">
        <f>VLOOKUP(Table2[[#This Row],[Department]],Raw_2!A:B,2,0)</f>
        <v>Night</v>
      </c>
      <c r="AI202">
        <f>VLOOKUP(Table2[[#This Row],[Department]],Raw_2!A:C,3,0)</f>
        <v>13</v>
      </c>
    </row>
    <row r="203" spans="1:35">
      <c r="A203" t="s">
        <v>450</v>
      </c>
      <c r="B203" t="s">
        <v>451</v>
      </c>
      <c r="C203">
        <v>23</v>
      </c>
      <c r="D203" t="s">
        <v>46</v>
      </c>
      <c r="E203" t="str">
        <f>IF(OR(Table2[[#This Row],[Gender]]="Male",Table2[[#This Row],[Gender]]="M"),"M",
IF(OR(Table2[[#This Row],[Gender]]="Female",Table2[[#This Row],[Gender]]="F"),"F",""))</f>
        <v>M</v>
      </c>
      <c r="F203" t="s">
        <v>17</v>
      </c>
      <c r="G203" t="s">
        <v>66</v>
      </c>
      <c r="H203" t="s">
        <v>43</v>
      </c>
      <c r="I203" t="s">
        <v>1060</v>
      </c>
      <c r="J203" t="str">
        <f>IF(ISNUMBER(SEARCH("India",Table2[[#This Row],[Emp_Name]])),"INR",
IF(ISNUMBER(SEARCH("Foreign",Table2[[#This Row],[Emp_Name]])),Table2[[#This Row],[Currency]],Table2[[#This Row],[Currency]]))</f>
        <v>INR</v>
      </c>
      <c r="K203">
        <v>24000</v>
      </c>
      <c r="L203">
        <v>12</v>
      </c>
      <c r="M203">
        <f>IF(Table2[[#This Row],[Num_Month]]&lt;&gt;12,12,Table2[[#This Row],[Num_Month]])</f>
        <v>12</v>
      </c>
      <c r="N203">
        <f>IF(Table2[[#This Row],[Monthly_Salary]]="","",Table2[[#This Row],[Monthly_Salary]]*Table2[[#This Row],[Num_Month_Final]])</f>
        <v>288000</v>
      </c>
      <c r="O203">
        <v>1</v>
      </c>
      <c r="P203">
        <f>IF(Table2[[#This Row],[Exp_Years]]&lt;0,ABS(Table2[[#This Row],[Exp_Years]]),Table2[[#This Row],[Exp_Years]])</f>
        <v>1</v>
      </c>
      <c r="Q203">
        <v>4</v>
      </c>
      <c r="R203">
        <v>16000</v>
      </c>
      <c r="S203">
        <f>IF(Table2[[#This Row],[Performance_Rating]]&gt;=3,Table2[[#This Row],[Monthly_Salary]]*0.3,"")</f>
        <v>7200</v>
      </c>
      <c r="T203">
        <v>80</v>
      </c>
      <c r="U203">
        <v>15</v>
      </c>
      <c r="V203">
        <v>5</v>
      </c>
      <c r="W203" t="s">
        <v>21</v>
      </c>
      <c r="X203" t="s">
        <v>38</v>
      </c>
      <c r="Y203" t="str">
        <f>IF(Table2[[#This Row],[Work_Mode]]&lt;&gt;"",Table2[[#This Row],[Work_Mode]],
IF(ISNUMBER(SEARCH("India",Table2[[#This Row],[Emp_Name]])),"Office",
IF(ISNUMBER(SEARCH("Foreign",Table2[[#This Row],[Emp_Name]])),"Remote","")))</f>
        <v>Hybrid</v>
      </c>
      <c r="Z203">
        <v>5</v>
      </c>
      <c r="AA20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203" t="s">
        <v>22</v>
      </c>
      <c r="AC203" t="str">
        <f>IF(COUNTIF(Table2[Emp_ID],Table2[[#This Row],[Emp_ID]])&gt;1,"Duplicate","Unique")</f>
        <v>Unique</v>
      </c>
      <c r="AE203" s="2"/>
      <c r="AG203" t="str">
        <f>IF(Table2[[#This Row],[Monthly_Salary]]="","Exclude",
IF(Table2[[#This Row],[Row_Status]]="Mismatch","Exclude",
IF(AND(Table2[[#This Row],[Row_Status]]="Exact Duplicate",
COUNTIFS(Table2[Emp_ID],Table2[[#This Row],[Emp_ID]],Table2[Row_Concat],Table2[[#This Row],[Row_Concat]],
Table2[Row_Number],"&lt;"&amp;Table2[[#This Row],[Row_Number]])&gt;=1),"Delete","")))</f>
        <v/>
      </c>
      <c r="AH203" t="str">
        <f>VLOOKUP(Table2[[#This Row],[Department]],Raw_2!A:B,2,0)</f>
        <v>Night</v>
      </c>
      <c r="AI203">
        <f>VLOOKUP(Table2[[#This Row],[Department]],Raw_2!A:C,3,0)</f>
        <v>20</v>
      </c>
    </row>
    <row r="204" spans="1:35">
      <c r="A204" t="s">
        <v>452</v>
      </c>
      <c r="B204" t="s">
        <v>453</v>
      </c>
      <c r="C204">
        <v>23</v>
      </c>
      <c r="D204" t="s">
        <v>46</v>
      </c>
      <c r="E204" t="str">
        <f>IF(OR(Table2[[#This Row],[Gender]]="Male",Table2[[#This Row],[Gender]]="M"),"M",
IF(OR(Table2[[#This Row],[Gender]]="Female",Table2[[#This Row],[Gender]]="F"),"F",""))</f>
        <v>M</v>
      </c>
      <c r="F204" t="s">
        <v>73</v>
      </c>
      <c r="G204" t="s">
        <v>31</v>
      </c>
      <c r="H204" t="s">
        <v>43</v>
      </c>
      <c r="I204" t="s">
        <v>1060</v>
      </c>
      <c r="J204" t="str">
        <f>IF(ISNUMBER(SEARCH("India",Table2[[#This Row],[Emp_Name]])),"INR",
IF(ISNUMBER(SEARCH("Foreign",Table2[[#This Row],[Emp_Name]])),Table2[[#This Row],[Currency]],Table2[[#This Row],[Currency]]))</f>
        <v>INR</v>
      </c>
      <c r="K204">
        <v>22000</v>
      </c>
      <c r="L204">
        <v>12</v>
      </c>
      <c r="M204">
        <f>IF(Table2[[#This Row],[Num_Month]]&lt;&gt;12,12,Table2[[#This Row],[Num_Month]])</f>
        <v>12</v>
      </c>
      <c r="N204">
        <f>IF(Table2[[#This Row],[Monthly_Salary]]="","",Table2[[#This Row],[Monthly_Salary]]*Table2[[#This Row],[Num_Month_Final]])</f>
        <v>264000</v>
      </c>
      <c r="O204">
        <v>2</v>
      </c>
      <c r="P204">
        <f>IF(Table2[[#This Row],[Exp_Years]]&lt;0,ABS(Table2[[#This Row],[Exp_Years]]),Table2[[#This Row],[Exp_Years]])</f>
        <v>2</v>
      </c>
      <c r="Q204">
        <v>4</v>
      </c>
      <c r="R204">
        <v>16000</v>
      </c>
      <c r="S204">
        <f>IF(Table2[[#This Row],[Performance_Rating]]&gt;=3,Table2[[#This Row],[Monthly_Salary]]*0.3,"")</f>
        <v>6600</v>
      </c>
      <c r="T204">
        <v>85</v>
      </c>
      <c r="U204">
        <v>5</v>
      </c>
      <c r="V204">
        <v>3</v>
      </c>
      <c r="W204" t="s">
        <v>21</v>
      </c>
      <c r="X204" t="s">
        <v>38</v>
      </c>
      <c r="Y204" t="str">
        <f>IF(Table2[[#This Row],[Work_Mode]]&lt;&gt;"",Table2[[#This Row],[Work_Mode]],
IF(ISNUMBER(SEARCH("India",Table2[[#This Row],[Emp_Name]])),"Office",
IF(ISNUMBER(SEARCH("Foreign",Table2[[#This Row],[Emp_Name]])),"Remote","")))</f>
        <v>Hybrid</v>
      </c>
      <c r="AA20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04" t="s">
        <v>58</v>
      </c>
      <c r="AC204" t="str">
        <f>IF(COUNTIF(Table2[Emp_ID],Table2[[#This Row],[Emp_ID]])&gt;1,"Duplicate","Unique")</f>
        <v>Unique</v>
      </c>
      <c r="AE204" s="2"/>
      <c r="AG204" t="str">
        <f>IF(Table2[[#This Row],[Monthly_Salary]]="","Exclude",
IF(Table2[[#This Row],[Row_Status]]="Mismatch","Exclude",
IF(AND(Table2[[#This Row],[Row_Status]]="Exact Duplicate",
COUNTIFS(Table2[Emp_ID],Table2[[#This Row],[Emp_ID]],Table2[Row_Concat],Table2[[#This Row],[Row_Concat]],
Table2[Row_Number],"&lt;"&amp;Table2[[#This Row],[Row_Number]])&gt;=1),"Delete","")))</f>
        <v/>
      </c>
      <c r="AH204" t="str">
        <f>VLOOKUP(Table2[[#This Row],[Department]],Raw_2!A:B,2,0)</f>
        <v>Night</v>
      </c>
      <c r="AI204">
        <f>VLOOKUP(Table2[[#This Row],[Department]],Raw_2!A:C,3,0)</f>
        <v>13</v>
      </c>
    </row>
    <row r="205" spans="1:35">
      <c r="A205" t="s">
        <v>454</v>
      </c>
      <c r="B205" t="s">
        <v>455</v>
      </c>
      <c r="C205">
        <v>36</v>
      </c>
      <c r="D205" t="s">
        <v>46</v>
      </c>
      <c r="E205" t="str">
        <f>IF(OR(Table2[[#This Row],[Gender]]="Male",Table2[[#This Row],[Gender]]="M"),"M",
IF(OR(Table2[[#This Row],[Gender]]="Female",Table2[[#This Row],[Gender]]="F"),"F",""))</f>
        <v>M</v>
      </c>
      <c r="F205" t="s">
        <v>73</v>
      </c>
      <c r="G205" t="s">
        <v>18</v>
      </c>
      <c r="H205" t="s">
        <v>32</v>
      </c>
      <c r="I205" t="s">
        <v>1059</v>
      </c>
      <c r="J205" t="str">
        <f>IF(ISNUMBER(SEARCH("India",Table2[[#This Row],[Emp_Name]])),"INR",
IF(ISNUMBER(SEARCH("Foreign",Table2[[#This Row],[Emp_Name]])),Table2[[#This Row],[Currency]],Table2[[#This Row],[Currency]]))</f>
        <v>USD</v>
      </c>
      <c r="K205">
        <v>99000</v>
      </c>
      <c r="L205">
        <v>12</v>
      </c>
      <c r="M205">
        <f>IF(Table2[[#This Row],[Num_Month]]&lt;&gt;12,12,Table2[[#This Row],[Num_Month]])</f>
        <v>12</v>
      </c>
      <c r="N205">
        <f>IF(Table2[[#This Row],[Monthly_Salary]]="","",Table2[[#This Row],[Monthly_Salary]]*Table2[[#This Row],[Num_Month_Final]])</f>
        <v>1188000</v>
      </c>
      <c r="O205">
        <v>12</v>
      </c>
      <c r="P205">
        <f>IF(Table2[[#This Row],[Exp_Years]]&lt;0,ABS(Table2[[#This Row],[Exp_Years]]),Table2[[#This Row],[Exp_Years]])</f>
        <v>12</v>
      </c>
      <c r="Q205">
        <v>3</v>
      </c>
      <c r="R205">
        <v>34000</v>
      </c>
      <c r="S205">
        <f>IF(Table2[[#This Row],[Performance_Rating]]&gt;=3,Table2[[#This Row],[Monthly_Salary]]*0.3,"")</f>
        <v>29700</v>
      </c>
      <c r="T205">
        <v>95</v>
      </c>
      <c r="U205">
        <v>12</v>
      </c>
      <c r="V205">
        <v>2</v>
      </c>
      <c r="W205" t="s">
        <v>21</v>
      </c>
      <c r="X205" t="s">
        <v>28</v>
      </c>
      <c r="Y205" t="str">
        <f>IF(Table2[[#This Row],[Work_Mode]]&lt;&gt;"",Table2[[#This Row],[Work_Mode]],
IF(ISNUMBER(SEARCH("India",Table2[[#This Row],[Emp_Name]])),"Office",
IF(ISNUMBER(SEARCH("Foreign",Table2[[#This Row],[Emp_Name]])),"Remote","")))</f>
        <v>Remote</v>
      </c>
      <c r="Z205">
        <v>10</v>
      </c>
      <c r="AA20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3500</v>
      </c>
      <c r="AB205" t="s">
        <v>22</v>
      </c>
      <c r="AC205" t="str">
        <f>IF(COUNTIF(Table2[Emp_ID],Table2[[#This Row],[Emp_ID]])&gt;1,"Duplicate","Unique")</f>
        <v>Unique</v>
      </c>
      <c r="AE205" s="2"/>
      <c r="AG205" t="str">
        <f>IF(Table2[[#This Row],[Monthly_Salary]]="","Exclude",
IF(Table2[[#This Row],[Row_Status]]="Mismatch","Exclude",
IF(AND(Table2[[#This Row],[Row_Status]]="Exact Duplicate",
COUNTIFS(Table2[Emp_ID],Table2[[#This Row],[Emp_ID]],Table2[Row_Concat],Table2[[#This Row],[Row_Concat]],
Table2[Row_Number],"&lt;"&amp;Table2[[#This Row],[Row_Number]])&gt;=1),"Delete","")))</f>
        <v/>
      </c>
      <c r="AH205" t="str">
        <f>VLOOKUP(Table2[[#This Row],[Department]],Raw_2!A:B,2,0)</f>
        <v>Day</v>
      </c>
      <c r="AI205">
        <f>VLOOKUP(Table2[[#This Row],[Department]],Raw_2!A:C,3,0)</f>
        <v>10</v>
      </c>
    </row>
    <row r="206" spans="1:35">
      <c r="A206" t="s">
        <v>456</v>
      </c>
      <c r="B206" t="s">
        <v>457</v>
      </c>
      <c r="C206">
        <v>28</v>
      </c>
      <c r="D206" t="s">
        <v>46</v>
      </c>
      <c r="E206" t="str">
        <f>IF(OR(Table2[[#This Row],[Gender]]="Male",Table2[[#This Row],[Gender]]="M"),"M",
IF(OR(Table2[[#This Row],[Gender]]="Female",Table2[[#This Row],[Gender]]="F"),"F",""))</f>
        <v>M</v>
      </c>
      <c r="F206" t="s">
        <v>61</v>
      </c>
      <c r="G206" t="s">
        <v>42</v>
      </c>
      <c r="H206" t="s">
        <v>1048</v>
      </c>
      <c r="I206" t="s">
        <v>1060</v>
      </c>
      <c r="J206" t="str">
        <f>IF(ISNUMBER(SEARCH("India",Table2[[#This Row],[Emp_Name]])),"INR",
IF(ISNUMBER(SEARCH("Foreign",Table2[[#This Row],[Emp_Name]])),Table2[[#This Row],[Currency]],Table2[[#This Row],[Currency]]))</f>
        <v>INR</v>
      </c>
      <c r="K206">
        <v>53000</v>
      </c>
      <c r="L206">
        <v>12</v>
      </c>
      <c r="M206">
        <f>IF(Table2[[#This Row],[Num_Month]]&lt;&gt;12,12,Table2[[#This Row],[Num_Month]])</f>
        <v>12</v>
      </c>
      <c r="N206">
        <f>IF(Table2[[#This Row],[Monthly_Salary]]="","",Table2[[#This Row],[Monthly_Salary]]*Table2[[#This Row],[Num_Month_Final]])</f>
        <v>636000</v>
      </c>
      <c r="O206">
        <v>3</v>
      </c>
      <c r="P206">
        <f>IF(Table2[[#This Row],[Exp_Years]]&lt;0,ABS(Table2[[#This Row],[Exp_Years]]),Table2[[#This Row],[Exp_Years]])</f>
        <v>3</v>
      </c>
      <c r="Q206">
        <v>3</v>
      </c>
      <c r="R206">
        <v>19000</v>
      </c>
      <c r="S206">
        <f>IF(Table2[[#This Row],[Performance_Rating]]&gt;=3,Table2[[#This Row],[Monthly_Salary]]*0.3,"")</f>
        <v>15900</v>
      </c>
      <c r="T206">
        <v>80</v>
      </c>
      <c r="U206">
        <v>10</v>
      </c>
      <c r="V206">
        <v>1</v>
      </c>
      <c r="W206" t="s">
        <v>37</v>
      </c>
      <c r="X206" t="s">
        <v>19</v>
      </c>
      <c r="Y206" t="str">
        <f>IF(Table2[[#This Row],[Work_Mode]]&lt;&gt;"",Table2[[#This Row],[Work_Mode]],
IF(ISNUMBER(SEARCH("India",Table2[[#This Row],[Emp_Name]])),"Office",
IF(ISNUMBER(SEARCH("Foreign",Table2[[#This Row],[Emp_Name]])),"Remote","")))</f>
        <v>Office</v>
      </c>
      <c r="Z206">
        <v>20</v>
      </c>
      <c r="AA20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206" t="s">
        <v>22</v>
      </c>
      <c r="AC206" t="str">
        <f>IF(COUNTIF(Table2[Emp_ID],Table2[[#This Row],[Emp_ID]])&gt;1,"Duplicate","Unique")</f>
        <v>Unique</v>
      </c>
      <c r="AE206" s="2"/>
      <c r="AG206" t="str">
        <f>IF(Table2[[#This Row],[Monthly_Salary]]="","Exclude",
IF(Table2[[#This Row],[Row_Status]]="Mismatch","Exclude",
IF(AND(Table2[[#This Row],[Row_Status]]="Exact Duplicate",
COUNTIFS(Table2[Emp_ID],Table2[[#This Row],[Emp_ID]],Table2[Row_Concat],Table2[[#This Row],[Row_Concat]],
Table2[Row_Number],"&lt;"&amp;Table2[[#This Row],[Row_Number]])&gt;=1),"Delete","")))</f>
        <v/>
      </c>
      <c r="AH206" t="str">
        <f>VLOOKUP(Table2[[#This Row],[Department]],Raw_2!A:B,2,0)</f>
        <v>Day</v>
      </c>
      <c r="AI206">
        <f>VLOOKUP(Table2[[#This Row],[Department]],Raw_2!A:C,3,0)</f>
        <v>14</v>
      </c>
    </row>
    <row r="207" spans="1:35">
      <c r="A207" t="s">
        <v>458</v>
      </c>
      <c r="B207" t="s">
        <v>459</v>
      </c>
      <c r="C207">
        <v>51</v>
      </c>
      <c r="E207" t="str">
        <f>IF(OR(Table2[[#This Row],[Gender]]="Male",Table2[[#This Row],[Gender]]="M"),"M",
IF(OR(Table2[[#This Row],[Gender]]="Female",Table2[[#This Row],[Gender]]="F"),"F",""))</f>
        <v/>
      </c>
      <c r="F207" t="s">
        <v>57</v>
      </c>
      <c r="G207" t="s">
        <v>31</v>
      </c>
      <c r="H207" t="s">
        <v>1051</v>
      </c>
      <c r="I207" t="s">
        <v>1060</v>
      </c>
      <c r="J207" t="str">
        <f>IF(ISNUMBER(SEARCH("India",Table2[[#This Row],[Emp_Name]])),"INR",
IF(ISNUMBER(SEARCH("Foreign",Table2[[#This Row],[Emp_Name]])),Table2[[#This Row],[Currency]],Table2[[#This Row],[Currency]]))</f>
        <v>INR</v>
      </c>
      <c r="K207">
        <v>150000</v>
      </c>
      <c r="L207">
        <v>12</v>
      </c>
      <c r="M207">
        <f>IF(Table2[[#This Row],[Num_Month]]&lt;&gt;12,12,Table2[[#This Row],[Num_Month]])</f>
        <v>12</v>
      </c>
      <c r="N207">
        <f>IF(Table2[[#This Row],[Monthly_Salary]]="","",Table2[[#This Row],[Monthly_Salary]]*Table2[[#This Row],[Num_Month_Final]])</f>
        <v>1800000</v>
      </c>
      <c r="O207">
        <v>21</v>
      </c>
      <c r="P207">
        <f>IF(Table2[[#This Row],[Exp_Years]]&lt;0,ABS(Table2[[#This Row],[Exp_Years]]),Table2[[#This Row],[Exp_Years]])</f>
        <v>21</v>
      </c>
      <c r="Q207">
        <v>4</v>
      </c>
      <c r="R207">
        <v>82000</v>
      </c>
      <c r="S207">
        <f>IF(Table2[[#This Row],[Performance_Rating]]&gt;=3,Table2[[#This Row],[Monthly_Salary]]*0.3,"")</f>
        <v>45000</v>
      </c>
      <c r="T207">
        <v>87</v>
      </c>
      <c r="U207">
        <v>5</v>
      </c>
      <c r="V207">
        <v>3</v>
      </c>
      <c r="X207" t="s">
        <v>38</v>
      </c>
      <c r="Y207" t="str">
        <f>IF(Table2[[#This Row],[Work_Mode]]&lt;&gt;"",Table2[[#This Row],[Work_Mode]],
IF(ISNUMBER(SEARCH("India",Table2[[#This Row],[Emp_Name]])),"Office",
IF(ISNUMBER(SEARCH("Foreign",Table2[[#This Row],[Emp_Name]])),"Remote","")))</f>
        <v>Hybrid</v>
      </c>
      <c r="AA207"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207" t="s">
        <v>22</v>
      </c>
      <c r="AC207" t="str">
        <f>IF(COUNTIF(Table2[Emp_ID],Table2[[#This Row],[Emp_ID]])&gt;1,"Duplicate","Unique")</f>
        <v>Unique</v>
      </c>
      <c r="AE207" s="2"/>
      <c r="AG207" t="str">
        <f>IF(Table2[[#This Row],[Monthly_Salary]]="","Exclude",
IF(Table2[[#This Row],[Row_Status]]="Mismatch","Exclude",
IF(AND(Table2[[#This Row],[Row_Status]]="Exact Duplicate",
COUNTIFS(Table2[Emp_ID],Table2[[#This Row],[Emp_ID]],Table2[Row_Concat],Table2[[#This Row],[Row_Concat]],
Table2[Row_Number],"&lt;"&amp;Table2[[#This Row],[Row_Number]])&gt;=1),"Delete","")))</f>
        <v/>
      </c>
      <c r="AH207" t="str">
        <f>VLOOKUP(Table2[[#This Row],[Department]],Raw_2!A:B,2,0)</f>
        <v>Night</v>
      </c>
      <c r="AI207">
        <f>VLOOKUP(Table2[[#This Row],[Department]],Raw_2!A:C,3,0)</f>
        <v>13</v>
      </c>
    </row>
    <row r="208" spans="1:35">
      <c r="A208" t="s">
        <v>460</v>
      </c>
      <c r="B208" t="s">
        <v>461</v>
      </c>
      <c r="C208">
        <v>24</v>
      </c>
      <c r="D208" t="s">
        <v>34</v>
      </c>
      <c r="E208" t="str">
        <f>IF(OR(Table2[[#This Row],[Gender]]="Male",Table2[[#This Row],[Gender]]="M"),"M",
IF(OR(Table2[[#This Row],[Gender]]="Female",Table2[[#This Row],[Gender]]="F"),"F",""))</f>
        <v>F</v>
      </c>
      <c r="F208" t="s">
        <v>65</v>
      </c>
      <c r="G208" t="s">
        <v>27</v>
      </c>
      <c r="H208" t="s">
        <v>43</v>
      </c>
      <c r="I208" t="s">
        <v>1059</v>
      </c>
      <c r="J208" t="str">
        <f>IF(ISNUMBER(SEARCH("India",Table2[[#This Row],[Emp_Name]])),"INR",
IF(ISNUMBER(SEARCH("Foreign",Table2[[#This Row],[Emp_Name]])),Table2[[#This Row],[Currency]],Table2[[#This Row],[Currency]]))</f>
        <v>USD</v>
      </c>
      <c r="K208">
        <v>24000</v>
      </c>
      <c r="L208">
        <v>12</v>
      </c>
      <c r="M208">
        <f>IF(Table2[[#This Row],[Num_Month]]&lt;&gt;12,12,Table2[[#This Row],[Num_Month]])</f>
        <v>12</v>
      </c>
      <c r="N208">
        <f>IF(Table2[[#This Row],[Monthly_Salary]]="","",Table2[[#This Row],[Monthly_Salary]]*Table2[[#This Row],[Num_Month_Final]])</f>
        <v>288000</v>
      </c>
      <c r="O208">
        <v>1</v>
      </c>
      <c r="P208">
        <f>IF(Table2[[#This Row],[Exp_Years]]&lt;0,ABS(Table2[[#This Row],[Exp_Years]]),Table2[[#This Row],[Exp_Years]])</f>
        <v>1</v>
      </c>
      <c r="Q208">
        <v>4</v>
      </c>
      <c r="R208">
        <v>16000</v>
      </c>
      <c r="S208">
        <f>IF(Table2[[#This Row],[Performance_Rating]]&gt;=3,Table2[[#This Row],[Monthly_Salary]]*0.3,"")</f>
        <v>7200</v>
      </c>
      <c r="T208">
        <v>88</v>
      </c>
      <c r="U208">
        <v>5</v>
      </c>
      <c r="V208">
        <v>2</v>
      </c>
      <c r="W208" t="s">
        <v>37</v>
      </c>
      <c r="X208" t="s">
        <v>28</v>
      </c>
      <c r="Y208" t="str">
        <f>IF(Table2[[#This Row],[Work_Mode]]&lt;&gt;"",Table2[[#This Row],[Work_Mode]],
IF(ISNUMBER(SEARCH("India",Table2[[#This Row],[Emp_Name]])),"Office",
IF(ISNUMBER(SEARCH("Foreign",Table2[[#This Row],[Emp_Name]])),"Remote","")))</f>
        <v>Remote</v>
      </c>
      <c r="Z208">
        <v>20</v>
      </c>
      <c r="AA20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208" t="s">
        <v>22</v>
      </c>
      <c r="AC208" t="str">
        <f>IF(COUNTIF(Table2[Emp_ID],Table2[[#This Row],[Emp_ID]])&gt;1,"Duplicate","Unique")</f>
        <v>Unique</v>
      </c>
      <c r="AE208" s="2"/>
      <c r="AG208" t="str">
        <f>IF(Table2[[#This Row],[Monthly_Salary]]="","Exclude",
IF(Table2[[#This Row],[Row_Status]]="Mismatch","Exclude",
IF(AND(Table2[[#This Row],[Row_Status]]="Exact Duplicate",
COUNTIFS(Table2[Emp_ID],Table2[[#This Row],[Emp_ID]],Table2[Row_Concat],Table2[[#This Row],[Row_Concat]],
Table2[Row_Number],"&lt;"&amp;Table2[[#This Row],[Row_Number]])&gt;=1),"Delete","")))</f>
        <v/>
      </c>
      <c r="AH208" t="str">
        <f>VLOOKUP(Table2[[#This Row],[Department]],Raw_2!A:B,2,0)</f>
        <v>Day</v>
      </c>
      <c r="AI208">
        <f>VLOOKUP(Table2[[#This Row],[Department]],Raw_2!A:C,3,0)</f>
        <v>12</v>
      </c>
    </row>
    <row r="209" spans="1:35">
      <c r="A209" t="s">
        <v>462</v>
      </c>
      <c r="B209" t="s">
        <v>463</v>
      </c>
      <c r="C209">
        <v>23</v>
      </c>
      <c r="D209" t="s">
        <v>46</v>
      </c>
      <c r="E209" t="str">
        <f>IF(OR(Table2[[#This Row],[Gender]]="Male",Table2[[#This Row],[Gender]]="M"),"M",
IF(OR(Table2[[#This Row],[Gender]]="Female",Table2[[#This Row],[Gender]]="F"),"F",""))</f>
        <v>M</v>
      </c>
      <c r="F209" t="s">
        <v>47</v>
      </c>
      <c r="G209" t="s">
        <v>31</v>
      </c>
      <c r="H209" t="s">
        <v>43</v>
      </c>
      <c r="I209" t="s">
        <v>1060</v>
      </c>
      <c r="J209" t="str">
        <f>IF(ISNUMBER(SEARCH("India",Table2[[#This Row],[Emp_Name]])),"INR",
IF(ISNUMBER(SEARCH("Foreign",Table2[[#This Row],[Emp_Name]])),Table2[[#This Row],[Currency]],Table2[[#This Row],[Currency]]))</f>
        <v>INR</v>
      </c>
      <c r="K209">
        <v>24000</v>
      </c>
      <c r="L209">
        <v>12</v>
      </c>
      <c r="M209">
        <f>IF(Table2[[#This Row],[Num_Month]]&lt;&gt;12,12,Table2[[#This Row],[Num_Month]])</f>
        <v>12</v>
      </c>
      <c r="N209">
        <f>IF(Table2[[#This Row],[Monthly_Salary]]="","",Table2[[#This Row],[Monthly_Salary]]*Table2[[#This Row],[Num_Month_Final]])</f>
        <v>288000</v>
      </c>
      <c r="O209">
        <v>1</v>
      </c>
      <c r="P209">
        <f>IF(Table2[[#This Row],[Exp_Years]]&lt;0,ABS(Table2[[#This Row],[Exp_Years]]),Table2[[#This Row],[Exp_Years]])</f>
        <v>1</v>
      </c>
      <c r="Q209">
        <v>5</v>
      </c>
      <c r="R209">
        <v>20000</v>
      </c>
      <c r="S209">
        <f>IF(Table2[[#This Row],[Performance_Rating]]&gt;=3,Table2[[#This Row],[Monthly_Salary]]*0.3,"")</f>
        <v>7200</v>
      </c>
      <c r="T209">
        <v>95</v>
      </c>
      <c r="U209">
        <v>10</v>
      </c>
      <c r="V209">
        <v>3</v>
      </c>
      <c r="W209" t="s">
        <v>21</v>
      </c>
      <c r="X209" t="s">
        <v>38</v>
      </c>
      <c r="Y209" t="str">
        <f>IF(Table2[[#This Row],[Work_Mode]]&lt;&gt;"",Table2[[#This Row],[Work_Mode]],
IF(ISNUMBER(SEARCH("India",Table2[[#This Row],[Emp_Name]])),"Office",
IF(ISNUMBER(SEARCH("Foreign",Table2[[#This Row],[Emp_Name]])),"Remote","")))</f>
        <v>Hybrid</v>
      </c>
      <c r="Z209">
        <v>5</v>
      </c>
      <c r="AA20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209" t="s">
        <v>58</v>
      </c>
      <c r="AC209" t="str">
        <f>IF(COUNTIF(Table2[Emp_ID],Table2[[#This Row],[Emp_ID]])&gt;1,"Duplicate","Unique")</f>
        <v>Unique</v>
      </c>
      <c r="AE209" s="2"/>
      <c r="AG209" t="str">
        <f>IF(Table2[[#This Row],[Monthly_Salary]]="","Exclude",
IF(Table2[[#This Row],[Row_Status]]="Mismatch","Exclude",
IF(AND(Table2[[#This Row],[Row_Status]]="Exact Duplicate",
COUNTIFS(Table2[Emp_ID],Table2[[#This Row],[Emp_ID]],Table2[Row_Concat],Table2[[#This Row],[Row_Concat]],
Table2[Row_Number],"&lt;"&amp;Table2[[#This Row],[Row_Number]])&gt;=1),"Delete","")))</f>
        <v/>
      </c>
      <c r="AH209" t="str">
        <f>VLOOKUP(Table2[[#This Row],[Department]],Raw_2!A:B,2,0)</f>
        <v>Night</v>
      </c>
      <c r="AI209">
        <f>VLOOKUP(Table2[[#This Row],[Department]],Raw_2!A:C,3,0)</f>
        <v>13</v>
      </c>
    </row>
    <row r="210" spans="1:35">
      <c r="A210" t="s">
        <v>464</v>
      </c>
      <c r="B210" t="s">
        <v>465</v>
      </c>
      <c r="C210">
        <v>31</v>
      </c>
      <c r="E210" t="str">
        <f>IF(OR(Table2[[#This Row],[Gender]]="Male",Table2[[#This Row],[Gender]]="M"),"M",
IF(OR(Table2[[#This Row],[Gender]]="Female",Table2[[#This Row],[Gender]]="F"),"F",""))</f>
        <v/>
      </c>
      <c r="F210" t="s">
        <v>26</v>
      </c>
      <c r="G210" t="s">
        <v>42</v>
      </c>
      <c r="H210" t="s">
        <v>82</v>
      </c>
      <c r="I210" t="s">
        <v>1059</v>
      </c>
      <c r="J210" t="str">
        <f>IF(ISNUMBER(SEARCH("India",Table2[[#This Row],[Emp_Name]])),"INR",
IF(ISNUMBER(SEARCH("Foreign",Table2[[#This Row],[Emp_Name]])),Table2[[#This Row],[Currency]],Table2[[#This Row],[Currency]]))</f>
        <v>USD</v>
      </c>
      <c r="K210">
        <v>89000</v>
      </c>
      <c r="L210">
        <v>12</v>
      </c>
      <c r="M210">
        <f>IF(Table2[[#This Row],[Num_Month]]&lt;&gt;12,12,Table2[[#This Row],[Num_Month]])</f>
        <v>12</v>
      </c>
      <c r="N210">
        <f>IF(Table2[[#This Row],[Monthly_Salary]]="","",Table2[[#This Row],[Monthly_Salary]]*Table2[[#This Row],[Num_Month_Final]])</f>
        <v>1068000</v>
      </c>
      <c r="O210">
        <v>9</v>
      </c>
      <c r="P210">
        <f>IF(Table2[[#This Row],[Exp_Years]]&lt;0,ABS(Table2[[#This Row],[Exp_Years]]),Table2[[#This Row],[Exp_Years]])</f>
        <v>9</v>
      </c>
      <c r="Q210">
        <v>4</v>
      </c>
      <c r="R210">
        <v>23824</v>
      </c>
      <c r="S210">
        <f>IF(Table2[[#This Row],[Performance_Rating]]&gt;=3,Table2[[#This Row],[Monthly_Salary]]*0.3,"")</f>
        <v>26700</v>
      </c>
      <c r="T210">
        <v>80</v>
      </c>
      <c r="U210">
        <v>5</v>
      </c>
      <c r="V210">
        <v>2</v>
      </c>
      <c r="W210" t="s">
        <v>37</v>
      </c>
      <c r="X210" t="s">
        <v>28</v>
      </c>
      <c r="Y210" t="str">
        <f>IF(Table2[[#This Row],[Work_Mode]]&lt;&gt;"",Table2[[#This Row],[Work_Mode]],
IF(ISNUMBER(SEARCH("India",Table2[[#This Row],[Emp_Name]])),"Office",
IF(ISNUMBER(SEARCH("Foreign",Table2[[#This Row],[Emp_Name]])),"Remote","")))</f>
        <v>Remote</v>
      </c>
      <c r="Z210">
        <v>20</v>
      </c>
      <c r="AA21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7000</v>
      </c>
      <c r="AB210" t="s">
        <v>22</v>
      </c>
      <c r="AC210" t="str">
        <f>IF(COUNTIF(Table2[Emp_ID],Table2[[#This Row],[Emp_ID]])&gt;1,"Duplicate","Unique")</f>
        <v>Unique</v>
      </c>
      <c r="AE210" s="2"/>
      <c r="AG210" t="str">
        <f>IF(Table2[[#This Row],[Monthly_Salary]]="","Exclude",
IF(Table2[[#This Row],[Row_Status]]="Mismatch","Exclude",
IF(AND(Table2[[#This Row],[Row_Status]]="Exact Duplicate",
COUNTIFS(Table2[Emp_ID],Table2[[#This Row],[Emp_ID]],Table2[Row_Concat],Table2[[#This Row],[Row_Concat]],
Table2[Row_Number],"&lt;"&amp;Table2[[#This Row],[Row_Number]])&gt;=1),"Delete","")))</f>
        <v/>
      </c>
      <c r="AH210" t="str">
        <f>VLOOKUP(Table2[[#This Row],[Department]],Raw_2!A:B,2,0)</f>
        <v>Day</v>
      </c>
      <c r="AI210">
        <f>VLOOKUP(Table2[[#This Row],[Department]],Raw_2!A:C,3,0)</f>
        <v>14</v>
      </c>
    </row>
    <row r="211" spans="1:35">
      <c r="A211" t="s">
        <v>466</v>
      </c>
      <c r="B211" t="s">
        <v>467</v>
      </c>
      <c r="C211">
        <v>25</v>
      </c>
      <c r="D211" t="s">
        <v>34</v>
      </c>
      <c r="E211" t="str">
        <f>IF(OR(Table2[[#This Row],[Gender]]="Male",Table2[[#This Row],[Gender]]="M"),"M",
IF(OR(Table2[[#This Row],[Gender]]="Female",Table2[[#This Row],[Gender]]="F"),"F",""))</f>
        <v>F</v>
      </c>
      <c r="F211" t="s">
        <v>47</v>
      </c>
      <c r="G211" t="s">
        <v>18</v>
      </c>
      <c r="H211" t="s">
        <v>43</v>
      </c>
      <c r="I211" t="s">
        <v>1060</v>
      </c>
      <c r="J211" t="str">
        <f>IF(ISNUMBER(SEARCH("India",Table2[[#This Row],[Emp_Name]])),"INR",
IF(ISNUMBER(SEARCH("Foreign",Table2[[#This Row],[Emp_Name]])),Table2[[#This Row],[Currency]],Table2[[#This Row],[Currency]]))</f>
        <v>INR</v>
      </c>
      <c r="K211">
        <v>24000</v>
      </c>
      <c r="L211">
        <v>12</v>
      </c>
      <c r="M211">
        <f>IF(Table2[[#This Row],[Num_Month]]&lt;&gt;12,12,Table2[[#This Row],[Num_Month]])</f>
        <v>12</v>
      </c>
      <c r="N211">
        <f>IF(Table2[[#This Row],[Monthly_Salary]]="","",Table2[[#This Row],[Monthly_Salary]]*Table2[[#This Row],[Num_Month_Final]])</f>
        <v>288000</v>
      </c>
      <c r="O211">
        <v>1</v>
      </c>
      <c r="P211">
        <f>IF(Table2[[#This Row],[Exp_Years]]&lt;0,ABS(Table2[[#This Row],[Exp_Years]]),Table2[[#This Row],[Exp_Years]])</f>
        <v>1</v>
      </c>
      <c r="Q211">
        <v>4</v>
      </c>
      <c r="R211">
        <v>17000</v>
      </c>
      <c r="S211">
        <f>IF(Table2[[#This Row],[Performance_Rating]]&gt;=3,Table2[[#This Row],[Monthly_Salary]]*0.3,"")</f>
        <v>7200</v>
      </c>
      <c r="T211">
        <v>80</v>
      </c>
      <c r="U211">
        <v>12</v>
      </c>
      <c r="V211">
        <v>3</v>
      </c>
      <c r="X211" t="s">
        <v>38</v>
      </c>
      <c r="Y211" t="str">
        <f>IF(Table2[[#This Row],[Work_Mode]]&lt;&gt;"",Table2[[#This Row],[Work_Mode]],
IF(ISNUMBER(SEARCH("India",Table2[[#This Row],[Emp_Name]])),"Office",
IF(ISNUMBER(SEARCH("Foreign",Table2[[#This Row],[Emp_Name]])),"Remote","")))</f>
        <v>Hybrid</v>
      </c>
      <c r="Z211">
        <v>20</v>
      </c>
      <c r="AA21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211" t="s">
        <v>58</v>
      </c>
      <c r="AC211" t="str">
        <f>IF(COUNTIF(Table2[Emp_ID],Table2[[#This Row],[Emp_ID]])&gt;1,"Duplicate","Unique")</f>
        <v>Unique</v>
      </c>
      <c r="AE211" s="2"/>
      <c r="AG211" t="str">
        <f>IF(Table2[[#This Row],[Monthly_Salary]]="","Exclude",
IF(Table2[[#This Row],[Row_Status]]="Mismatch","Exclude",
IF(AND(Table2[[#This Row],[Row_Status]]="Exact Duplicate",
COUNTIFS(Table2[Emp_ID],Table2[[#This Row],[Emp_ID]],Table2[Row_Concat],Table2[[#This Row],[Row_Concat]],
Table2[Row_Number],"&lt;"&amp;Table2[[#This Row],[Row_Number]])&gt;=1),"Delete","")))</f>
        <v/>
      </c>
      <c r="AH211" t="str">
        <f>VLOOKUP(Table2[[#This Row],[Department]],Raw_2!A:B,2,0)</f>
        <v>Day</v>
      </c>
      <c r="AI211">
        <f>VLOOKUP(Table2[[#This Row],[Department]],Raw_2!A:C,3,0)</f>
        <v>10</v>
      </c>
    </row>
    <row r="212" spans="1:35">
      <c r="A212" t="s">
        <v>468</v>
      </c>
      <c r="B212" t="s">
        <v>469</v>
      </c>
      <c r="C212">
        <v>25</v>
      </c>
      <c r="D212" t="s">
        <v>16</v>
      </c>
      <c r="E212" t="str">
        <f>IF(OR(Table2[[#This Row],[Gender]]="Male",Table2[[#This Row],[Gender]]="M"),"M",
IF(OR(Table2[[#This Row],[Gender]]="Female",Table2[[#This Row],[Gender]]="F"),"F",""))</f>
        <v>M</v>
      </c>
      <c r="F212" t="s">
        <v>26</v>
      </c>
      <c r="G212" t="s">
        <v>66</v>
      </c>
      <c r="H212" t="s">
        <v>43</v>
      </c>
      <c r="I212" t="s">
        <v>1060</v>
      </c>
      <c r="J212" t="str">
        <f>IF(ISNUMBER(SEARCH("India",Table2[[#This Row],[Emp_Name]])),"INR",
IF(ISNUMBER(SEARCH("Foreign",Table2[[#This Row],[Emp_Name]])),Table2[[#This Row],[Currency]],Table2[[#This Row],[Currency]]))</f>
        <v>INR</v>
      </c>
      <c r="K212">
        <v>31500</v>
      </c>
      <c r="L212">
        <v>12</v>
      </c>
      <c r="M212">
        <f>IF(Table2[[#This Row],[Num_Month]]&lt;&gt;12,12,Table2[[#This Row],[Num_Month]])</f>
        <v>12</v>
      </c>
      <c r="N212">
        <f>IF(Table2[[#This Row],[Monthly_Salary]]="","",Table2[[#This Row],[Monthly_Salary]]*Table2[[#This Row],[Num_Month_Final]])</f>
        <v>378000</v>
      </c>
      <c r="O212">
        <v>2</v>
      </c>
      <c r="P212">
        <f>IF(Table2[[#This Row],[Exp_Years]]&lt;0,ABS(Table2[[#This Row],[Exp_Years]]),Table2[[#This Row],[Exp_Years]])</f>
        <v>2</v>
      </c>
      <c r="Q212">
        <v>2</v>
      </c>
      <c r="S212" t="str">
        <f>IF(Table2[[#This Row],[Performance_Rating]]&gt;=3,Table2[[#This Row],[Monthly_Salary]]*0.3,"")</f>
        <v/>
      </c>
      <c r="T212">
        <v>90</v>
      </c>
      <c r="U212">
        <v>5</v>
      </c>
      <c r="V212">
        <v>3</v>
      </c>
      <c r="X212" t="s">
        <v>38</v>
      </c>
      <c r="Y212" t="str">
        <f>IF(Table2[[#This Row],[Work_Mode]]&lt;&gt;"",Table2[[#This Row],[Work_Mode]],
IF(ISNUMBER(SEARCH("India",Table2[[#This Row],[Emp_Name]])),"Office",
IF(ISNUMBER(SEARCH("Foreign",Table2[[#This Row],[Emp_Name]])),"Remote","")))</f>
        <v>Hybrid</v>
      </c>
      <c r="Z212">
        <v>20</v>
      </c>
      <c r="AA21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212" t="s">
        <v>39</v>
      </c>
      <c r="AC212" t="str">
        <f>IF(COUNTIF(Table2[Emp_ID],Table2[[#This Row],[Emp_ID]])&gt;1,"Duplicate","Unique")</f>
        <v>Unique</v>
      </c>
      <c r="AE212" s="2"/>
      <c r="AG212" t="str">
        <f>IF(Table2[[#This Row],[Monthly_Salary]]="","Exclude",
IF(Table2[[#This Row],[Row_Status]]="Mismatch","Exclude",
IF(AND(Table2[[#This Row],[Row_Status]]="Exact Duplicate",
COUNTIFS(Table2[Emp_ID],Table2[[#This Row],[Emp_ID]],Table2[Row_Concat],Table2[[#This Row],[Row_Concat]],
Table2[Row_Number],"&lt;"&amp;Table2[[#This Row],[Row_Number]])&gt;=1),"Delete","")))</f>
        <v/>
      </c>
      <c r="AH212" t="str">
        <f>VLOOKUP(Table2[[#This Row],[Department]],Raw_2!A:B,2,0)</f>
        <v>Night</v>
      </c>
      <c r="AI212">
        <f>VLOOKUP(Table2[[#This Row],[Department]],Raw_2!A:C,3,0)</f>
        <v>20</v>
      </c>
    </row>
    <row r="213" spans="1:35">
      <c r="A213" t="s">
        <v>470</v>
      </c>
      <c r="B213" t="s">
        <v>471</v>
      </c>
      <c r="C213">
        <v>48</v>
      </c>
      <c r="D213" t="s">
        <v>34</v>
      </c>
      <c r="E213" t="str">
        <f>IF(OR(Table2[[#This Row],[Gender]]="Male",Table2[[#This Row],[Gender]]="M"),"M",
IF(OR(Table2[[#This Row],[Gender]]="Female",Table2[[#This Row],[Gender]]="F"),"F",""))</f>
        <v>F</v>
      </c>
      <c r="F213" t="s">
        <v>35</v>
      </c>
      <c r="G213" t="s">
        <v>36</v>
      </c>
      <c r="H213" t="s">
        <v>1051</v>
      </c>
      <c r="I213" t="s">
        <v>1060</v>
      </c>
      <c r="J213" t="str">
        <f>IF(ISNUMBER(SEARCH("India",Table2[[#This Row],[Emp_Name]])),"INR",
IF(ISNUMBER(SEARCH("Foreign",Table2[[#This Row],[Emp_Name]])),Table2[[#This Row],[Currency]],Table2[[#This Row],[Currency]]))</f>
        <v>INR</v>
      </c>
      <c r="K213">
        <v>154000</v>
      </c>
      <c r="L213">
        <v>12</v>
      </c>
      <c r="M213">
        <f>IF(Table2[[#This Row],[Num_Month]]&lt;&gt;12,12,Table2[[#This Row],[Num_Month]])</f>
        <v>12</v>
      </c>
      <c r="N213">
        <f>IF(Table2[[#This Row],[Monthly_Salary]]="","",Table2[[#This Row],[Monthly_Salary]]*Table2[[#This Row],[Num_Month_Final]])</f>
        <v>1848000</v>
      </c>
      <c r="O213">
        <v>22</v>
      </c>
      <c r="P213">
        <f>IF(Table2[[#This Row],[Exp_Years]]&lt;0,ABS(Table2[[#This Row],[Exp_Years]]),Table2[[#This Row],[Exp_Years]])</f>
        <v>22</v>
      </c>
      <c r="Q213">
        <v>5</v>
      </c>
      <c r="R213">
        <v>66753</v>
      </c>
      <c r="S213">
        <f>IF(Table2[[#This Row],[Performance_Rating]]&gt;=3,Table2[[#This Row],[Monthly_Salary]]*0.3,"")</f>
        <v>46200</v>
      </c>
      <c r="T213">
        <v>80</v>
      </c>
      <c r="U213">
        <v>15</v>
      </c>
      <c r="V213">
        <v>5</v>
      </c>
      <c r="X213" t="s">
        <v>38</v>
      </c>
      <c r="Y213" t="str">
        <f>IF(Table2[[#This Row],[Work_Mode]]&lt;&gt;"",Table2[[#This Row],[Work_Mode]],
IF(ISNUMBER(SEARCH("India",Table2[[#This Row],[Emp_Name]])),"Office",
IF(ISNUMBER(SEARCH("Foreign",Table2[[#This Row],[Emp_Name]])),"Remote","")))</f>
        <v>Hybrid</v>
      </c>
      <c r="AA213"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213" t="s">
        <v>58</v>
      </c>
      <c r="AC213" t="str">
        <f>IF(COUNTIF(Table2[Emp_ID],Table2[[#This Row],[Emp_ID]])&gt;1,"Duplicate","Unique")</f>
        <v>Unique</v>
      </c>
      <c r="AE213" s="2"/>
      <c r="AG213" t="str">
        <f>IF(Table2[[#This Row],[Monthly_Salary]]="","Exclude",
IF(Table2[[#This Row],[Row_Status]]="Mismatch","Exclude",
IF(AND(Table2[[#This Row],[Row_Status]]="Exact Duplicate",
COUNTIFS(Table2[Emp_ID],Table2[[#This Row],[Emp_ID]],Table2[Row_Concat],Table2[[#This Row],[Row_Concat]],
Table2[Row_Number],"&lt;"&amp;Table2[[#This Row],[Row_Number]])&gt;=1),"Delete","")))</f>
        <v/>
      </c>
      <c r="AH213" t="str">
        <f>VLOOKUP(Table2[[#This Row],[Department]],Raw_2!A:B,2,0)</f>
        <v>Day</v>
      </c>
      <c r="AI213">
        <f>VLOOKUP(Table2[[#This Row],[Department]],Raw_2!A:C,3,0)</f>
        <v>25</v>
      </c>
    </row>
    <row r="214" spans="1:35">
      <c r="A214" t="s">
        <v>472</v>
      </c>
      <c r="B214" t="s">
        <v>473</v>
      </c>
      <c r="C214">
        <v>25</v>
      </c>
      <c r="D214" t="s">
        <v>16</v>
      </c>
      <c r="E214" t="str">
        <f>IF(OR(Table2[[#This Row],[Gender]]="Male",Table2[[#This Row],[Gender]]="M"),"M",
IF(OR(Table2[[#This Row],[Gender]]="Female",Table2[[#This Row],[Gender]]="F"),"F",""))</f>
        <v>M</v>
      </c>
      <c r="F214" t="s">
        <v>64</v>
      </c>
      <c r="G214" t="s">
        <v>31</v>
      </c>
      <c r="H214" t="s">
        <v>43</v>
      </c>
      <c r="I214" t="s">
        <v>1060</v>
      </c>
      <c r="J214" t="str">
        <f>IF(ISNUMBER(SEARCH("India",Table2[[#This Row],[Emp_Name]])),"INR",
IF(ISNUMBER(SEARCH("Foreign",Table2[[#This Row],[Emp_Name]])),Table2[[#This Row],[Currency]],Table2[[#This Row],[Currency]]))</f>
        <v>INR</v>
      </c>
      <c r="K214">
        <v>23000</v>
      </c>
      <c r="L214">
        <v>12</v>
      </c>
      <c r="M214">
        <f>IF(Table2[[#This Row],[Num_Month]]&lt;&gt;12,12,Table2[[#This Row],[Num_Month]])</f>
        <v>12</v>
      </c>
      <c r="N214">
        <f>IF(Table2[[#This Row],[Monthly_Salary]]="","",Table2[[#This Row],[Monthly_Salary]]*Table2[[#This Row],[Num_Month_Final]])</f>
        <v>276000</v>
      </c>
      <c r="O214">
        <v>2</v>
      </c>
      <c r="P214">
        <f>IF(Table2[[#This Row],[Exp_Years]]&lt;0,ABS(Table2[[#This Row],[Exp_Years]]),Table2[[#This Row],[Exp_Years]])</f>
        <v>2</v>
      </c>
      <c r="Q214">
        <v>5</v>
      </c>
      <c r="R214">
        <v>20000</v>
      </c>
      <c r="S214">
        <f>IF(Table2[[#This Row],[Performance_Rating]]&gt;=3,Table2[[#This Row],[Monthly_Salary]]*0.3,"")</f>
        <v>6900</v>
      </c>
      <c r="T214">
        <v>88</v>
      </c>
      <c r="U214">
        <v>15</v>
      </c>
      <c r="V214">
        <v>3</v>
      </c>
      <c r="W214" t="s">
        <v>21</v>
      </c>
      <c r="X214" t="s">
        <v>38</v>
      </c>
      <c r="Y214" t="str">
        <f>IF(Table2[[#This Row],[Work_Mode]]&lt;&gt;"",Table2[[#This Row],[Work_Mode]],
IF(ISNUMBER(SEARCH("India",Table2[[#This Row],[Emp_Name]])),"Office",
IF(ISNUMBER(SEARCH("Foreign",Table2[[#This Row],[Emp_Name]])),"Remote","")))</f>
        <v>Hybrid</v>
      </c>
      <c r="Z214">
        <v>20</v>
      </c>
      <c r="AA21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214" t="s">
        <v>58</v>
      </c>
      <c r="AC214" t="str">
        <f>IF(COUNTIF(Table2[Emp_ID],Table2[[#This Row],[Emp_ID]])&gt;1,"Duplicate","Unique")</f>
        <v>Unique</v>
      </c>
      <c r="AE214" s="2"/>
      <c r="AG214" t="str">
        <f>IF(Table2[[#This Row],[Monthly_Salary]]="","Exclude",
IF(Table2[[#This Row],[Row_Status]]="Mismatch","Exclude",
IF(AND(Table2[[#This Row],[Row_Status]]="Exact Duplicate",
COUNTIFS(Table2[Emp_ID],Table2[[#This Row],[Emp_ID]],Table2[Row_Concat],Table2[[#This Row],[Row_Concat]],
Table2[Row_Number],"&lt;"&amp;Table2[[#This Row],[Row_Number]])&gt;=1),"Delete","")))</f>
        <v/>
      </c>
      <c r="AH214" t="str">
        <f>VLOOKUP(Table2[[#This Row],[Department]],Raw_2!A:B,2,0)</f>
        <v>Night</v>
      </c>
      <c r="AI214">
        <f>VLOOKUP(Table2[[#This Row],[Department]],Raw_2!A:C,3,0)</f>
        <v>13</v>
      </c>
    </row>
    <row r="215" spans="1:35">
      <c r="A215" t="s">
        <v>474</v>
      </c>
      <c r="B215" t="s">
        <v>475</v>
      </c>
      <c r="C215">
        <v>25</v>
      </c>
      <c r="D215" t="s">
        <v>16</v>
      </c>
      <c r="E215" t="str">
        <f>IF(OR(Table2[[#This Row],[Gender]]="Male",Table2[[#This Row],[Gender]]="M"),"M",
IF(OR(Table2[[#This Row],[Gender]]="Female",Table2[[#This Row],[Gender]]="F"),"F",""))</f>
        <v>M</v>
      </c>
      <c r="F215" t="s">
        <v>17</v>
      </c>
      <c r="G215" t="s">
        <v>36</v>
      </c>
      <c r="H215" t="s">
        <v>43</v>
      </c>
      <c r="I215" t="s">
        <v>1060</v>
      </c>
      <c r="J215" t="str">
        <f>IF(ISNUMBER(SEARCH("India",Table2[[#This Row],[Emp_Name]])),"INR",
IF(ISNUMBER(SEARCH("Foreign",Table2[[#This Row],[Emp_Name]])),Table2[[#This Row],[Currency]],Table2[[#This Row],[Currency]]))</f>
        <v>INR</v>
      </c>
      <c r="K215">
        <v>24000</v>
      </c>
      <c r="L215">
        <v>12</v>
      </c>
      <c r="M215">
        <f>IF(Table2[[#This Row],[Num_Month]]&lt;&gt;12,12,Table2[[#This Row],[Num_Month]])</f>
        <v>12</v>
      </c>
      <c r="N215">
        <f>IF(Table2[[#This Row],[Monthly_Salary]]="","",Table2[[#This Row],[Monthly_Salary]]*Table2[[#This Row],[Num_Month_Final]])</f>
        <v>288000</v>
      </c>
      <c r="O215">
        <v>1</v>
      </c>
      <c r="P215">
        <f>IF(Table2[[#This Row],[Exp_Years]]&lt;0,ABS(Table2[[#This Row],[Exp_Years]]),Table2[[#This Row],[Exp_Years]])</f>
        <v>1</v>
      </c>
      <c r="Q215">
        <v>3</v>
      </c>
      <c r="R215">
        <v>11400</v>
      </c>
      <c r="S215">
        <f>IF(Table2[[#This Row],[Performance_Rating]]&gt;=3,Table2[[#This Row],[Monthly_Salary]]*0.3,"")</f>
        <v>7200</v>
      </c>
      <c r="T215">
        <v>88</v>
      </c>
      <c r="U215">
        <v>10</v>
      </c>
      <c r="V215">
        <v>2</v>
      </c>
      <c r="X215" t="s">
        <v>38</v>
      </c>
      <c r="Y215" t="str">
        <f>IF(Table2[[#This Row],[Work_Mode]]&lt;&gt;"",Table2[[#This Row],[Work_Mode]],
IF(ISNUMBER(SEARCH("India",Table2[[#This Row],[Emp_Name]])),"Office",
IF(ISNUMBER(SEARCH("Foreign",Table2[[#This Row],[Emp_Name]])),"Remote","")))</f>
        <v>Hybrid</v>
      </c>
      <c r="Z215">
        <v>5</v>
      </c>
      <c r="AA21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215" t="s">
        <v>22</v>
      </c>
      <c r="AC215" t="str">
        <f>IF(COUNTIF(Table2[Emp_ID],Table2[[#This Row],[Emp_ID]])&gt;1,"Duplicate","Unique")</f>
        <v>Unique</v>
      </c>
      <c r="AE215" s="2"/>
      <c r="AG215" t="str">
        <f>IF(Table2[[#This Row],[Monthly_Salary]]="","Exclude",
IF(Table2[[#This Row],[Row_Status]]="Mismatch","Exclude",
IF(AND(Table2[[#This Row],[Row_Status]]="Exact Duplicate",
COUNTIFS(Table2[Emp_ID],Table2[[#This Row],[Emp_ID]],Table2[Row_Concat],Table2[[#This Row],[Row_Concat]],
Table2[Row_Number],"&lt;"&amp;Table2[[#This Row],[Row_Number]])&gt;=1),"Delete","")))</f>
        <v/>
      </c>
      <c r="AH215" t="str">
        <f>VLOOKUP(Table2[[#This Row],[Department]],Raw_2!A:B,2,0)</f>
        <v>Day</v>
      </c>
      <c r="AI215">
        <f>VLOOKUP(Table2[[#This Row],[Department]],Raw_2!A:C,3,0)</f>
        <v>25</v>
      </c>
    </row>
    <row r="216" spans="1:35">
      <c r="A216" t="s">
        <v>476</v>
      </c>
      <c r="B216" t="s">
        <v>477</v>
      </c>
      <c r="C216">
        <v>51</v>
      </c>
      <c r="D216" t="s">
        <v>34</v>
      </c>
      <c r="E216" t="str">
        <f>IF(OR(Table2[[#This Row],[Gender]]="Male",Table2[[#This Row],[Gender]]="M"),"M",
IF(OR(Table2[[#This Row],[Gender]]="Female",Table2[[#This Row],[Gender]]="F"),"F",""))</f>
        <v>F</v>
      </c>
      <c r="F216" t="s">
        <v>57</v>
      </c>
      <c r="G216" t="s">
        <v>66</v>
      </c>
      <c r="H216" t="s">
        <v>1051</v>
      </c>
      <c r="I216" t="s">
        <v>1060</v>
      </c>
      <c r="J216" t="str">
        <f>IF(ISNUMBER(SEARCH("India",Table2[[#This Row],[Emp_Name]])),"INR",
IF(ISNUMBER(SEARCH("Foreign",Table2[[#This Row],[Emp_Name]])),Table2[[#This Row],[Currency]],Table2[[#This Row],[Currency]]))</f>
        <v>INR</v>
      </c>
      <c r="K216">
        <v>158000</v>
      </c>
      <c r="L216">
        <v>12</v>
      </c>
      <c r="M216">
        <f>IF(Table2[[#This Row],[Num_Month]]&lt;&gt;12,12,Table2[[#This Row],[Num_Month]])</f>
        <v>12</v>
      </c>
      <c r="N216">
        <f>IF(Table2[[#This Row],[Monthly_Salary]]="","",Table2[[#This Row],[Monthly_Salary]]*Table2[[#This Row],[Num_Month_Final]])</f>
        <v>1896000</v>
      </c>
      <c r="O216">
        <v>23</v>
      </c>
      <c r="P216">
        <f>IF(Table2[[#This Row],[Exp_Years]]&lt;0,ABS(Table2[[#This Row],[Exp_Years]]),Table2[[#This Row],[Exp_Years]])</f>
        <v>23</v>
      </c>
      <c r="Q216">
        <v>3</v>
      </c>
      <c r="R216">
        <v>72167</v>
      </c>
      <c r="S216">
        <f>IF(Table2[[#This Row],[Performance_Rating]]&gt;=3,Table2[[#This Row],[Monthly_Salary]]*0.3,"")</f>
        <v>47400</v>
      </c>
      <c r="T216">
        <v>88</v>
      </c>
      <c r="U216">
        <v>15</v>
      </c>
      <c r="V216">
        <v>4</v>
      </c>
      <c r="W216" t="s">
        <v>21</v>
      </c>
      <c r="X216" t="s">
        <v>19</v>
      </c>
      <c r="Y216" t="str">
        <f>IF(Table2[[#This Row],[Work_Mode]]&lt;&gt;"",Table2[[#This Row],[Work_Mode]],
IF(ISNUMBER(SEARCH("India",Table2[[#This Row],[Emp_Name]])),"Office",
IF(ISNUMBER(SEARCH("Foreign",Table2[[#This Row],[Emp_Name]])),"Remote","")))</f>
        <v>Office</v>
      </c>
      <c r="AA216"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216" t="s">
        <v>22</v>
      </c>
      <c r="AC216" t="str">
        <f>IF(COUNTIF(Table2[Emp_ID],Table2[[#This Row],[Emp_ID]])&gt;1,"Duplicate","Unique")</f>
        <v>Unique</v>
      </c>
      <c r="AE216" s="2"/>
      <c r="AG216" t="str">
        <f>IF(Table2[[#This Row],[Monthly_Salary]]="","Exclude",
IF(Table2[[#This Row],[Row_Status]]="Mismatch","Exclude",
IF(AND(Table2[[#This Row],[Row_Status]]="Exact Duplicate",
COUNTIFS(Table2[Emp_ID],Table2[[#This Row],[Emp_ID]],Table2[Row_Concat],Table2[[#This Row],[Row_Concat]],
Table2[Row_Number],"&lt;"&amp;Table2[[#This Row],[Row_Number]])&gt;=1),"Delete","")))</f>
        <v/>
      </c>
      <c r="AH216" t="str">
        <f>VLOOKUP(Table2[[#This Row],[Department]],Raw_2!A:B,2,0)</f>
        <v>Night</v>
      </c>
      <c r="AI216">
        <f>VLOOKUP(Table2[[#This Row],[Department]],Raw_2!A:C,3,0)</f>
        <v>20</v>
      </c>
    </row>
    <row r="217" spans="1:35">
      <c r="A217" t="s">
        <v>478</v>
      </c>
      <c r="B217" t="s">
        <v>479</v>
      </c>
      <c r="C217">
        <v>23</v>
      </c>
      <c r="E217" t="str">
        <f>IF(OR(Table2[[#This Row],[Gender]]="Male",Table2[[#This Row],[Gender]]="M"),"M",
IF(OR(Table2[[#This Row],[Gender]]="Female",Table2[[#This Row],[Gender]]="F"),"F",""))</f>
        <v/>
      </c>
      <c r="F217" t="s">
        <v>65</v>
      </c>
      <c r="G217" t="s">
        <v>31</v>
      </c>
      <c r="H217" t="s">
        <v>43</v>
      </c>
      <c r="I217" t="s">
        <v>1060</v>
      </c>
      <c r="J217" t="str">
        <f>IF(ISNUMBER(SEARCH("India",Table2[[#This Row],[Emp_Name]])),"INR",
IF(ISNUMBER(SEARCH("Foreign",Table2[[#This Row],[Emp_Name]])),Table2[[#This Row],[Currency]],Table2[[#This Row],[Currency]]))</f>
        <v>INR</v>
      </c>
      <c r="K217">
        <v>31500</v>
      </c>
      <c r="L217">
        <v>12</v>
      </c>
      <c r="M217">
        <f>IF(Table2[[#This Row],[Num_Month]]&lt;&gt;12,12,Table2[[#This Row],[Num_Month]])</f>
        <v>12</v>
      </c>
      <c r="N217">
        <f>IF(Table2[[#This Row],[Monthly_Salary]]="","",Table2[[#This Row],[Monthly_Salary]]*Table2[[#This Row],[Num_Month_Final]])</f>
        <v>378000</v>
      </c>
      <c r="O217">
        <v>2</v>
      </c>
      <c r="P217">
        <f>IF(Table2[[#This Row],[Exp_Years]]&lt;0,ABS(Table2[[#This Row],[Exp_Years]]),Table2[[#This Row],[Exp_Years]])</f>
        <v>2</v>
      </c>
      <c r="Q217">
        <v>2</v>
      </c>
      <c r="S217" t="str">
        <f>IF(Table2[[#This Row],[Performance_Rating]]&gt;=3,Table2[[#This Row],[Monthly_Salary]]*0.3,"")</f>
        <v/>
      </c>
      <c r="T217">
        <v>85</v>
      </c>
      <c r="U217">
        <v>5</v>
      </c>
      <c r="V217">
        <v>5</v>
      </c>
      <c r="W217" t="s">
        <v>37</v>
      </c>
      <c r="X217" t="s">
        <v>38</v>
      </c>
      <c r="Y217" t="str">
        <f>IF(Table2[[#This Row],[Work_Mode]]&lt;&gt;"",Table2[[#This Row],[Work_Mode]],
IF(ISNUMBER(SEARCH("India",Table2[[#This Row],[Emp_Name]])),"Office",
IF(ISNUMBER(SEARCH("Foreign",Table2[[#This Row],[Emp_Name]])),"Remote","")))</f>
        <v>Hybrid</v>
      </c>
      <c r="Z217">
        <v>10</v>
      </c>
      <c r="AA21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17" t="s">
        <v>39</v>
      </c>
      <c r="AC217" t="str">
        <f>IF(COUNTIF(Table2[Emp_ID],Table2[[#This Row],[Emp_ID]])&gt;1,"Duplicate","Unique")</f>
        <v>Unique</v>
      </c>
      <c r="AE217" s="2"/>
      <c r="AG217" t="str">
        <f>IF(Table2[[#This Row],[Monthly_Salary]]="","Exclude",
IF(Table2[[#This Row],[Row_Status]]="Mismatch","Exclude",
IF(AND(Table2[[#This Row],[Row_Status]]="Exact Duplicate",
COUNTIFS(Table2[Emp_ID],Table2[[#This Row],[Emp_ID]],Table2[Row_Concat],Table2[[#This Row],[Row_Concat]],
Table2[Row_Number],"&lt;"&amp;Table2[[#This Row],[Row_Number]])&gt;=1),"Delete","")))</f>
        <v/>
      </c>
      <c r="AH217" t="str">
        <f>VLOOKUP(Table2[[#This Row],[Department]],Raw_2!A:B,2,0)</f>
        <v>Night</v>
      </c>
      <c r="AI217">
        <f>VLOOKUP(Table2[[#This Row],[Department]],Raw_2!A:C,3,0)</f>
        <v>13</v>
      </c>
    </row>
    <row r="218" spans="1:35">
      <c r="A218" t="s">
        <v>480</v>
      </c>
      <c r="B218" t="s">
        <v>481</v>
      </c>
      <c r="C218">
        <v>29</v>
      </c>
      <c r="D218" t="s">
        <v>16</v>
      </c>
      <c r="E218" t="str">
        <f>IF(OR(Table2[[#This Row],[Gender]]="Male",Table2[[#This Row],[Gender]]="M"),"M",
IF(OR(Table2[[#This Row],[Gender]]="Female",Table2[[#This Row],[Gender]]="F"),"F",""))</f>
        <v>M</v>
      </c>
      <c r="F218" t="s">
        <v>65</v>
      </c>
      <c r="G218" t="s">
        <v>31</v>
      </c>
      <c r="H218" t="s">
        <v>1045</v>
      </c>
      <c r="I218" t="s">
        <v>1060</v>
      </c>
      <c r="J218" t="str">
        <f>IF(ISNUMBER(SEARCH("India",Table2[[#This Row],[Emp_Name]])),"INR",
IF(ISNUMBER(SEARCH("Foreign",Table2[[#This Row],[Emp_Name]])),Table2[[#This Row],[Currency]],Table2[[#This Row],[Currency]]))</f>
        <v>INR</v>
      </c>
      <c r="K218">
        <v>81000</v>
      </c>
      <c r="L218">
        <v>12</v>
      </c>
      <c r="M218">
        <f>IF(Table2[[#This Row],[Num_Month]]&lt;&gt;12,12,Table2[[#This Row],[Num_Month]])</f>
        <v>12</v>
      </c>
      <c r="N218">
        <f>IF(Table2[[#This Row],[Monthly_Salary]]="","",Table2[[#This Row],[Monthly_Salary]]*Table2[[#This Row],[Num_Month_Final]])</f>
        <v>972000</v>
      </c>
      <c r="O218">
        <v>6</v>
      </c>
      <c r="P218">
        <f>IF(Table2[[#This Row],[Exp_Years]]&lt;0,ABS(Table2[[#This Row],[Exp_Years]]),Table2[[#This Row],[Exp_Years]])</f>
        <v>6</v>
      </c>
      <c r="Q218">
        <v>1</v>
      </c>
      <c r="S218" t="str">
        <f>IF(Table2[[#This Row],[Performance_Rating]]&gt;=3,Table2[[#This Row],[Monthly_Salary]]*0.3,"")</f>
        <v/>
      </c>
      <c r="T218">
        <v>80</v>
      </c>
      <c r="U218">
        <v>15</v>
      </c>
      <c r="V218">
        <v>3</v>
      </c>
      <c r="W218" t="s">
        <v>21</v>
      </c>
      <c r="X218" t="s">
        <v>19</v>
      </c>
      <c r="Y218" t="str">
        <f>IF(Table2[[#This Row],[Work_Mode]]&lt;&gt;"",Table2[[#This Row],[Work_Mode]],
IF(ISNUMBER(SEARCH("India",Table2[[#This Row],[Emp_Name]])),"Office",
IF(ISNUMBER(SEARCH("Foreign",Table2[[#This Row],[Emp_Name]])),"Remote","")))</f>
        <v>Office</v>
      </c>
      <c r="AA21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18" t="s">
        <v>39</v>
      </c>
      <c r="AC218" t="str">
        <f>IF(COUNTIF(Table2[Emp_ID],Table2[[#This Row],[Emp_ID]])&gt;1,"Duplicate","Unique")</f>
        <v>Unique</v>
      </c>
      <c r="AE218" s="2"/>
      <c r="AG218" t="str">
        <f>IF(Table2[[#This Row],[Monthly_Salary]]="","Exclude",
IF(Table2[[#This Row],[Row_Status]]="Mismatch","Exclude",
IF(AND(Table2[[#This Row],[Row_Status]]="Exact Duplicate",
COUNTIFS(Table2[Emp_ID],Table2[[#This Row],[Emp_ID]],Table2[Row_Concat],Table2[[#This Row],[Row_Concat]],
Table2[Row_Number],"&lt;"&amp;Table2[[#This Row],[Row_Number]])&gt;=1),"Delete","")))</f>
        <v/>
      </c>
      <c r="AH218" t="str">
        <f>VLOOKUP(Table2[[#This Row],[Department]],Raw_2!A:B,2,0)</f>
        <v>Night</v>
      </c>
      <c r="AI218">
        <f>VLOOKUP(Table2[[#This Row],[Department]],Raw_2!A:C,3,0)</f>
        <v>13</v>
      </c>
    </row>
    <row r="219" spans="1:35">
      <c r="A219" t="s">
        <v>482</v>
      </c>
      <c r="B219" t="s">
        <v>483</v>
      </c>
      <c r="C219">
        <v>53</v>
      </c>
      <c r="D219" t="s">
        <v>34</v>
      </c>
      <c r="E219" t="str">
        <f>IF(OR(Table2[[#This Row],[Gender]]="Male",Table2[[#This Row],[Gender]]="M"),"M",
IF(OR(Table2[[#This Row],[Gender]]="Female",Table2[[#This Row],[Gender]]="F"),"F",""))</f>
        <v>F</v>
      </c>
      <c r="F219" t="s">
        <v>65</v>
      </c>
      <c r="G219" t="s">
        <v>31</v>
      </c>
      <c r="H219" t="s">
        <v>1051</v>
      </c>
      <c r="I219" t="s">
        <v>1059</v>
      </c>
      <c r="J219" t="str">
        <f>IF(ISNUMBER(SEARCH("India",Table2[[#This Row],[Emp_Name]])),"INR",
IF(ISNUMBER(SEARCH("Foreign",Table2[[#This Row],[Emp_Name]])),Table2[[#This Row],[Currency]],Table2[[#This Row],[Currency]]))</f>
        <v>USD</v>
      </c>
      <c r="K219">
        <v>152000</v>
      </c>
      <c r="L219">
        <v>12</v>
      </c>
      <c r="M219">
        <f>IF(Table2[[#This Row],[Num_Month]]&lt;&gt;12,12,Table2[[#This Row],[Num_Month]])</f>
        <v>12</v>
      </c>
      <c r="N219">
        <f>IF(Table2[[#This Row],[Monthly_Salary]]="","",Table2[[#This Row],[Monthly_Salary]]*Table2[[#This Row],[Num_Month_Final]])</f>
        <v>1824000</v>
      </c>
      <c r="O219">
        <v>21</v>
      </c>
      <c r="P219">
        <f>IF(Table2[[#This Row],[Exp_Years]]&lt;0,ABS(Table2[[#This Row],[Exp_Years]]),Table2[[#This Row],[Exp_Years]])</f>
        <v>21</v>
      </c>
      <c r="Q219">
        <v>4</v>
      </c>
      <c r="R219">
        <v>82000</v>
      </c>
      <c r="S219">
        <f>IF(Table2[[#This Row],[Performance_Rating]]&gt;=3,Table2[[#This Row],[Monthly_Salary]]*0.3,"")</f>
        <v>45600</v>
      </c>
      <c r="T219">
        <v>80</v>
      </c>
      <c r="U219">
        <v>15</v>
      </c>
      <c r="V219">
        <v>3</v>
      </c>
      <c r="X219" t="s">
        <v>28</v>
      </c>
      <c r="Y219" t="str">
        <f>IF(Table2[[#This Row],[Work_Mode]]&lt;&gt;"",Table2[[#This Row],[Work_Mode]],
IF(ISNUMBER(SEARCH("India",Table2[[#This Row],[Emp_Name]])),"Office",
IF(ISNUMBER(SEARCH("Foreign",Table2[[#This Row],[Emp_Name]])),"Remote","")))</f>
        <v>Remote</v>
      </c>
      <c r="AA219"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219" t="s">
        <v>22</v>
      </c>
      <c r="AC219" t="str">
        <f>IF(COUNTIF(Table2[Emp_ID],Table2[[#This Row],[Emp_ID]])&gt;1,"Duplicate","Unique")</f>
        <v>Unique</v>
      </c>
      <c r="AE219" s="2"/>
      <c r="AG219" t="str">
        <f>IF(Table2[[#This Row],[Monthly_Salary]]="","Exclude",
IF(Table2[[#This Row],[Row_Status]]="Mismatch","Exclude",
IF(AND(Table2[[#This Row],[Row_Status]]="Exact Duplicate",
COUNTIFS(Table2[Emp_ID],Table2[[#This Row],[Emp_ID]],Table2[Row_Concat],Table2[[#This Row],[Row_Concat]],
Table2[Row_Number],"&lt;"&amp;Table2[[#This Row],[Row_Number]])&gt;=1),"Delete","")))</f>
        <v/>
      </c>
      <c r="AH219" t="str">
        <f>VLOOKUP(Table2[[#This Row],[Department]],Raw_2!A:B,2,0)</f>
        <v>Night</v>
      </c>
      <c r="AI219">
        <f>VLOOKUP(Table2[[#This Row],[Department]],Raw_2!A:C,3,0)</f>
        <v>13</v>
      </c>
    </row>
    <row r="220" spans="1:35">
      <c r="A220" t="s">
        <v>484</v>
      </c>
      <c r="B220" t="s">
        <v>485</v>
      </c>
      <c r="C220">
        <v>51</v>
      </c>
      <c r="D220" t="s">
        <v>34</v>
      </c>
      <c r="E220" t="str">
        <f>IF(OR(Table2[[#This Row],[Gender]]="Male",Table2[[#This Row],[Gender]]="M"),"M",
IF(OR(Table2[[#This Row],[Gender]]="Female",Table2[[#This Row],[Gender]]="F"),"F",""))</f>
        <v>F</v>
      </c>
      <c r="F220" t="s">
        <v>73</v>
      </c>
      <c r="G220" t="s">
        <v>27</v>
      </c>
      <c r="H220" t="s">
        <v>1050</v>
      </c>
      <c r="I220" t="s">
        <v>1060</v>
      </c>
      <c r="J220" t="str">
        <f>IF(ISNUMBER(SEARCH("India",Table2[[#This Row],[Emp_Name]])),"INR",
IF(ISNUMBER(SEARCH("Foreign",Table2[[#This Row],[Emp_Name]])),Table2[[#This Row],[Currency]],Table2[[#This Row],[Currency]]))</f>
        <v>INR</v>
      </c>
      <c r="K220">
        <v>143000</v>
      </c>
      <c r="L220">
        <v>12</v>
      </c>
      <c r="M220">
        <f>IF(Table2[[#This Row],[Num_Month]]&lt;&gt;12,12,Table2[[#This Row],[Num_Month]])</f>
        <v>12</v>
      </c>
      <c r="N220">
        <f>IF(Table2[[#This Row],[Monthly_Salary]]="","",Table2[[#This Row],[Monthly_Salary]]*Table2[[#This Row],[Num_Month_Final]])</f>
        <v>1716000</v>
      </c>
      <c r="O220">
        <v>18</v>
      </c>
      <c r="P220">
        <f>IF(Table2[[#This Row],[Exp_Years]]&lt;0,ABS(Table2[[#This Row],[Exp_Years]]),Table2[[#This Row],[Exp_Years]])</f>
        <v>18</v>
      </c>
      <c r="Q220">
        <v>4</v>
      </c>
      <c r="R220">
        <v>56217</v>
      </c>
      <c r="S220">
        <f>IF(Table2[[#This Row],[Performance_Rating]]&gt;=3,Table2[[#This Row],[Monthly_Salary]]*0.3,"")</f>
        <v>42900</v>
      </c>
      <c r="T220">
        <v>95</v>
      </c>
      <c r="U220">
        <v>5</v>
      </c>
      <c r="V220">
        <v>2</v>
      </c>
      <c r="W220" t="s">
        <v>37</v>
      </c>
      <c r="X220" t="s">
        <v>38</v>
      </c>
      <c r="Y220" t="str">
        <f>IF(Table2[[#This Row],[Work_Mode]]&lt;&gt;"",Table2[[#This Row],[Work_Mode]],
IF(ISNUMBER(SEARCH("India",Table2[[#This Row],[Emp_Name]])),"Office",
IF(ISNUMBER(SEARCH("Foreign",Table2[[#This Row],[Emp_Name]])),"Remote","")))</f>
        <v>Hybrid</v>
      </c>
      <c r="AA220"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220" t="s">
        <v>22</v>
      </c>
      <c r="AC220" t="str">
        <f>IF(COUNTIF(Table2[Emp_ID],Table2[[#This Row],[Emp_ID]])&gt;1,"Duplicate","Unique")</f>
        <v>Unique</v>
      </c>
      <c r="AE220" s="2"/>
      <c r="AG220" t="str">
        <f>IF(Table2[[#This Row],[Monthly_Salary]]="","Exclude",
IF(Table2[[#This Row],[Row_Status]]="Mismatch","Exclude",
IF(AND(Table2[[#This Row],[Row_Status]]="Exact Duplicate",
COUNTIFS(Table2[Emp_ID],Table2[[#This Row],[Emp_ID]],Table2[Row_Concat],Table2[[#This Row],[Row_Concat]],
Table2[Row_Number],"&lt;"&amp;Table2[[#This Row],[Row_Number]])&gt;=1),"Delete","")))</f>
        <v/>
      </c>
      <c r="AH220" t="str">
        <f>VLOOKUP(Table2[[#This Row],[Department]],Raw_2!A:B,2,0)</f>
        <v>Day</v>
      </c>
      <c r="AI220">
        <f>VLOOKUP(Table2[[#This Row],[Department]],Raw_2!A:C,3,0)</f>
        <v>12</v>
      </c>
    </row>
    <row r="221" spans="1:35">
      <c r="A221" t="s">
        <v>486</v>
      </c>
      <c r="B221" t="s">
        <v>487</v>
      </c>
      <c r="C221">
        <v>30</v>
      </c>
      <c r="D221" t="s">
        <v>46</v>
      </c>
      <c r="E221" t="str">
        <f>IF(OR(Table2[[#This Row],[Gender]]="Male",Table2[[#This Row],[Gender]]="M"),"M",
IF(OR(Table2[[#This Row],[Gender]]="Female",Table2[[#This Row],[Gender]]="F"),"F",""))</f>
        <v>M</v>
      </c>
      <c r="F221" t="s">
        <v>50</v>
      </c>
      <c r="G221" t="s">
        <v>31</v>
      </c>
      <c r="H221" t="s">
        <v>1045</v>
      </c>
      <c r="I221" t="s">
        <v>1060</v>
      </c>
      <c r="J221" t="str">
        <f>IF(ISNUMBER(SEARCH("India",Table2[[#This Row],[Emp_Name]])),"INR",
IF(ISNUMBER(SEARCH("Foreign",Table2[[#This Row],[Emp_Name]])),Table2[[#This Row],[Currency]],Table2[[#This Row],[Currency]]))</f>
        <v>INR</v>
      </c>
      <c r="K221">
        <v>78000</v>
      </c>
      <c r="L221">
        <v>12</v>
      </c>
      <c r="M221">
        <f>IF(Table2[[#This Row],[Num_Month]]&lt;&gt;12,12,Table2[[#This Row],[Num_Month]])</f>
        <v>12</v>
      </c>
      <c r="N221">
        <f>IF(Table2[[#This Row],[Monthly_Salary]]="","",Table2[[#This Row],[Monthly_Salary]]*Table2[[#This Row],[Num_Month_Final]])</f>
        <v>936000</v>
      </c>
      <c r="O221">
        <v>7</v>
      </c>
      <c r="P221">
        <f>IF(Table2[[#This Row],[Exp_Years]]&lt;0,ABS(Table2[[#This Row],[Exp_Years]]),Table2[[#This Row],[Exp_Years]])</f>
        <v>7</v>
      </c>
      <c r="Q221">
        <v>4</v>
      </c>
      <c r="R221">
        <v>10871</v>
      </c>
      <c r="S221">
        <f>IF(Table2[[#This Row],[Performance_Rating]]&gt;=3,Table2[[#This Row],[Monthly_Salary]]*0.3,"")</f>
        <v>23400</v>
      </c>
      <c r="T221">
        <v>80</v>
      </c>
      <c r="U221">
        <v>15</v>
      </c>
      <c r="V221">
        <v>3</v>
      </c>
      <c r="W221" t="s">
        <v>21</v>
      </c>
      <c r="X221" t="s">
        <v>38</v>
      </c>
      <c r="Y221" t="str">
        <f>IF(Table2[[#This Row],[Work_Mode]]&lt;&gt;"",Table2[[#This Row],[Work_Mode]],
IF(ISNUMBER(SEARCH("India",Table2[[#This Row],[Emp_Name]])),"Office",
IF(ISNUMBER(SEARCH("Foreign",Table2[[#This Row],[Emp_Name]])),"Remote","")))</f>
        <v>Hybrid</v>
      </c>
      <c r="AA22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21" t="s">
        <v>22</v>
      </c>
      <c r="AC221" t="str">
        <f>IF(COUNTIF(Table2[Emp_ID],Table2[[#This Row],[Emp_ID]])&gt;1,"Duplicate","Unique")</f>
        <v>Unique</v>
      </c>
      <c r="AE221" s="2"/>
      <c r="AG221" t="str">
        <f>IF(Table2[[#This Row],[Monthly_Salary]]="","Exclude",
IF(Table2[[#This Row],[Row_Status]]="Mismatch","Exclude",
IF(AND(Table2[[#This Row],[Row_Status]]="Exact Duplicate",
COUNTIFS(Table2[Emp_ID],Table2[[#This Row],[Emp_ID]],Table2[Row_Concat],Table2[[#This Row],[Row_Concat]],
Table2[Row_Number],"&lt;"&amp;Table2[[#This Row],[Row_Number]])&gt;=1),"Delete","")))</f>
        <v/>
      </c>
      <c r="AH221" t="str">
        <f>VLOOKUP(Table2[[#This Row],[Department]],Raw_2!A:B,2,0)</f>
        <v>Night</v>
      </c>
      <c r="AI221">
        <f>VLOOKUP(Table2[[#This Row],[Department]],Raw_2!A:C,3,0)</f>
        <v>13</v>
      </c>
    </row>
    <row r="222" spans="1:35">
      <c r="A222" t="s">
        <v>488</v>
      </c>
      <c r="B222" t="s">
        <v>489</v>
      </c>
      <c r="C222">
        <v>33</v>
      </c>
      <c r="D222" t="s">
        <v>46</v>
      </c>
      <c r="E222" t="str">
        <f>IF(OR(Table2[[#This Row],[Gender]]="Male",Table2[[#This Row],[Gender]]="M"),"M",
IF(OR(Table2[[#This Row],[Gender]]="Female",Table2[[#This Row],[Gender]]="F"),"F",""))</f>
        <v>M</v>
      </c>
      <c r="F222" t="s">
        <v>26</v>
      </c>
      <c r="G222" t="s">
        <v>66</v>
      </c>
      <c r="H222" t="s">
        <v>32</v>
      </c>
      <c r="I222" t="s">
        <v>1060</v>
      </c>
      <c r="J222" t="str">
        <f>IF(ISNUMBER(SEARCH("India",Table2[[#This Row],[Emp_Name]])),"INR",
IF(ISNUMBER(SEARCH("Foreign",Table2[[#This Row],[Emp_Name]])),Table2[[#This Row],[Currency]],Table2[[#This Row],[Currency]]))</f>
        <v>INR</v>
      </c>
      <c r="K222">
        <v>92600</v>
      </c>
      <c r="L222">
        <v>12</v>
      </c>
      <c r="M222">
        <f>IF(Table2[[#This Row],[Num_Month]]&lt;&gt;12,12,Table2[[#This Row],[Num_Month]])</f>
        <v>12</v>
      </c>
      <c r="N222">
        <f>IF(Table2[[#This Row],[Monthly_Salary]]="","",Table2[[#This Row],[Monthly_Salary]]*Table2[[#This Row],[Num_Month_Final]])</f>
        <v>1111200</v>
      </c>
      <c r="O222">
        <v>11</v>
      </c>
      <c r="P222">
        <f>IF(Table2[[#This Row],[Exp_Years]]&lt;0,ABS(Table2[[#This Row],[Exp_Years]]),Table2[[#This Row],[Exp_Years]])</f>
        <v>11</v>
      </c>
      <c r="Q222">
        <v>5</v>
      </c>
      <c r="R222">
        <v>27017</v>
      </c>
      <c r="S222">
        <f>IF(Table2[[#This Row],[Performance_Rating]]&gt;=3,Table2[[#This Row],[Monthly_Salary]]*0.3,"")</f>
        <v>27780</v>
      </c>
      <c r="T222">
        <v>80</v>
      </c>
      <c r="U222">
        <v>5</v>
      </c>
      <c r="V222">
        <v>5</v>
      </c>
      <c r="W222" t="s">
        <v>37</v>
      </c>
      <c r="X222" t="s">
        <v>38</v>
      </c>
      <c r="Y222" t="str">
        <f>IF(Table2[[#This Row],[Work_Mode]]&lt;&gt;"",Table2[[#This Row],[Work_Mode]],
IF(ISNUMBER(SEARCH("India",Table2[[#This Row],[Emp_Name]])),"Office",
IF(ISNUMBER(SEARCH("Foreign",Table2[[#This Row],[Emp_Name]])),"Remote","")))</f>
        <v>Hybrid</v>
      </c>
      <c r="Z222">
        <v>5</v>
      </c>
      <c r="AA22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1750</v>
      </c>
      <c r="AB222" t="s">
        <v>58</v>
      </c>
      <c r="AC222" t="str">
        <f>IF(COUNTIF(Table2[Emp_ID],Table2[[#This Row],[Emp_ID]])&gt;1,"Duplicate","Unique")</f>
        <v>Unique</v>
      </c>
      <c r="AE222" s="2"/>
      <c r="AG222" t="str">
        <f>IF(Table2[[#This Row],[Monthly_Salary]]="","Exclude",
IF(Table2[[#This Row],[Row_Status]]="Mismatch","Exclude",
IF(AND(Table2[[#This Row],[Row_Status]]="Exact Duplicate",
COUNTIFS(Table2[Emp_ID],Table2[[#This Row],[Emp_ID]],Table2[Row_Concat],Table2[[#This Row],[Row_Concat]],
Table2[Row_Number],"&lt;"&amp;Table2[[#This Row],[Row_Number]])&gt;=1),"Delete","")))</f>
        <v/>
      </c>
      <c r="AH222" t="str">
        <f>VLOOKUP(Table2[[#This Row],[Department]],Raw_2!A:B,2,0)</f>
        <v>Night</v>
      </c>
      <c r="AI222">
        <f>VLOOKUP(Table2[[#This Row],[Department]],Raw_2!A:C,3,0)</f>
        <v>20</v>
      </c>
    </row>
    <row r="223" spans="1:35">
      <c r="A223" t="s">
        <v>490</v>
      </c>
      <c r="B223" t="s">
        <v>491</v>
      </c>
      <c r="C223">
        <v>25</v>
      </c>
      <c r="D223" t="s">
        <v>16</v>
      </c>
      <c r="E223" t="str">
        <f>IF(OR(Table2[[#This Row],[Gender]]="Male",Table2[[#This Row],[Gender]]="M"),"M",
IF(OR(Table2[[#This Row],[Gender]]="Female",Table2[[#This Row],[Gender]]="F"),"F",""))</f>
        <v>M</v>
      </c>
      <c r="F223" t="s">
        <v>50</v>
      </c>
      <c r="G223" t="s">
        <v>36</v>
      </c>
      <c r="H223" t="s">
        <v>43</v>
      </c>
      <c r="I223" t="s">
        <v>1060</v>
      </c>
      <c r="J223" t="str">
        <f>IF(ISNUMBER(SEARCH("India",Table2[[#This Row],[Emp_Name]])),"INR",
IF(ISNUMBER(SEARCH("Foreign",Table2[[#This Row],[Emp_Name]])),Table2[[#This Row],[Currency]],Table2[[#This Row],[Currency]]))</f>
        <v>INR</v>
      </c>
      <c r="K223">
        <v>24000</v>
      </c>
      <c r="L223">
        <v>12</v>
      </c>
      <c r="M223">
        <f>IF(Table2[[#This Row],[Num_Month]]&lt;&gt;12,12,Table2[[#This Row],[Num_Month]])</f>
        <v>12</v>
      </c>
      <c r="N223">
        <f>IF(Table2[[#This Row],[Monthly_Salary]]="","",Table2[[#This Row],[Monthly_Salary]]*Table2[[#This Row],[Num_Month_Final]])</f>
        <v>288000</v>
      </c>
      <c r="O223">
        <v>1</v>
      </c>
      <c r="P223">
        <f>IF(Table2[[#This Row],[Exp_Years]]&lt;0,ABS(Table2[[#This Row],[Exp_Years]]),Table2[[#This Row],[Exp_Years]])</f>
        <v>1</v>
      </c>
      <c r="Q223">
        <v>2</v>
      </c>
      <c r="S223" t="str">
        <f>IF(Table2[[#This Row],[Performance_Rating]]&gt;=3,Table2[[#This Row],[Monthly_Salary]]*0.3,"")</f>
        <v/>
      </c>
      <c r="T223">
        <v>95</v>
      </c>
      <c r="U223">
        <v>15</v>
      </c>
      <c r="V223">
        <v>5</v>
      </c>
      <c r="X223" t="s">
        <v>38</v>
      </c>
      <c r="Y223" t="str">
        <f>IF(Table2[[#This Row],[Work_Mode]]&lt;&gt;"",Table2[[#This Row],[Work_Mode]],
IF(ISNUMBER(SEARCH("India",Table2[[#This Row],[Emp_Name]])),"Office",
IF(ISNUMBER(SEARCH("Foreign",Table2[[#This Row],[Emp_Name]])),"Remote","")))</f>
        <v>Hybrid</v>
      </c>
      <c r="AA22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23" t="s">
        <v>39</v>
      </c>
      <c r="AC223" t="str">
        <f>IF(COUNTIF(Table2[Emp_ID],Table2[[#This Row],[Emp_ID]])&gt;1,"Duplicate","Unique")</f>
        <v>Unique</v>
      </c>
      <c r="AE223" s="2"/>
      <c r="AG223" t="str">
        <f>IF(Table2[[#This Row],[Monthly_Salary]]="","Exclude",
IF(Table2[[#This Row],[Row_Status]]="Mismatch","Exclude",
IF(AND(Table2[[#This Row],[Row_Status]]="Exact Duplicate",
COUNTIFS(Table2[Emp_ID],Table2[[#This Row],[Emp_ID]],Table2[Row_Concat],Table2[[#This Row],[Row_Concat]],
Table2[Row_Number],"&lt;"&amp;Table2[[#This Row],[Row_Number]])&gt;=1),"Delete","")))</f>
        <v/>
      </c>
      <c r="AH223" t="str">
        <f>VLOOKUP(Table2[[#This Row],[Department]],Raw_2!A:B,2,0)</f>
        <v>Day</v>
      </c>
      <c r="AI223">
        <f>VLOOKUP(Table2[[#This Row],[Department]],Raw_2!A:C,3,0)</f>
        <v>25</v>
      </c>
    </row>
    <row r="224" spans="1:35">
      <c r="A224" t="s">
        <v>492</v>
      </c>
      <c r="B224" t="s">
        <v>493</v>
      </c>
      <c r="C224">
        <v>23</v>
      </c>
      <c r="D224" t="s">
        <v>34</v>
      </c>
      <c r="E224" t="str">
        <f>IF(OR(Table2[[#This Row],[Gender]]="Male",Table2[[#This Row],[Gender]]="M"),"M",
IF(OR(Table2[[#This Row],[Gender]]="Female",Table2[[#This Row],[Gender]]="F"),"F",""))</f>
        <v>F</v>
      </c>
      <c r="F224" t="s">
        <v>35</v>
      </c>
      <c r="G224" t="s">
        <v>27</v>
      </c>
      <c r="H224" t="s">
        <v>43</v>
      </c>
      <c r="I224" t="s">
        <v>1060</v>
      </c>
      <c r="J224" t="str">
        <f>IF(ISNUMBER(SEARCH("India",Table2[[#This Row],[Emp_Name]])),"INR",
IF(ISNUMBER(SEARCH("Foreign",Table2[[#This Row],[Emp_Name]])),Table2[[#This Row],[Currency]],Table2[[#This Row],[Currency]]))</f>
        <v>INR</v>
      </c>
      <c r="K224">
        <v>24000</v>
      </c>
      <c r="L224">
        <v>12</v>
      </c>
      <c r="M224">
        <f>IF(Table2[[#This Row],[Num_Month]]&lt;&gt;12,12,Table2[[#This Row],[Num_Month]])</f>
        <v>12</v>
      </c>
      <c r="N224">
        <f>IF(Table2[[#This Row],[Monthly_Salary]]="","",Table2[[#This Row],[Monthly_Salary]]*Table2[[#This Row],[Num_Month_Final]])</f>
        <v>288000</v>
      </c>
      <c r="O224">
        <v>1</v>
      </c>
      <c r="P224">
        <f>IF(Table2[[#This Row],[Exp_Years]]&lt;0,ABS(Table2[[#This Row],[Exp_Years]]),Table2[[#This Row],[Exp_Years]])</f>
        <v>1</v>
      </c>
      <c r="Q224">
        <v>5</v>
      </c>
      <c r="R224">
        <v>20000</v>
      </c>
      <c r="S224">
        <f>IF(Table2[[#This Row],[Performance_Rating]]&gt;=3,Table2[[#This Row],[Monthly_Salary]]*0.3,"")</f>
        <v>7200</v>
      </c>
      <c r="T224">
        <v>90</v>
      </c>
      <c r="U224">
        <v>5</v>
      </c>
      <c r="V224">
        <v>1</v>
      </c>
      <c r="W224" t="s">
        <v>37</v>
      </c>
      <c r="X224" t="s">
        <v>38</v>
      </c>
      <c r="Y224" t="str">
        <f>IF(Table2[[#This Row],[Work_Mode]]&lt;&gt;"",Table2[[#This Row],[Work_Mode]],
IF(ISNUMBER(SEARCH("India",Table2[[#This Row],[Emp_Name]])),"Office",
IF(ISNUMBER(SEARCH("Foreign",Table2[[#This Row],[Emp_Name]])),"Remote","")))</f>
        <v>Hybrid</v>
      </c>
      <c r="AA22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24" t="s">
        <v>58</v>
      </c>
      <c r="AC224" t="str">
        <f>IF(COUNTIF(Table2[Emp_ID],Table2[[#This Row],[Emp_ID]])&gt;1,"Duplicate","Unique")</f>
        <v>Unique</v>
      </c>
      <c r="AE224" s="2"/>
      <c r="AG224" t="str">
        <f>IF(Table2[[#This Row],[Monthly_Salary]]="","Exclude",
IF(Table2[[#This Row],[Row_Status]]="Mismatch","Exclude",
IF(AND(Table2[[#This Row],[Row_Status]]="Exact Duplicate",
COUNTIFS(Table2[Emp_ID],Table2[[#This Row],[Emp_ID]],Table2[Row_Concat],Table2[[#This Row],[Row_Concat]],
Table2[Row_Number],"&lt;"&amp;Table2[[#This Row],[Row_Number]])&gt;=1),"Delete","")))</f>
        <v/>
      </c>
      <c r="AH224" t="str">
        <f>VLOOKUP(Table2[[#This Row],[Department]],Raw_2!A:B,2,0)</f>
        <v>Day</v>
      </c>
      <c r="AI224">
        <f>VLOOKUP(Table2[[#This Row],[Department]],Raw_2!A:C,3,0)</f>
        <v>12</v>
      </c>
    </row>
    <row r="225" spans="1:35">
      <c r="A225" t="s">
        <v>494</v>
      </c>
      <c r="B225" t="s">
        <v>495</v>
      </c>
      <c r="C225">
        <v>23</v>
      </c>
      <c r="D225" t="s">
        <v>25</v>
      </c>
      <c r="E225" t="str">
        <f>IF(OR(Table2[[#This Row],[Gender]]="Male",Table2[[#This Row],[Gender]]="M"),"M",
IF(OR(Table2[[#This Row],[Gender]]="Female",Table2[[#This Row],[Gender]]="F"),"F",""))</f>
        <v>F</v>
      </c>
      <c r="F225" t="s">
        <v>65</v>
      </c>
      <c r="G225" t="s">
        <v>27</v>
      </c>
      <c r="H225" t="s">
        <v>43</v>
      </c>
      <c r="I225" t="s">
        <v>1060</v>
      </c>
      <c r="J225" t="str">
        <f>IF(ISNUMBER(SEARCH("India",Table2[[#This Row],[Emp_Name]])),"INR",
IF(ISNUMBER(SEARCH("Foreign",Table2[[#This Row],[Emp_Name]])),Table2[[#This Row],[Currency]],Table2[[#This Row],[Currency]]))</f>
        <v>INR</v>
      </c>
      <c r="K225">
        <v>24000</v>
      </c>
      <c r="L225">
        <v>12</v>
      </c>
      <c r="M225">
        <f>IF(Table2[[#This Row],[Num_Month]]&lt;&gt;12,12,Table2[[#This Row],[Num_Month]])</f>
        <v>12</v>
      </c>
      <c r="N225">
        <f>IF(Table2[[#This Row],[Monthly_Salary]]="","",Table2[[#This Row],[Monthly_Salary]]*Table2[[#This Row],[Num_Month_Final]])</f>
        <v>288000</v>
      </c>
      <c r="O225">
        <v>1</v>
      </c>
      <c r="P225">
        <f>IF(Table2[[#This Row],[Exp_Years]]&lt;0,ABS(Table2[[#This Row],[Exp_Years]]),Table2[[#This Row],[Exp_Years]])</f>
        <v>1</v>
      </c>
      <c r="Q225">
        <v>1</v>
      </c>
      <c r="S225" t="str">
        <f>IF(Table2[[#This Row],[Performance_Rating]]&gt;=3,Table2[[#This Row],[Monthly_Salary]]*0.3,"")</f>
        <v/>
      </c>
      <c r="T225">
        <v>85</v>
      </c>
      <c r="U225">
        <v>10</v>
      </c>
      <c r="V225">
        <v>3</v>
      </c>
      <c r="W225" t="s">
        <v>37</v>
      </c>
      <c r="X225" t="s">
        <v>38</v>
      </c>
      <c r="Y225" t="str">
        <f>IF(Table2[[#This Row],[Work_Mode]]&lt;&gt;"",Table2[[#This Row],[Work_Mode]],
IF(ISNUMBER(SEARCH("India",Table2[[#This Row],[Emp_Name]])),"Office",
IF(ISNUMBER(SEARCH("Foreign",Table2[[#This Row],[Emp_Name]])),"Remote","")))</f>
        <v>Hybrid</v>
      </c>
      <c r="AA22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25" t="s">
        <v>39</v>
      </c>
      <c r="AC225" t="str">
        <f>IF(COUNTIF(Table2[Emp_ID],Table2[[#This Row],[Emp_ID]])&gt;1,"Duplicate","Unique")</f>
        <v>Unique</v>
      </c>
      <c r="AE225" s="2"/>
      <c r="AG225" t="str">
        <f>IF(Table2[[#This Row],[Monthly_Salary]]="","Exclude",
IF(Table2[[#This Row],[Row_Status]]="Mismatch","Exclude",
IF(AND(Table2[[#This Row],[Row_Status]]="Exact Duplicate",
COUNTIFS(Table2[Emp_ID],Table2[[#This Row],[Emp_ID]],Table2[Row_Concat],Table2[[#This Row],[Row_Concat]],
Table2[Row_Number],"&lt;"&amp;Table2[[#This Row],[Row_Number]])&gt;=1),"Delete","")))</f>
        <v/>
      </c>
      <c r="AH225" t="str">
        <f>VLOOKUP(Table2[[#This Row],[Department]],Raw_2!A:B,2,0)</f>
        <v>Day</v>
      </c>
      <c r="AI225">
        <f>VLOOKUP(Table2[[#This Row],[Department]],Raw_2!A:C,3,0)</f>
        <v>12</v>
      </c>
    </row>
    <row r="226" spans="1:35">
      <c r="A226" t="s">
        <v>496</v>
      </c>
      <c r="B226" t="s">
        <v>497</v>
      </c>
      <c r="C226">
        <v>23</v>
      </c>
      <c r="D226" t="s">
        <v>34</v>
      </c>
      <c r="E226" t="str">
        <f>IF(OR(Table2[[#This Row],[Gender]]="Male",Table2[[#This Row],[Gender]]="M"),"M",
IF(OR(Table2[[#This Row],[Gender]]="Female",Table2[[#This Row],[Gender]]="F"),"F",""))</f>
        <v>F</v>
      </c>
      <c r="F226" t="s">
        <v>64</v>
      </c>
      <c r="G226" t="s">
        <v>36</v>
      </c>
      <c r="H226" t="s">
        <v>43</v>
      </c>
      <c r="I226" t="s">
        <v>1060</v>
      </c>
      <c r="J226" t="str">
        <f>IF(ISNUMBER(SEARCH("India",Table2[[#This Row],[Emp_Name]])),"INR",
IF(ISNUMBER(SEARCH("Foreign",Table2[[#This Row],[Emp_Name]])),Table2[[#This Row],[Currency]],Table2[[#This Row],[Currency]]))</f>
        <v>INR</v>
      </c>
      <c r="K226">
        <v>31500</v>
      </c>
      <c r="L226">
        <v>12</v>
      </c>
      <c r="M226">
        <f>IF(Table2[[#This Row],[Num_Month]]&lt;&gt;12,12,Table2[[#This Row],[Num_Month]])</f>
        <v>12</v>
      </c>
      <c r="N226">
        <f>IF(Table2[[#This Row],[Monthly_Salary]]="","",Table2[[#This Row],[Monthly_Salary]]*Table2[[#This Row],[Num_Month_Final]])</f>
        <v>378000</v>
      </c>
      <c r="O226">
        <v>2</v>
      </c>
      <c r="P226">
        <f>IF(Table2[[#This Row],[Exp_Years]]&lt;0,ABS(Table2[[#This Row],[Exp_Years]]),Table2[[#This Row],[Exp_Years]])</f>
        <v>2</v>
      </c>
      <c r="Q226">
        <v>1</v>
      </c>
      <c r="S226" t="str">
        <f>IF(Table2[[#This Row],[Performance_Rating]]&gt;=3,Table2[[#This Row],[Monthly_Salary]]*0.3,"")</f>
        <v/>
      </c>
      <c r="T226">
        <v>90</v>
      </c>
      <c r="U226">
        <v>12</v>
      </c>
      <c r="V226">
        <v>3</v>
      </c>
      <c r="X226" t="s">
        <v>38</v>
      </c>
      <c r="Y226" t="str">
        <f>IF(Table2[[#This Row],[Work_Mode]]&lt;&gt;"",Table2[[#This Row],[Work_Mode]],
IF(ISNUMBER(SEARCH("India",Table2[[#This Row],[Emp_Name]])),"Office",
IF(ISNUMBER(SEARCH("Foreign",Table2[[#This Row],[Emp_Name]])),"Remote","")))</f>
        <v>Hybrid</v>
      </c>
      <c r="Z226">
        <v>10</v>
      </c>
      <c r="AA22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26" t="s">
        <v>39</v>
      </c>
      <c r="AC226" t="str">
        <f>IF(COUNTIF(Table2[Emp_ID],Table2[[#This Row],[Emp_ID]])&gt;1,"Duplicate","Unique")</f>
        <v>Unique</v>
      </c>
      <c r="AE226" s="2"/>
      <c r="AG226" t="str">
        <f>IF(Table2[[#This Row],[Monthly_Salary]]="","Exclude",
IF(Table2[[#This Row],[Row_Status]]="Mismatch","Exclude",
IF(AND(Table2[[#This Row],[Row_Status]]="Exact Duplicate",
COUNTIFS(Table2[Emp_ID],Table2[[#This Row],[Emp_ID]],Table2[Row_Concat],Table2[[#This Row],[Row_Concat]],
Table2[Row_Number],"&lt;"&amp;Table2[[#This Row],[Row_Number]])&gt;=1),"Delete","")))</f>
        <v/>
      </c>
      <c r="AH226" t="str">
        <f>VLOOKUP(Table2[[#This Row],[Department]],Raw_2!A:B,2,0)</f>
        <v>Day</v>
      </c>
      <c r="AI226">
        <f>VLOOKUP(Table2[[#This Row],[Department]],Raw_2!A:C,3,0)</f>
        <v>25</v>
      </c>
    </row>
    <row r="227" spans="1:35">
      <c r="A227" t="s">
        <v>498</v>
      </c>
      <c r="B227" t="s">
        <v>499</v>
      </c>
      <c r="C227">
        <v>23</v>
      </c>
      <c r="E227" t="str">
        <f>IF(OR(Table2[[#This Row],[Gender]]="Male",Table2[[#This Row],[Gender]]="M"),"M",
IF(OR(Table2[[#This Row],[Gender]]="Female",Table2[[#This Row],[Gender]]="F"),"F",""))</f>
        <v/>
      </c>
      <c r="F227" t="s">
        <v>61</v>
      </c>
      <c r="G227" t="s">
        <v>66</v>
      </c>
      <c r="H227" t="s">
        <v>43</v>
      </c>
      <c r="I227" t="s">
        <v>1060</v>
      </c>
      <c r="J227" t="str">
        <f>IF(ISNUMBER(SEARCH("India",Table2[[#This Row],[Emp_Name]])),"INR",
IF(ISNUMBER(SEARCH("Foreign",Table2[[#This Row],[Emp_Name]])),Table2[[#This Row],[Currency]],Table2[[#This Row],[Currency]]))</f>
        <v>INR</v>
      </c>
      <c r="K227">
        <v>24000</v>
      </c>
      <c r="L227">
        <v>12</v>
      </c>
      <c r="M227">
        <f>IF(Table2[[#This Row],[Num_Month]]&lt;&gt;12,12,Table2[[#This Row],[Num_Month]])</f>
        <v>12</v>
      </c>
      <c r="N227">
        <f>IF(Table2[[#This Row],[Monthly_Salary]]="","",Table2[[#This Row],[Monthly_Salary]]*Table2[[#This Row],[Num_Month_Final]])</f>
        <v>288000</v>
      </c>
      <c r="O227">
        <v>1</v>
      </c>
      <c r="P227">
        <f>IF(Table2[[#This Row],[Exp_Years]]&lt;0,ABS(Table2[[#This Row],[Exp_Years]]),Table2[[#This Row],[Exp_Years]])</f>
        <v>1</v>
      </c>
      <c r="Q227">
        <v>1</v>
      </c>
      <c r="S227" t="str">
        <f>IF(Table2[[#This Row],[Performance_Rating]]&gt;=3,Table2[[#This Row],[Monthly_Salary]]*0.3,"")</f>
        <v/>
      </c>
      <c r="T227">
        <v>88</v>
      </c>
      <c r="U227">
        <v>12</v>
      </c>
      <c r="V227">
        <v>3</v>
      </c>
      <c r="W227" t="s">
        <v>37</v>
      </c>
      <c r="X227" t="s">
        <v>38</v>
      </c>
      <c r="Y227" t="str">
        <f>IF(Table2[[#This Row],[Work_Mode]]&lt;&gt;"",Table2[[#This Row],[Work_Mode]],
IF(ISNUMBER(SEARCH("India",Table2[[#This Row],[Emp_Name]])),"Office",
IF(ISNUMBER(SEARCH("Foreign",Table2[[#This Row],[Emp_Name]])),"Remote","")))</f>
        <v>Hybrid</v>
      </c>
      <c r="Z227">
        <v>5</v>
      </c>
      <c r="AA22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227" t="s">
        <v>39</v>
      </c>
      <c r="AC227" t="str">
        <f>IF(COUNTIF(Table2[Emp_ID],Table2[[#This Row],[Emp_ID]])&gt;1,"Duplicate","Unique")</f>
        <v>Unique</v>
      </c>
      <c r="AE227" s="2"/>
      <c r="AG227" t="str">
        <f>IF(Table2[[#This Row],[Monthly_Salary]]="","Exclude",
IF(Table2[[#This Row],[Row_Status]]="Mismatch","Exclude",
IF(AND(Table2[[#This Row],[Row_Status]]="Exact Duplicate",
COUNTIFS(Table2[Emp_ID],Table2[[#This Row],[Emp_ID]],Table2[Row_Concat],Table2[[#This Row],[Row_Concat]],
Table2[Row_Number],"&lt;"&amp;Table2[[#This Row],[Row_Number]])&gt;=1),"Delete","")))</f>
        <v/>
      </c>
      <c r="AH227" t="str">
        <f>VLOOKUP(Table2[[#This Row],[Department]],Raw_2!A:B,2,0)</f>
        <v>Night</v>
      </c>
      <c r="AI227">
        <f>VLOOKUP(Table2[[#This Row],[Department]],Raw_2!A:C,3,0)</f>
        <v>20</v>
      </c>
    </row>
    <row r="228" spans="1:35">
      <c r="A228" t="s">
        <v>500</v>
      </c>
      <c r="B228" t="s">
        <v>501</v>
      </c>
      <c r="C228">
        <v>25</v>
      </c>
      <c r="D228" t="s">
        <v>16</v>
      </c>
      <c r="E228" t="str">
        <f>IF(OR(Table2[[#This Row],[Gender]]="Male",Table2[[#This Row],[Gender]]="M"),"M",
IF(OR(Table2[[#This Row],[Gender]]="Female",Table2[[#This Row],[Gender]]="F"),"F",""))</f>
        <v>M</v>
      </c>
      <c r="F228" t="s">
        <v>47</v>
      </c>
      <c r="G228" t="s">
        <v>66</v>
      </c>
      <c r="H228" t="s">
        <v>43</v>
      </c>
      <c r="I228" t="s">
        <v>1060</v>
      </c>
      <c r="J228" t="str">
        <f>IF(ISNUMBER(SEARCH("India",Table2[[#This Row],[Emp_Name]])),"INR",
IF(ISNUMBER(SEARCH("Foreign",Table2[[#This Row],[Emp_Name]])),Table2[[#This Row],[Currency]],Table2[[#This Row],[Currency]]))</f>
        <v>INR</v>
      </c>
      <c r="K228">
        <v>31000</v>
      </c>
      <c r="L228">
        <v>12</v>
      </c>
      <c r="M228">
        <f>IF(Table2[[#This Row],[Num_Month]]&lt;&gt;12,12,Table2[[#This Row],[Num_Month]])</f>
        <v>12</v>
      </c>
      <c r="N228">
        <f>IF(Table2[[#This Row],[Monthly_Salary]]="","",Table2[[#This Row],[Monthly_Salary]]*Table2[[#This Row],[Num_Month_Final]])</f>
        <v>372000</v>
      </c>
      <c r="O228">
        <v>2</v>
      </c>
      <c r="P228">
        <f>IF(Table2[[#This Row],[Exp_Years]]&lt;0,ABS(Table2[[#This Row],[Exp_Years]]),Table2[[#This Row],[Exp_Years]])</f>
        <v>2</v>
      </c>
      <c r="Q228">
        <v>1</v>
      </c>
      <c r="S228" t="str">
        <f>IF(Table2[[#This Row],[Performance_Rating]]&gt;=3,Table2[[#This Row],[Monthly_Salary]]*0.3,"")</f>
        <v/>
      </c>
      <c r="T228">
        <v>80</v>
      </c>
      <c r="U228">
        <v>15</v>
      </c>
      <c r="V228">
        <v>5</v>
      </c>
      <c r="W228" t="s">
        <v>21</v>
      </c>
      <c r="X228" t="s">
        <v>38</v>
      </c>
      <c r="Y228" t="str">
        <f>IF(Table2[[#This Row],[Work_Mode]]&lt;&gt;"",Table2[[#This Row],[Work_Mode]],
IF(ISNUMBER(SEARCH("India",Table2[[#This Row],[Emp_Name]])),"Office",
IF(ISNUMBER(SEARCH("Foreign",Table2[[#This Row],[Emp_Name]])),"Remote","")))</f>
        <v>Hybrid</v>
      </c>
      <c r="Z228">
        <v>10</v>
      </c>
      <c r="AA22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28" t="s">
        <v>39</v>
      </c>
      <c r="AC228" t="str">
        <f>IF(COUNTIF(Table2[Emp_ID],Table2[[#This Row],[Emp_ID]])&gt;1,"Duplicate","Unique")</f>
        <v>Unique</v>
      </c>
      <c r="AE228" s="2"/>
      <c r="AG228" t="str">
        <f>IF(Table2[[#This Row],[Monthly_Salary]]="","Exclude",
IF(Table2[[#This Row],[Row_Status]]="Mismatch","Exclude",
IF(AND(Table2[[#This Row],[Row_Status]]="Exact Duplicate",
COUNTIFS(Table2[Emp_ID],Table2[[#This Row],[Emp_ID]],Table2[Row_Concat],Table2[[#This Row],[Row_Concat]],
Table2[Row_Number],"&lt;"&amp;Table2[[#This Row],[Row_Number]])&gt;=1),"Delete","")))</f>
        <v/>
      </c>
      <c r="AH228" t="str">
        <f>VLOOKUP(Table2[[#This Row],[Department]],Raw_2!A:B,2,0)</f>
        <v>Night</v>
      </c>
      <c r="AI228">
        <f>VLOOKUP(Table2[[#This Row],[Department]],Raw_2!A:C,3,0)</f>
        <v>20</v>
      </c>
    </row>
    <row r="229" spans="1:35">
      <c r="A229" t="s">
        <v>502</v>
      </c>
      <c r="B229" t="s">
        <v>503</v>
      </c>
      <c r="C229">
        <v>24</v>
      </c>
      <c r="D229" t="s">
        <v>46</v>
      </c>
      <c r="E229" t="str">
        <f>IF(OR(Table2[[#This Row],[Gender]]="Male",Table2[[#This Row],[Gender]]="M"),"M",
IF(OR(Table2[[#This Row],[Gender]]="Female",Table2[[#This Row],[Gender]]="F"),"F",""))</f>
        <v>M</v>
      </c>
      <c r="F229" t="s">
        <v>61</v>
      </c>
      <c r="G229" t="s">
        <v>18</v>
      </c>
      <c r="H229" t="s">
        <v>43</v>
      </c>
      <c r="I229" t="s">
        <v>1060</v>
      </c>
      <c r="J229" t="str">
        <f>IF(ISNUMBER(SEARCH("India",Table2[[#This Row],[Emp_Name]])),"INR",
IF(ISNUMBER(SEARCH("Foreign",Table2[[#This Row],[Emp_Name]])),Table2[[#This Row],[Currency]],Table2[[#This Row],[Currency]]))</f>
        <v>INR</v>
      </c>
      <c r="K229">
        <v>24000</v>
      </c>
      <c r="L229">
        <v>12</v>
      </c>
      <c r="M229">
        <f>IF(Table2[[#This Row],[Num_Month]]&lt;&gt;12,12,Table2[[#This Row],[Num_Month]])</f>
        <v>12</v>
      </c>
      <c r="N229">
        <f>IF(Table2[[#This Row],[Monthly_Salary]]="","",Table2[[#This Row],[Monthly_Salary]]*Table2[[#This Row],[Num_Month_Final]])</f>
        <v>288000</v>
      </c>
      <c r="O229">
        <v>1</v>
      </c>
      <c r="P229">
        <f>IF(Table2[[#This Row],[Exp_Years]]&lt;0,ABS(Table2[[#This Row],[Exp_Years]]),Table2[[#This Row],[Exp_Years]])</f>
        <v>1</v>
      </c>
      <c r="Q229">
        <v>1</v>
      </c>
      <c r="S229" t="str">
        <f>IF(Table2[[#This Row],[Performance_Rating]]&gt;=3,Table2[[#This Row],[Monthly_Salary]]*0.3,"")</f>
        <v/>
      </c>
      <c r="T229">
        <v>90</v>
      </c>
      <c r="U229">
        <v>12</v>
      </c>
      <c r="V229">
        <v>5</v>
      </c>
      <c r="W229" t="s">
        <v>37</v>
      </c>
      <c r="X229" t="s">
        <v>38</v>
      </c>
      <c r="Y229" t="str">
        <f>IF(Table2[[#This Row],[Work_Mode]]&lt;&gt;"",Table2[[#This Row],[Work_Mode]],
IF(ISNUMBER(SEARCH("India",Table2[[#This Row],[Emp_Name]])),"Office",
IF(ISNUMBER(SEARCH("Foreign",Table2[[#This Row],[Emp_Name]])),"Remote","")))</f>
        <v>Hybrid</v>
      </c>
      <c r="Z229">
        <v>10</v>
      </c>
      <c r="AA22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29" t="s">
        <v>39</v>
      </c>
      <c r="AC229" t="str">
        <f>IF(COUNTIF(Table2[Emp_ID],Table2[[#This Row],[Emp_ID]])&gt;1,"Duplicate","Unique")</f>
        <v>Unique</v>
      </c>
      <c r="AE229" s="2"/>
      <c r="AG229" t="str">
        <f>IF(Table2[[#This Row],[Monthly_Salary]]="","Exclude",
IF(Table2[[#This Row],[Row_Status]]="Mismatch","Exclude",
IF(AND(Table2[[#This Row],[Row_Status]]="Exact Duplicate",
COUNTIFS(Table2[Emp_ID],Table2[[#This Row],[Emp_ID]],Table2[Row_Concat],Table2[[#This Row],[Row_Concat]],
Table2[Row_Number],"&lt;"&amp;Table2[[#This Row],[Row_Number]])&gt;=1),"Delete","")))</f>
        <v/>
      </c>
      <c r="AH229" t="str">
        <f>VLOOKUP(Table2[[#This Row],[Department]],Raw_2!A:B,2,0)</f>
        <v>Day</v>
      </c>
      <c r="AI229">
        <f>VLOOKUP(Table2[[#This Row],[Department]],Raw_2!A:C,3,0)</f>
        <v>10</v>
      </c>
    </row>
    <row r="230" spans="1:35">
      <c r="A230" t="s">
        <v>504</v>
      </c>
      <c r="B230" t="s">
        <v>505</v>
      </c>
      <c r="C230">
        <v>24</v>
      </c>
      <c r="D230" t="s">
        <v>34</v>
      </c>
      <c r="E230" t="str">
        <f>IF(OR(Table2[[#This Row],[Gender]]="Male",Table2[[#This Row],[Gender]]="M"),"M",
IF(OR(Table2[[#This Row],[Gender]]="Female",Table2[[#This Row],[Gender]]="F"),"F",""))</f>
        <v>F</v>
      </c>
      <c r="F230" t="s">
        <v>73</v>
      </c>
      <c r="G230" t="s">
        <v>66</v>
      </c>
      <c r="H230" t="s">
        <v>43</v>
      </c>
      <c r="I230" t="s">
        <v>1060</v>
      </c>
      <c r="J230" t="str">
        <f>IF(ISNUMBER(SEARCH("India",Table2[[#This Row],[Emp_Name]])),"INR",
IF(ISNUMBER(SEARCH("Foreign",Table2[[#This Row],[Emp_Name]])),Table2[[#This Row],[Currency]],Table2[[#This Row],[Currency]]))</f>
        <v>INR</v>
      </c>
      <c r="K230">
        <v>31000</v>
      </c>
      <c r="L230">
        <v>12</v>
      </c>
      <c r="M230">
        <f>IF(Table2[[#This Row],[Num_Month]]&lt;&gt;12,12,Table2[[#This Row],[Num_Month]])</f>
        <v>12</v>
      </c>
      <c r="N230">
        <f>IF(Table2[[#This Row],[Monthly_Salary]]="","",Table2[[#This Row],[Monthly_Salary]]*Table2[[#This Row],[Num_Month_Final]])</f>
        <v>372000</v>
      </c>
      <c r="O230">
        <v>2</v>
      </c>
      <c r="P230">
        <f>IF(Table2[[#This Row],[Exp_Years]]&lt;0,ABS(Table2[[#This Row],[Exp_Years]]),Table2[[#This Row],[Exp_Years]])</f>
        <v>2</v>
      </c>
      <c r="Q230">
        <v>1</v>
      </c>
      <c r="S230" t="str">
        <f>IF(Table2[[#This Row],[Performance_Rating]]&gt;=3,Table2[[#This Row],[Monthly_Salary]]*0.3,"")</f>
        <v/>
      </c>
      <c r="T230">
        <v>90</v>
      </c>
      <c r="U230">
        <v>12</v>
      </c>
      <c r="V230">
        <v>3</v>
      </c>
      <c r="W230" t="s">
        <v>21</v>
      </c>
      <c r="X230" t="s">
        <v>38</v>
      </c>
      <c r="Y230" t="str">
        <f>IF(Table2[[#This Row],[Work_Mode]]&lt;&gt;"",Table2[[#This Row],[Work_Mode]],
IF(ISNUMBER(SEARCH("India",Table2[[#This Row],[Emp_Name]])),"Office",
IF(ISNUMBER(SEARCH("Foreign",Table2[[#This Row],[Emp_Name]])),"Remote","")))</f>
        <v>Hybrid</v>
      </c>
      <c r="Z230">
        <v>10</v>
      </c>
      <c r="AA23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30" t="s">
        <v>39</v>
      </c>
      <c r="AC230" t="str">
        <f>IF(COUNTIF(Table2[Emp_ID],Table2[[#This Row],[Emp_ID]])&gt;1,"Duplicate","Unique")</f>
        <v>Unique</v>
      </c>
      <c r="AE230" s="2"/>
      <c r="AG230" t="str">
        <f>IF(Table2[[#This Row],[Monthly_Salary]]="","Exclude",
IF(Table2[[#This Row],[Row_Status]]="Mismatch","Exclude",
IF(AND(Table2[[#This Row],[Row_Status]]="Exact Duplicate",
COUNTIFS(Table2[Emp_ID],Table2[[#This Row],[Emp_ID]],Table2[Row_Concat],Table2[[#This Row],[Row_Concat]],
Table2[Row_Number],"&lt;"&amp;Table2[[#This Row],[Row_Number]])&gt;=1),"Delete","")))</f>
        <v/>
      </c>
      <c r="AH230" t="str">
        <f>VLOOKUP(Table2[[#This Row],[Department]],Raw_2!A:B,2,0)</f>
        <v>Night</v>
      </c>
      <c r="AI230">
        <f>VLOOKUP(Table2[[#This Row],[Department]],Raw_2!A:C,3,0)</f>
        <v>20</v>
      </c>
    </row>
    <row r="231" spans="1:35">
      <c r="A231" t="s">
        <v>506</v>
      </c>
      <c r="B231" t="s">
        <v>507</v>
      </c>
      <c r="C231">
        <v>23</v>
      </c>
      <c r="E231" t="str">
        <f>IF(OR(Table2[[#This Row],[Gender]]="Male",Table2[[#This Row],[Gender]]="M"),"M",
IF(OR(Table2[[#This Row],[Gender]]="Female",Table2[[#This Row],[Gender]]="F"),"F",""))</f>
        <v/>
      </c>
      <c r="F231" t="s">
        <v>61</v>
      </c>
      <c r="G231" t="s">
        <v>18</v>
      </c>
      <c r="H231" t="s">
        <v>43</v>
      </c>
      <c r="I231" t="s">
        <v>1060</v>
      </c>
      <c r="J231" t="str">
        <f>IF(ISNUMBER(SEARCH("India",Table2[[#This Row],[Emp_Name]])),"INR",
IF(ISNUMBER(SEARCH("Foreign",Table2[[#This Row],[Emp_Name]])),Table2[[#This Row],[Currency]],Table2[[#This Row],[Currency]]))</f>
        <v>INR</v>
      </c>
      <c r="K231">
        <v>24000</v>
      </c>
      <c r="L231">
        <v>12</v>
      </c>
      <c r="M231">
        <f>IF(Table2[[#This Row],[Num_Month]]&lt;&gt;12,12,Table2[[#This Row],[Num_Month]])</f>
        <v>12</v>
      </c>
      <c r="N231">
        <f>IF(Table2[[#This Row],[Monthly_Salary]]="","",Table2[[#This Row],[Monthly_Salary]]*Table2[[#This Row],[Num_Month_Final]])</f>
        <v>288000</v>
      </c>
      <c r="O231">
        <v>1</v>
      </c>
      <c r="P231">
        <f>IF(Table2[[#This Row],[Exp_Years]]&lt;0,ABS(Table2[[#This Row],[Exp_Years]]),Table2[[#This Row],[Exp_Years]])</f>
        <v>1</v>
      </c>
      <c r="Q231">
        <v>4</v>
      </c>
      <c r="R231">
        <v>16000</v>
      </c>
      <c r="S231">
        <f>IF(Table2[[#This Row],[Performance_Rating]]&gt;=3,Table2[[#This Row],[Monthly_Salary]]*0.3,"")</f>
        <v>7200</v>
      </c>
      <c r="T231">
        <v>85</v>
      </c>
      <c r="U231">
        <v>12</v>
      </c>
      <c r="V231">
        <v>2</v>
      </c>
      <c r="W231" t="s">
        <v>21</v>
      </c>
      <c r="X231" t="s">
        <v>38</v>
      </c>
      <c r="Y231" t="str">
        <f>IF(Table2[[#This Row],[Work_Mode]]&lt;&gt;"",Table2[[#This Row],[Work_Mode]],
IF(ISNUMBER(SEARCH("India",Table2[[#This Row],[Emp_Name]])),"Office",
IF(ISNUMBER(SEARCH("Foreign",Table2[[#This Row],[Emp_Name]])),"Remote","")))</f>
        <v>Hybrid</v>
      </c>
      <c r="Z231">
        <v>5</v>
      </c>
      <c r="AA23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231" t="s">
        <v>22</v>
      </c>
      <c r="AC231" t="str">
        <f>IF(COUNTIF(Table2[Emp_ID],Table2[[#This Row],[Emp_ID]])&gt;1,"Duplicate","Unique")</f>
        <v>Unique</v>
      </c>
      <c r="AE231" s="2"/>
      <c r="AG231" t="str">
        <f>IF(Table2[[#This Row],[Monthly_Salary]]="","Exclude",
IF(Table2[[#This Row],[Row_Status]]="Mismatch","Exclude",
IF(AND(Table2[[#This Row],[Row_Status]]="Exact Duplicate",
COUNTIFS(Table2[Emp_ID],Table2[[#This Row],[Emp_ID]],Table2[Row_Concat],Table2[[#This Row],[Row_Concat]],
Table2[Row_Number],"&lt;"&amp;Table2[[#This Row],[Row_Number]])&gt;=1),"Delete","")))</f>
        <v/>
      </c>
      <c r="AH231" t="str">
        <f>VLOOKUP(Table2[[#This Row],[Department]],Raw_2!A:B,2,0)</f>
        <v>Day</v>
      </c>
      <c r="AI231">
        <f>VLOOKUP(Table2[[#This Row],[Department]],Raw_2!A:C,3,0)</f>
        <v>10</v>
      </c>
    </row>
    <row r="232" spans="1:35">
      <c r="A232" t="s">
        <v>508</v>
      </c>
      <c r="B232" t="s">
        <v>509</v>
      </c>
      <c r="C232">
        <v>23</v>
      </c>
      <c r="D232" t="s">
        <v>16</v>
      </c>
      <c r="E232" t="str">
        <f>IF(OR(Table2[[#This Row],[Gender]]="Male",Table2[[#This Row],[Gender]]="M"),"M",
IF(OR(Table2[[#This Row],[Gender]]="Female",Table2[[#This Row],[Gender]]="F"),"F",""))</f>
        <v>M</v>
      </c>
      <c r="F232" t="s">
        <v>64</v>
      </c>
      <c r="G232" t="s">
        <v>66</v>
      </c>
      <c r="H232" t="s">
        <v>43</v>
      </c>
      <c r="I232" t="s">
        <v>1060</v>
      </c>
      <c r="J232" t="str">
        <f>IF(ISNUMBER(SEARCH("India",Table2[[#This Row],[Emp_Name]])),"INR",
IF(ISNUMBER(SEARCH("Foreign",Table2[[#This Row],[Emp_Name]])),Table2[[#This Row],[Currency]],Table2[[#This Row],[Currency]]))</f>
        <v>INR</v>
      </c>
      <c r="K232">
        <v>31000</v>
      </c>
      <c r="L232">
        <v>12</v>
      </c>
      <c r="M232">
        <f>IF(Table2[[#This Row],[Num_Month]]&lt;&gt;12,12,Table2[[#This Row],[Num_Month]])</f>
        <v>12</v>
      </c>
      <c r="N232">
        <f>IF(Table2[[#This Row],[Monthly_Salary]]="","",Table2[[#This Row],[Monthly_Salary]]*Table2[[#This Row],[Num_Month_Final]])</f>
        <v>372000</v>
      </c>
      <c r="O232">
        <v>2</v>
      </c>
      <c r="P232">
        <f>IF(Table2[[#This Row],[Exp_Years]]&lt;0,ABS(Table2[[#This Row],[Exp_Years]]),Table2[[#This Row],[Exp_Years]])</f>
        <v>2</v>
      </c>
      <c r="Q232">
        <v>3</v>
      </c>
      <c r="R232">
        <v>11400</v>
      </c>
      <c r="S232">
        <f>IF(Table2[[#This Row],[Performance_Rating]]&gt;=3,Table2[[#This Row],[Monthly_Salary]]*0.3,"")</f>
        <v>9300</v>
      </c>
      <c r="T232">
        <v>95</v>
      </c>
      <c r="U232">
        <v>12</v>
      </c>
      <c r="V232">
        <v>5</v>
      </c>
      <c r="X232" t="s">
        <v>38</v>
      </c>
      <c r="Y232" t="str">
        <f>IF(Table2[[#This Row],[Work_Mode]]&lt;&gt;"",Table2[[#This Row],[Work_Mode]],
IF(ISNUMBER(SEARCH("India",Table2[[#This Row],[Emp_Name]])),"Office",
IF(ISNUMBER(SEARCH("Foreign",Table2[[#This Row],[Emp_Name]])),"Remote","")))</f>
        <v>Hybrid</v>
      </c>
      <c r="Z232">
        <v>20</v>
      </c>
      <c r="AA23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232" t="s">
        <v>22</v>
      </c>
      <c r="AC232" t="str">
        <f>IF(COUNTIF(Table2[Emp_ID],Table2[[#This Row],[Emp_ID]])&gt;1,"Duplicate","Unique")</f>
        <v>Unique</v>
      </c>
      <c r="AE232" s="2"/>
      <c r="AG232" t="str">
        <f>IF(Table2[[#This Row],[Monthly_Salary]]="","Exclude",
IF(Table2[[#This Row],[Row_Status]]="Mismatch","Exclude",
IF(AND(Table2[[#This Row],[Row_Status]]="Exact Duplicate",
COUNTIFS(Table2[Emp_ID],Table2[[#This Row],[Emp_ID]],Table2[Row_Concat],Table2[[#This Row],[Row_Concat]],
Table2[Row_Number],"&lt;"&amp;Table2[[#This Row],[Row_Number]])&gt;=1),"Delete","")))</f>
        <v/>
      </c>
      <c r="AH232" t="str">
        <f>VLOOKUP(Table2[[#This Row],[Department]],Raw_2!A:B,2,0)</f>
        <v>Night</v>
      </c>
      <c r="AI232">
        <f>VLOOKUP(Table2[[#This Row],[Department]],Raw_2!A:C,3,0)</f>
        <v>20</v>
      </c>
    </row>
    <row r="233" spans="1:35">
      <c r="A233" t="s">
        <v>510</v>
      </c>
      <c r="B233" t="s">
        <v>511</v>
      </c>
      <c r="C233">
        <v>25</v>
      </c>
      <c r="E233" t="str">
        <f>IF(OR(Table2[[#This Row],[Gender]]="Male",Table2[[#This Row],[Gender]]="M"),"M",
IF(OR(Table2[[#This Row],[Gender]]="Female",Table2[[#This Row],[Gender]]="F"),"F",""))</f>
        <v/>
      </c>
      <c r="F233" t="s">
        <v>65</v>
      </c>
      <c r="G233" t="s">
        <v>66</v>
      </c>
      <c r="H233" t="s">
        <v>43</v>
      </c>
      <c r="I233" t="s">
        <v>1060</v>
      </c>
      <c r="J233" t="str">
        <f>IF(ISNUMBER(SEARCH("India",Table2[[#This Row],[Emp_Name]])),"INR",
IF(ISNUMBER(SEARCH("Foreign",Table2[[#This Row],[Emp_Name]])),Table2[[#This Row],[Currency]],Table2[[#This Row],[Currency]]))</f>
        <v>INR</v>
      </c>
      <c r="K233">
        <v>24000</v>
      </c>
      <c r="L233">
        <v>12</v>
      </c>
      <c r="M233">
        <f>IF(Table2[[#This Row],[Num_Month]]&lt;&gt;12,12,Table2[[#This Row],[Num_Month]])</f>
        <v>12</v>
      </c>
      <c r="N233">
        <f>IF(Table2[[#This Row],[Monthly_Salary]]="","",Table2[[#This Row],[Monthly_Salary]]*Table2[[#This Row],[Num_Month_Final]])</f>
        <v>288000</v>
      </c>
      <c r="O233">
        <v>1</v>
      </c>
      <c r="P233">
        <f>IF(Table2[[#This Row],[Exp_Years]]&lt;0,ABS(Table2[[#This Row],[Exp_Years]]),Table2[[#This Row],[Exp_Years]])</f>
        <v>1</v>
      </c>
      <c r="Q233">
        <v>1</v>
      </c>
      <c r="S233" t="str">
        <f>IF(Table2[[#This Row],[Performance_Rating]]&gt;=3,Table2[[#This Row],[Monthly_Salary]]*0.3,"")</f>
        <v/>
      </c>
      <c r="T233">
        <v>85</v>
      </c>
      <c r="U233">
        <v>12</v>
      </c>
      <c r="V233">
        <v>1</v>
      </c>
      <c r="X233" t="s">
        <v>38</v>
      </c>
      <c r="Y233" t="str">
        <f>IF(Table2[[#This Row],[Work_Mode]]&lt;&gt;"",Table2[[#This Row],[Work_Mode]],
IF(ISNUMBER(SEARCH("India",Table2[[#This Row],[Emp_Name]])),"Office",
IF(ISNUMBER(SEARCH("Foreign",Table2[[#This Row],[Emp_Name]])),"Remote","")))</f>
        <v>Hybrid</v>
      </c>
      <c r="Z233">
        <v>10</v>
      </c>
      <c r="AA23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33" t="s">
        <v>39</v>
      </c>
      <c r="AC233" t="str">
        <f>IF(COUNTIF(Table2[Emp_ID],Table2[[#This Row],[Emp_ID]])&gt;1,"Duplicate","Unique")</f>
        <v>Unique</v>
      </c>
      <c r="AE233" s="2"/>
      <c r="AG233" t="str">
        <f>IF(Table2[[#This Row],[Monthly_Salary]]="","Exclude",
IF(Table2[[#This Row],[Row_Status]]="Mismatch","Exclude",
IF(AND(Table2[[#This Row],[Row_Status]]="Exact Duplicate",
COUNTIFS(Table2[Emp_ID],Table2[[#This Row],[Emp_ID]],Table2[Row_Concat],Table2[[#This Row],[Row_Concat]],
Table2[Row_Number],"&lt;"&amp;Table2[[#This Row],[Row_Number]])&gt;=1),"Delete","")))</f>
        <v/>
      </c>
      <c r="AH233" t="str">
        <f>VLOOKUP(Table2[[#This Row],[Department]],Raw_2!A:B,2,0)</f>
        <v>Night</v>
      </c>
      <c r="AI233">
        <f>VLOOKUP(Table2[[#This Row],[Department]],Raw_2!A:C,3,0)</f>
        <v>20</v>
      </c>
    </row>
    <row r="234" spans="1:35">
      <c r="A234" t="s">
        <v>512</v>
      </c>
      <c r="B234" t="s">
        <v>513</v>
      </c>
      <c r="C234">
        <v>24</v>
      </c>
      <c r="E234" t="str">
        <f>IF(OR(Table2[[#This Row],[Gender]]="Male",Table2[[#This Row],[Gender]]="M"),"M",
IF(OR(Table2[[#This Row],[Gender]]="Female",Table2[[#This Row],[Gender]]="F"),"F",""))</f>
        <v/>
      </c>
      <c r="F234" t="s">
        <v>50</v>
      </c>
      <c r="G234" t="s">
        <v>31</v>
      </c>
      <c r="H234" t="s">
        <v>43</v>
      </c>
      <c r="I234" t="s">
        <v>1060</v>
      </c>
      <c r="J234" t="str">
        <f>IF(ISNUMBER(SEARCH("India",Table2[[#This Row],[Emp_Name]])),"INR",
IF(ISNUMBER(SEARCH("Foreign",Table2[[#This Row],[Emp_Name]])),Table2[[#This Row],[Currency]],Table2[[#This Row],[Currency]]))</f>
        <v>INR</v>
      </c>
      <c r="K234">
        <v>24000</v>
      </c>
      <c r="L234">
        <v>12</v>
      </c>
      <c r="M234">
        <f>IF(Table2[[#This Row],[Num_Month]]&lt;&gt;12,12,Table2[[#This Row],[Num_Month]])</f>
        <v>12</v>
      </c>
      <c r="N234">
        <f>IF(Table2[[#This Row],[Monthly_Salary]]="","",Table2[[#This Row],[Monthly_Salary]]*Table2[[#This Row],[Num_Month_Final]])</f>
        <v>288000</v>
      </c>
      <c r="O234">
        <v>1</v>
      </c>
      <c r="P234">
        <f>IF(Table2[[#This Row],[Exp_Years]]&lt;0,ABS(Table2[[#This Row],[Exp_Years]]),Table2[[#This Row],[Exp_Years]])</f>
        <v>1</v>
      </c>
      <c r="Q234">
        <v>2</v>
      </c>
      <c r="S234" t="str">
        <f>IF(Table2[[#This Row],[Performance_Rating]]&gt;=3,Table2[[#This Row],[Monthly_Salary]]*0.3,"")</f>
        <v/>
      </c>
      <c r="T234">
        <v>95</v>
      </c>
      <c r="U234">
        <v>12</v>
      </c>
      <c r="V234">
        <v>5</v>
      </c>
      <c r="X234" t="s">
        <v>38</v>
      </c>
      <c r="Y234" t="str">
        <f>IF(Table2[[#This Row],[Work_Mode]]&lt;&gt;"",Table2[[#This Row],[Work_Mode]],
IF(ISNUMBER(SEARCH("India",Table2[[#This Row],[Emp_Name]])),"Office",
IF(ISNUMBER(SEARCH("Foreign",Table2[[#This Row],[Emp_Name]])),"Remote","")))</f>
        <v>Hybrid</v>
      </c>
      <c r="Z234">
        <v>5</v>
      </c>
      <c r="AA23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234" t="s">
        <v>39</v>
      </c>
      <c r="AC234" t="str">
        <f>IF(COUNTIF(Table2[Emp_ID],Table2[[#This Row],[Emp_ID]])&gt;1,"Duplicate","Unique")</f>
        <v>Unique</v>
      </c>
      <c r="AE234" s="2"/>
      <c r="AG234" t="str">
        <f>IF(Table2[[#This Row],[Monthly_Salary]]="","Exclude",
IF(Table2[[#This Row],[Row_Status]]="Mismatch","Exclude",
IF(AND(Table2[[#This Row],[Row_Status]]="Exact Duplicate",
COUNTIFS(Table2[Emp_ID],Table2[[#This Row],[Emp_ID]],Table2[Row_Concat],Table2[[#This Row],[Row_Concat]],
Table2[Row_Number],"&lt;"&amp;Table2[[#This Row],[Row_Number]])&gt;=1),"Delete","")))</f>
        <v/>
      </c>
      <c r="AH234" t="str">
        <f>VLOOKUP(Table2[[#This Row],[Department]],Raw_2!A:B,2,0)</f>
        <v>Night</v>
      </c>
      <c r="AI234">
        <f>VLOOKUP(Table2[[#This Row],[Department]],Raw_2!A:C,3,0)</f>
        <v>13</v>
      </c>
    </row>
    <row r="235" spans="1:35">
      <c r="A235" t="s">
        <v>514</v>
      </c>
      <c r="B235" t="s">
        <v>515</v>
      </c>
      <c r="C235">
        <v>23</v>
      </c>
      <c r="D235" t="s">
        <v>34</v>
      </c>
      <c r="E235" t="str">
        <f>IF(OR(Table2[[#This Row],[Gender]]="Male",Table2[[#This Row],[Gender]]="M"),"M",
IF(OR(Table2[[#This Row],[Gender]]="Female",Table2[[#This Row],[Gender]]="F"),"F",""))</f>
        <v>F</v>
      </c>
      <c r="F235" t="s">
        <v>57</v>
      </c>
      <c r="G235" t="s">
        <v>31</v>
      </c>
      <c r="H235" t="s">
        <v>43</v>
      </c>
      <c r="I235" t="s">
        <v>1060</v>
      </c>
      <c r="J235" t="str">
        <f>IF(ISNUMBER(SEARCH("India",Table2[[#This Row],[Emp_Name]])),"INR",
IF(ISNUMBER(SEARCH("Foreign",Table2[[#This Row],[Emp_Name]])),Table2[[#This Row],[Currency]],Table2[[#This Row],[Currency]]))</f>
        <v>INR</v>
      </c>
      <c r="K235">
        <v>31000</v>
      </c>
      <c r="L235">
        <v>12</v>
      </c>
      <c r="M235">
        <f>IF(Table2[[#This Row],[Num_Month]]&lt;&gt;12,12,Table2[[#This Row],[Num_Month]])</f>
        <v>12</v>
      </c>
      <c r="N235">
        <f>IF(Table2[[#This Row],[Monthly_Salary]]="","",Table2[[#This Row],[Monthly_Salary]]*Table2[[#This Row],[Num_Month_Final]])</f>
        <v>372000</v>
      </c>
      <c r="O235">
        <v>2</v>
      </c>
      <c r="P235">
        <f>IF(Table2[[#This Row],[Exp_Years]]&lt;0,ABS(Table2[[#This Row],[Exp_Years]]),Table2[[#This Row],[Exp_Years]])</f>
        <v>2</v>
      </c>
      <c r="Q235">
        <v>1</v>
      </c>
      <c r="S235" t="str">
        <f>IF(Table2[[#This Row],[Performance_Rating]]&gt;=3,Table2[[#This Row],[Monthly_Salary]]*0.3,"")</f>
        <v/>
      </c>
      <c r="T235">
        <v>90</v>
      </c>
      <c r="U235">
        <v>5</v>
      </c>
      <c r="V235">
        <v>1</v>
      </c>
      <c r="W235" t="s">
        <v>37</v>
      </c>
      <c r="X235" t="s">
        <v>38</v>
      </c>
      <c r="Y235" t="str">
        <f>IF(Table2[[#This Row],[Work_Mode]]&lt;&gt;"",Table2[[#This Row],[Work_Mode]],
IF(ISNUMBER(SEARCH("India",Table2[[#This Row],[Emp_Name]])),"Office",
IF(ISNUMBER(SEARCH("Foreign",Table2[[#This Row],[Emp_Name]])),"Remote","")))</f>
        <v>Hybrid</v>
      </c>
      <c r="Z235">
        <v>5</v>
      </c>
      <c r="AA23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235" t="s">
        <v>39</v>
      </c>
      <c r="AC235" t="str">
        <f>IF(COUNTIF(Table2[Emp_ID],Table2[[#This Row],[Emp_ID]])&gt;1,"Duplicate","Unique")</f>
        <v>Unique</v>
      </c>
      <c r="AE235" s="2"/>
      <c r="AG235" t="str">
        <f>IF(Table2[[#This Row],[Monthly_Salary]]="","Exclude",
IF(Table2[[#This Row],[Row_Status]]="Mismatch","Exclude",
IF(AND(Table2[[#This Row],[Row_Status]]="Exact Duplicate",
COUNTIFS(Table2[Emp_ID],Table2[[#This Row],[Emp_ID]],Table2[Row_Concat],Table2[[#This Row],[Row_Concat]],
Table2[Row_Number],"&lt;"&amp;Table2[[#This Row],[Row_Number]])&gt;=1),"Delete","")))</f>
        <v/>
      </c>
      <c r="AH235" t="str">
        <f>VLOOKUP(Table2[[#This Row],[Department]],Raw_2!A:B,2,0)</f>
        <v>Night</v>
      </c>
      <c r="AI235">
        <f>VLOOKUP(Table2[[#This Row],[Department]],Raw_2!A:C,3,0)</f>
        <v>13</v>
      </c>
    </row>
    <row r="236" spans="1:35">
      <c r="A236" t="s">
        <v>516</v>
      </c>
      <c r="B236" t="s">
        <v>517</v>
      </c>
      <c r="C236">
        <v>34</v>
      </c>
      <c r="D236" t="s">
        <v>25</v>
      </c>
      <c r="E236" t="str">
        <f>IF(OR(Table2[[#This Row],[Gender]]="Male",Table2[[#This Row],[Gender]]="M"),"M",
IF(OR(Table2[[#This Row],[Gender]]="Female",Table2[[#This Row],[Gender]]="F"),"F",""))</f>
        <v>F</v>
      </c>
      <c r="F236" t="s">
        <v>26</v>
      </c>
      <c r="G236" t="s">
        <v>18</v>
      </c>
      <c r="H236" t="s">
        <v>32</v>
      </c>
      <c r="I236" t="s">
        <v>1060</v>
      </c>
      <c r="J236" t="str">
        <f>IF(ISNUMBER(SEARCH("India",Table2[[#This Row],[Emp_Name]])),"INR",
IF(ISNUMBER(SEARCH("Foreign",Table2[[#This Row],[Emp_Name]])),Table2[[#This Row],[Currency]],Table2[[#This Row],[Currency]]))</f>
        <v>INR</v>
      </c>
      <c r="K236">
        <v>91000</v>
      </c>
      <c r="L236">
        <v>12</v>
      </c>
      <c r="M236">
        <f>IF(Table2[[#This Row],[Num_Month]]&lt;&gt;12,12,Table2[[#This Row],[Num_Month]])</f>
        <v>12</v>
      </c>
      <c r="N236">
        <f>IF(Table2[[#This Row],[Monthly_Salary]]="","",Table2[[#This Row],[Monthly_Salary]]*Table2[[#This Row],[Num_Month_Final]])</f>
        <v>1092000</v>
      </c>
      <c r="O236">
        <v>12</v>
      </c>
      <c r="P236">
        <f>IF(Table2[[#This Row],[Exp_Years]]&lt;0,ABS(Table2[[#This Row],[Exp_Years]]),Table2[[#This Row],[Exp_Years]])</f>
        <v>12</v>
      </c>
      <c r="Q236">
        <v>3</v>
      </c>
      <c r="R236">
        <v>40000</v>
      </c>
      <c r="S236">
        <f>IF(Table2[[#This Row],[Performance_Rating]]&gt;=3,Table2[[#This Row],[Monthly_Salary]]*0.3,"")</f>
        <v>27300</v>
      </c>
      <c r="T236">
        <v>88</v>
      </c>
      <c r="U236">
        <v>5</v>
      </c>
      <c r="V236">
        <v>3</v>
      </c>
      <c r="W236" t="s">
        <v>21</v>
      </c>
      <c r="X236" t="s">
        <v>19</v>
      </c>
      <c r="Y236" t="str">
        <f>IF(Table2[[#This Row],[Work_Mode]]&lt;&gt;"",Table2[[#This Row],[Work_Mode]],
IF(ISNUMBER(SEARCH("India",Table2[[#This Row],[Emp_Name]])),"Office",
IF(ISNUMBER(SEARCH("Foreign",Table2[[#This Row],[Emp_Name]])),"Remote","")))</f>
        <v>Office</v>
      </c>
      <c r="Z236">
        <v>20</v>
      </c>
      <c r="AA23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7000</v>
      </c>
      <c r="AB236" t="s">
        <v>22</v>
      </c>
      <c r="AC236" t="str">
        <f>IF(COUNTIF(Table2[Emp_ID],Table2[[#This Row],[Emp_ID]])&gt;1,"Duplicate","Unique")</f>
        <v>Unique</v>
      </c>
      <c r="AE236" s="2"/>
      <c r="AG236" t="str">
        <f>IF(Table2[[#This Row],[Monthly_Salary]]="","Exclude",
IF(Table2[[#This Row],[Row_Status]]="Mismatch","Exclude",
IF(AND(Table2[[#This Row],[Row_Status]]="Exact Duplicate",
COUNTIFS(Table2[Emp_ID],Table2[[#This Row],[Emp_ID]],Table2[Row_Concat],Table2[[#This Row],[Row_Concat]],
Table2[Row_Number],"&lt;"&amp;Table2[[#This Row],[Row_Number]])&gt;=1),"Delete","")))</f>
        <v/>
      </c>
      <c r="AH236" t="str">
        <f>VLOOKUP(Table2[[#This Row],[Department]],Raw_2!A:B,2,0)</f>
        <v>Day</v>
      </c>
      <c r="AI236">
        <f>VLOOKUP(Table2[[#This Row],[Department]],Raw_2!A:C,3,0)</f>
        <v>10</v>
      </c>
    </row>
    <row r="237" spans="1:35">
      <c r="A237" t="s">
        <v>518</v>
      </c>
      <c r="B237" t="s">
        <v>519</v>
      </c>
      <c r="C237">
        <v>25</v>
      </c>
      <c r="D237" t="s">
        <v>25</v>
      </c>
      <c r="E237" t="str">
        <f>IF(OR(Table2[[#This Row],[Gender]]="Male",Table2[[#This Row],[Gender]]="M"),"M",
IF(OR(Table2[[#This Row],[Gender]]="Female",Table2[[#This Row],[Gender]]="F"),"F",""))</f>
        <v>F</v>
      </c>
      <c r="F237" t="s">
        <v>26</v>
      </c>
      <c r="G237" t="s">
        <v>27</v>
      </c>
      <c r="H237" t="s">
        <v>43</v>
      </c>
      <c r="I237" t="s">
        <v>1060</v>
      </c>
      <c r="J237" t="str">
        <f>IF(ISNUMBER(SEARCH("India",Table2[[#This Row],[Emp_Name]])),"INR",
IF(ISNUMBER(SEARCH("Foreign",Table2[[#This Row],[Emp_Name]])),Table2[[#This Row],[Currency]],Table2[[#This Row],[Currency]]))</f>
        <v>INR</v>
      </c>
      <c r="K237">
        <v>31000</v>
      </c>
      <c r="L237">
        <v>12</v>
      </c>
      <c r="M237">
        <f>IF(Table2[[#This Row],[Num_Month]]&lt;&gt;12,12,Table2[[#This Row],[Num_Month]])</f>
        <v>12</v>
      </c>
      <c r="N237">
        <f>IF(Table2[[#This Row],[Monthly_Salary]]="","",Table2[[#This Row],[Monthly_Salary]]*Table2[[#This Row],[Num_Month_Final]])</f>
        <v>372000</v>
      </c>
      <c r="O237">
        <v>2</v>
      </c>
      <c r="P237">
        <f>IF(Table2[[#This Row],[Exp_Years]]&lt;0,ABS(Table2[[#This Row],[Exp_Years]]),Table2[[#This Row],[Exp_Years]])</f>
        <v>2</v>
      </c>
      <c r="Q237">
        <v>2</v>
      </c>
      <c r="S237" t="str">
        <f>IF(Table2[[#This Row],[Performance_Rating]]&gt;=3,Table2[[#This Row],[Monthly_Salary]]*0.3,"")</f>
        <v/>
      </c>
      <c r="T237">
        <v>95</v>
      </c>
      <c r="U237">
        <v>10</v>
      </c>
      <c r="V237">
        <v>1</v>
      </c>
      <c r="X237" t="s">
        <v>38</v>
      </c>
      <c r="Y237" t="str">
        <f>IF(Table2[[#This Row],[Work_Mode]]&lt;&gt;"",Table2[[#This Row],[Work_Mode]],
IF(ISNUMBER(SEARCH("India",Table2[[#This Row],[Emp_Name]])),"Office",
IF(ISNUMBER(SEARCH("Foreign",Table2[[#This Row],[Emp_Name]])),"Remote","")))</f>
        <v>Hybrid</v>
      </c>
      <c r="Z237">
        <v>10</v>
      </c>
      <c r="AA23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37" t="s">
        <v>39</v>
      </c>
      <c r="AC237" t="str">
        <f>IF(COUNTIF(Table2[Emp_ID],Table2[[#This Row],[Emp_ID]])&gt;1,"Duplicate","Unique")</f>
        <v>Unique</v>
      </c>
      <c r="AE237" s="2"/>
      <c r="AG237" t="str">
        <f>IF(Table2[[#This Row],[Monthly_Salary]]="","Exclude",
IF(Table2[[#This Row],[Row_Status]]="Mismatch","Exclude",
IF(AND(Table2[[#This Row],[Row_Status]]="Exact Duplicate",
COUNTIFS(Table2[Emp_ID],Table2[[#This Row],[Emp_ID]],Table2[Row_Concat],Table2[[#This Row],[Row_Concat]],
Table2[Row_Number],"&lt;"&amp;Table2[[#This Row],[Row_Number]])&gt;=1),"Delete","")))</f>
        <v/>
      </c>
      <c r="AH237" t="str">
        <f>VLOOKUP(Table2[[#This Row],[Department]],Raw_2!A:B,2,0)</f>
        <v>Day</v>
      </c>
      <c r="AI237">
        <f>VLOOKUP(Table2[[#This Row],[Department]],Raw_2!A:C,3,0)</f>
        <v>12</v>
      </c>
    </row>
    <row r="238" spans="1:35">
      <c r="A238" t="s">
        <v>520</v>
      </c>
      <c r="B238" t="s">
        <v>521</v>
      </c>
      <c r="C238">
        <v>25</v>
      </c>
      <c r="D238" t="s">
        <v>46</v>
      </c>
      <c r="E238" t="str">
        <f>IF(OR(Table2[[#This Row],[Gender]]="Male",Table2[[#This Row],[Gender]]="M"),"M",
IF(OR(Table2[[#This Row],[Gender]]="Female",Table2[[#This Row],[Gender]]="F"),"F",""))</f>
        <v>M</v>
      </c>
      <c r="F238" t="s">
        <v>35</v>
      </c>
      <c r="G238" t="s">
        <v>42</v>
      </c>
      <c r="H238" t="s">
        <v>43</v>
      </c>
      <c r="I238" t="s">
        <v>1060</v>
      </c>
      <c r="J238" t="str">
        <f>IF(ISNUMBER(SEARCH("India",Table2[[#This Row],[Emp_Name]])),"INR",
IF(ISNUMBER(SEARCH("Foreign",Table2[[#This Row],[Emp_Name]])),Table2[[#This Row],[Currency]],Table2[[#This Row],[Currency]]))</f>
        <v>INR</v>
      </c>
      <c r="K238">
        <v>31000</v>
      </c>
      <c r="L238">
        <v>12</v>
      </c>
      <c r="M238">
        <f>IF(Table2[[#This Row],[Num_Month]]&lt;&gt;12,12,Table2[[#This Row],[Num_Month]])</f>
        <v>12</v>
      </c>
      <c r="N238">
        <f>IF(Table2[[#This Row],[Monthly_Salary]]="","",Table2[[#This Row],[Monthly_Salary]]*Table2[[#This Row],[Num_Month_Final]])</f>
        <v>372000</v>
      </c>
      <c r="O238">
        <v>2</v>
      </c>
      <c r="P238">
        <f>IF(Table2[[#This Row],[Exp_Years]]&lt;0,ABS(Table2[[#This Row],[Exp_Years]]),Table2[[#This Row],[Exp_Years]])</f>
        <v>2</v>
      </c>
      <c r="Q238">
        <v>4</v>
      </c>
      <c r="R238">
        <v>16000</v>
      </c>
      <c r="S238">
        <f>IF(Table2[[#This Row],[Performance_Rating]]&gt;=3,Table2[[#This Row],[Monthly_Salary]]*0.3,"")</f>
        <v>9300</v>
      </c>
      <c r="T238">
        <v>80</v>
      </c>
      <c r="U238">
        <v>15</v>
      </c>
      <c r="V238">
        <v>6</v>
      </c>
      <c r="W238" t="s">
        <v>21</v>
      </c>
      <c r="X238" t="s">
        <v>38</v>
      </c>
      <c r="Y238" t="str">
        <f>IF(Table2[[#This Row],[Work_Mode]]&lt;&gt;"",Table2[[#This Row],[Work_Mode]],
IF(ISNUMBER(SEARCH("India",Table2[[#This Row],[Emp_Name]])),"Office",
IF(ISNUMBER(SEARCH("Foreign",Table2[[#This Row],[Emp_Name]])),"Remote","")))</f>
        <v>Hybrid</v>
      </c>
      <c r="Z238">
        <v>20</v>
      </c>
      <c r="AA23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238" t="s">
        <v>22</v>
      </c>
      <c r="AC238" t="str">
        <f>IF(COUNTIF(Table2[Emp_ID],Table2[[#This Row],[Emp_ID]])&gt;1,"Duplicate","Unique")</f>
        <v>Unique</v>
      </c>
      <c r="AE238" s="2"/>
      <c r="AG238" t="str">
        <f>IF(Table2[[#This Row],[Monthly_Salary]]="","Exclude",
IF(Table2[[#This Row],[Row_Status]]="Mismatch","Exclude",
IF(AND(Table2[[#This Row],[Row_Status]]="Exact Duplicate",
COUNTIFS(Table2[Emp_ID],Table2[[#This Row],[Emp_ID]],Table2[Row_Concat],Table2[[#This Row],[Row_Concat]],
Table2[Row_Number],"&lt;"&amp;Table2[[#This Row],[Row_Number]])&gt;=1),"Delete","")))</f>
        <v/>
      </c>
      <c r="AH238" t="str">
        <f>VLOOKUP(Table2[[#This Row],[Department]],Raw_2!A:B,2,0)</f>
        <v>Day</v>
      </c>
      <c r="AI238">
        <f>VLOOKUP(Table2[[#This Row],[Department]],Raw_2!A:C,3,0)</f>
        <v>14</v>
      </c>
    </row>
    <row r="239" spans="1:35">
      <c r="A239" t="s">
        <v>522</v>
      </c>
      <c r="B239" t="s">
        <v>523</v>
      </c>
      <c r="C239">
        <v>24</v>
      </c>
      <c r="D239" t="s">
        <v>46</v>
      </c>
      <c r="E239" t="str">
        <f>IF(OR(Table2[[#This Row],[Gender]]="Male",Table2[[#This Row],[Gender]]="M"),"M",
IF(OR(Table2[[#This Row],[Gender]]="Female",Table2[[#This Row],[Gender]]="F"),"F",""))</f>
        <v>M</v>
      </c>
      <c r="F239" t="s">
        <v>57</v>
      </c>
      <c r="G239" t="s">
        <v>31</v>
      </c>
      <c r="H239" t="s">
        <v>43</v>
      </c>
      <c r="I239" t="s">
        <v>1060</v>
      </c>
      <c r="J239" t="str">
        <f>IF(ISNUMBER(SEARCH("India",Table2[[#This Row],[Emp_Name]])),"INR",
IF(ISNUMBER(SEARCH("Foreign",Table2[[#This Row],[Emp_Name]])),Table2[[#This Row],[Currency]],Table2[[#This Row],[Currency]]))</f>
        <v>INR</v>
      </c>
      <c r="K239">
        <v>24000</v>
      </c>
      <c r="L239">
        <v>12</v>
      </c>
      <c r="M239">
        <f>IF(Table2[[#This Row],[Num_Month]]&lt;&gt;12,12,Table2[[#This Row],[Num_Month]])</f>
        <v>12</v>
      </c>
      <c r="N239">
        <f>IF(Table2[[#This Row],[Monthly_Salary]]="","",Table2[[#This Row],[Monthly_Salary]]*Table2[[#This Row],[Num_Month_Final]])</f>
        <v>288000</v>
      </c>
      <c r="O239">
        <v>1</v>
      </c>
      <c r="P239">
        <f>IF(Table2[[#This Row],[Exp_Years]]&lt;0,ABS(Table2[[#This Row],[Exp_Years]]),Table2[[#This Row],[Exp_Years]])</f>
        <v>1</v>
      </c>
      <c r="Q239">
        <v>4</v>
      </c>
      <c r="R239">
        <v>16000</v>
      </c>
      <c r="S239">
        <f>IF(Table2[[#This Row],[Performance_Rating]]&gt;=3,Table2[[#This Row],[Monthly_Salary]]*0.3,"")</f>
        <v>7200</v>
      </c>
      <c r="T239">
        <v>88</v>
      </c>
      <c r="U239">
        <v>10</v>
      </c>
      <c r="V239">
        <v>7</v>
      </c>
      <c r="W239" t="s">
        <v>37</v>
      </c>
      <c r="X239" t="s">
        <v>38</v>
      </c>
      <c r="Y239" t="str">
        <f>IF(Table2[[#This Row],[Work_Mode]]&lt;&gt;"",Table2[[#This Row],[Work_Mode]],
IF(ISNUMBER(SEARCH("India",Table2[[#This Row],[Emp_Name]])),"Office",
IF(ISNUMBER(SEARCH("Foreign",Table2[[#This Row],[Emp_Name]])),"Remote","")))</f>
        <v>Hybrid</v>
      </c>
      <c r="Z239">
        <v>20</v>
      </c>
      <c r="AA23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239" t="s">
        <v>58</v>
      </c>
      <c r="AC239" t="str">
        <f>IF(COUNTIF(Table2[Emp_ID],Table2[[#This Row],[Emp_ID]])&gt;1,"Duplicate","Unique")</f>
        <v>Unique</v>
      </c>
      <c r="AE239" s="2"/>
      <c r="AG239" t="str">
        <f>IF(Table2[[#This Row],[Monthly_Salary]]="","Exclude",
IF(Table2[[#This Row],[Row_Status]]="Mismatch","Exclude",
IF(AND(Table2[[#This Row],[Row_Status]]="Exact Duplicate",
COUNTIFS(Table2[Emp_ID],Table2[[#This Row],[Emp_ID]],Table2[Row_Concat],Table2[[#This Row],[Row_Concat]],
Table2[Row_Number],"&lt;"&amp;Table2[[#This Row],[Row_Number]])&gt;=1),"Delete","")))</f>
        <v/>
      </c>
      <c r="AH239" t="str">
        <f>VLOOKUP(Table2[[#This Row],[Department]],Raw_2!A:B,2,0)</f>
        <v>Night</v>
      </c>
      <c r="AI239">
        <f>VLOOKUP(Table2[[#This Row],[Department]],Raw_2!A:C,3,0)</f>
        <v>13</v>
      </c>
    </row>
    <row r="240" spans="1:35">
      <c r="A240" t="s">
        <v>524</v>
      </c>
      <c r="B240" t="s">
        <v>525</v>
      </c>
      <c r="C240">
        <v>24</v>
      </c>
      <c r="D240" t="s">
        <v>25</v>
      </c>
      <c r="E240" t="str">
        <f>IF(OR(Table2[[#This Row],[Gender]]="Male",Table2[[#This Row],[Gender]]="M"),"M",
IF(OR(Table2[[#This Row],[Gender]]="Female",Table2[[#This Row],[Gender]]="F"),"F",""))</f>
        <v>F</v>
      </c>
      <c r="F240" t="s">
        <v>35</v>
      </c>
      <c r="G240" t="s">
        <v>66</v>
      </c>
      <c r="H240" t="s">
        <v>43</v>
      </c>
      <c r="I240" t="s">
        <v>1060</v>
      </c>
      <c r="J240" t="str">
        <f>IF(ISNUMBER(SEARCH("India",Table2[[#This Row],[Emp_Name]])),"INR",
IF(ISNUMBER(SEARCH("Foreign",Table2[[#This Row],[Emp_Name]])),Table2[[#This Row],[Currency]],Table2[[#This Row],[Currency]]))</f>
        <v>INR</v>
      </c>
      <c r="K240">
        <v>24000</v>
      </c>
      <c r="L240">
        <v>12</v>
      </c>
      <c r="M240">
        <f>IF(Table2[[#This Row],[Num_Month]]&lt;&gt;12,12,Table2[[#This Row],[Num_Month]])</f>
        <v>12</v>
      </c>
      <c r="N240">
        <f>IF(Table2[[#This Row],[Monthly_Salary]]="","",Table2[[#This Row],[Monthly_Salary]]*Table2[[#This Row],[Num_Month_Final]])</f>
        <v>288000</v>
      </c>
      <c r="O240">
        <v>1</v>
      </c>
      <c r="P240">
        <f>IF(Table2[[#This Row],[Exp_Years]]&lt;0,ABS(Table2[[#This Row],[Exp_Years]]),Table2[[#This Row],[Exp_Years]])</f>
        <v>1</v>
      </c>
      <c r="Q240">
        <v>1</v>
      </c>
      <c r="S240" t="str">
        <f>IF(Table2[[#This Row],[Performance_Rating]]&gt;=3,Table2[[#This Row],[Monthly_Salary]]*0.3,"")</f>
        <v/>
      </c>
      <c r="T240">
        <v>85</v>
      </c>
      <c r="U240">
        <v>10</v>
      </c>
      <c r="V240">
        <v>10</v>
      </c>
      <c r="W240" t="s">
        <v>37</v>
      </c>
      <c r="X240" t="s">
        <v>38</v>
      </c>
      <c r="Y240" t="str">
        <f>IF(Table2[[#This Row],[Work_Mode]]&lt;&gt;"",Table2[[#This Row],[Work_Mode]],
IF(ISNUMBER(SEARCH("India",Table2[[#This Row],[Emp_Name]])),"Office",
IF(ISNUMBER(SEARCH("Foreign",Table2[[#This Row],[Emp_Name]])),"Remote","")))</f>
        <v>Hybrid</v>
      </c>
      <c r="Z240">
        <v>10</v>
      </c>
      <c r="AA24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40" t="s">
        <v>39</v>
      </c>
      <c r="AC240" t="str">
        <f>IF(COUNTIF(Table2[Emp_ID],Table2[[#This Row],[Emp_ID]])&gt;1,"Duplicate","Unique")</f>
        <v>Unique</v>
      </c>
      <c r="AE240" s="2"/>
      <c r="AG240" t="str">
        <f>IF(Table2[[#This Row],[Monthly_Salary]]="","Exclude",
IF(Table2[[#This Row],[Row_Status]]="Mismatch","Exclude",
IF(AND(Table2[[#This Row],[Row_Status]]="Exact Duplicate",
COUNTIFS(Table2[Emp_ID],Table2[[#This Row],[Emp_ID]],Table2[Row_Concat],Table2[[#This Row],[Row_Concat]],
Table2[Row_Number],"&lt;"&amp;Table2[[#This Row],[Row_Number]])&gt;=1),"Delete","")))</f>
        <v/>
      </c>
      <c r="AH240" t="str">
        <f>VLOOKUP(Table2[[#This Row],[Department]],Raw_2!A:B,2,0)</f>
        <v>Night</v>
      </c>
      <c r="AI240">
        <f>VLOOKUP(Table2[[#This Row],[Department]],Raw_2!A:C,3,0)</f>
        <v>20</v>
      </c>
    </row>
    <row r="241" spans="1:35">
      <c r="A241" t="s">
        <v>526</v>
      </c>
      <c r="B241" t="s">
        <v>527</v>
      </c>
      <c r="C241">
        <v>23</v>
      </c>
      <c r="D241" t="s">
        <v>34</v>
      </c>
      <c r="E241" t="str">
        <f>IF(OR(Table2[[#This Row],[Gender]]="Male",Table2[[#This Row],[Gender]]="M"),"M",
IF(OR(Table2[[#This Row],[Gender]]="Female",Table2[[#This Row],[Gender]]="F"),"F",""))</f>
        <v>F</v>
      </c>
      <c r="F241" t="s">
        <v>17</v>
      </c>
      <c r="G241" t="s">
        <v>66</v>
      </c>
      <c r="H241" t="s">
        <v>43</v>
      </c>
      <c r="I241" t="s">
        <v>1060</v>
      </c>
      <c r="J241" t="str">
        <f>IF(ISNUMBER(SEARCH("India",Table2[[#This Row],[Emp_Name]])),"INR",
IF(ISNUMBER(SEARCH("Foreign",Table2[[#This Row],[Emp_Name]])),Table2[[#This Row],[Currency]],Table2[[#This Row],[Currency]]))</f>
        <v>INR</v>
      </c>
      <c r="K241">
        <v>24000</v>
      </c>
      <c r="L241">
        <v>12</v>
      </c>
      <c r="M241">
        <f>IF(Table2[[#This Row],[Num_Month]]&lt;&gt;12,12,Table2[[#This Row],[Num_Month]])</f>
        <v>12</v>
      </c>
      <c r="N241">
        <f>IF(Table2[[#This Row],[Monthly_Salary]]="","",Table2[[#This Row],[Monthly_Salary]]*Table2[[#This Row],[Num_Month_Final]])</f>
        <v>288000</v>
      </c>
      <c r="O241">
        <v>1</v>
      </c>
      <c r="P241">
        <f>IF(Table2[[#This Row],[Exp_Years]]&lt;0,ABS(Table2[[#This Row],[Exp_Years]]),Table2[[#This Row],[Exp_Years]])</f>
        <v>1</v>
      </c>
      <c r="Q241">
        <v>3</v>
      </c>
      <c r="R241">
        <v>13400</v>
      </c>
      <c r="S241">
        <f>IF(Table2[[#This Row],[Performance_Rating]]&gt;=3,Table2[[#This Row],[Monthly_Salary]]*0.3,"")</f>
        <v>7200</v>
      </c>
      <c r="T241">
        <v>95</v>
      </c>
      <c r="U241">
        <v>15</v>
      </c>
      <c r="V241">
        <v>2</v>
      </c>
      <c r="W241" t="s">
        <v>21</v>
      </c>
      <c r="X241" t="s">
        <v>38</v>
      </c>
      <c r="Y241" t="str">
        <f>IF(Table2[[#This Row],[Work_Mode]]&lt;&gt;"",Table2[[#This Row],[Work_Mode]],
IF(ISNUMBER(SEARCH("India",Table2[[#This Row],[Emp_Name]])),"Office",
IF(ISNUMBER(SEARCH("Foreign",Table2[[#This Row],[Emp_Name]])),"Remote","")))</f>
        <v>Hybrid</v>
      </c>
      <c r="Z241">
        <v>5</v>
      </c>
      <c r="AA24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241" t="s">
        <v>22</v>
      </c>
      <c r="AC241" t="str">
        <f>IF(COUNTIF(Table2[Emp_ID],Table2[[#This Row],[Emp_ID]])&gt;1,"Duplicate","Unique")</f>
        <v>Unique</v>
      </c>
      <c r="AE241" s="2"/>
      <c r="AG241" t="str">
        <f>IF(Table2[[#This Row],[Monthly_Salary]]="","Exclude",
IF(Table2[[#This Row],[Row_Status]]="Mismatch","Exclude",
IF(AND(Table2[[#This Row],[Row_Status]]="Exact Duplicate",
COUNTIFS(Table2[Emp_ID],Table2[[#This Row],[Emp_ID]],Table2[Row_Concat],Table2[[#This Row],[Row_Concat]],
Table2[Row_Number],"&lt;"&amp;Table2[[#This Row],[Row_Number]])&gt;=1),"Delete","")))</f>
        <v/>
      </c>
      <c r="AH241" t="str">
        <f>VLOOKUP(Table2[[#This Row],[Department]],Raw_2!A:B,2,0)</f>
        <v>Night</v>
      </c>
      <c r="AI241">
        <f>VLOOKUP(Table2[[#This Row],[Department]],Raw_2!A:C,3,0)</f>
        <v>20</v>
      </c>
    </row>
    <row r="242" spans="1:35">
      <c r="A242" t="s">
        <v>528</v>
      </c>
      <c r="B242" t="s">
        <v>529</v>
      </c>
      <c r="C242">
        <v>23</v>
      </c>
      <c r="E242" t="str">
        <f>IF(OR(Table2[[#This Row],[Gender]]="Male",Table2[[#This Row],[Gender]]="M"),"M",
IF(OR(Table2[[#This Row],[Gender]]="Female",Table2[[#This Row],[Gender]]="F"),"F",""))</f>
        <v/>
      </c>
      <c r="F242" t="s">
        <v>73</v>
      </c>
      <c r="G242" t="s">
        <v>18</v>
      </c>
      <c r="H242" t="s">
        <v>43</v>
      </c>
      <c r="I242" t="s">
        <v>1060</v>
      </c>
      <c r="J242" t="str">
        <f>IF(ISNUMBER(SEARCH("India",Table2[[#This Row],[Emp_Name]])),"INR",
IF(ISNUMBER(SEARCH("Foreign",Table2[[#This Row],[Emp_Name]])),Table2[[#This Row],[Currency]],Table2[[#This Row],[Currency]]))</f>
        <v>INR</v>
      </c>
      <c r="K242">
        <v>31000</v>
      </c>
      <c r="L242">
        <v>12</v>
      </c>
      <c r="M242">
        <f>IF(Table2[[#This Row],[Num_Month]]&lt;&gt;12,12,Table2[[#This Row],[Num_Month]])</f>
        <v>12</v>
      </c>
      <c r="N242">
        <f>IF(Table2[[#This Row],[Monthly_Salary]]="","",Table2[[#This Row],[Monthly_Salary]]*Table2[[#This Row],[Num_Month_Final]])</f>
        <v>372000</v>
      </c>
      <c r="O242">
        <v>2</v>
      </c>
      <c r="P242">
        <f>IF(Table2[[#This Row],[Exp_Years]]&lt;0,ABS(Table2[[#This Row],[Exp_Years]]),Table2[[#This Row],[Exp_Years]])</f>
        <v>2</v>
      </c>
      <c r="Q242">
        <v>1</v>
      </c>
      <c r="S242" t="str">
        <f>IF(Table2[[#This Row],[Performance_Rating]]&gt;=3,Table2[[#This Row],[Monthly_Salary]]*0.3,"")</f>
        <v/>
      </c>
      <c r="T242">
        <v>85</v>
      </c>
      <c r="U242">
        <v>12</v>
      </c>
      <c r="V242">
        <v>10</v>
      </c>
      <c r="W242" t="s">
        <v>37</v>
      </c>
      <c r="X242" t="s">
        <v>38</v>
      </c>
      <c r="Y242" t="str">
        <f>IF(Table2[[#This Row],[Work_Mode]]&lt;&gt;"",Table2[[#This Row],[Work_Mode]],
IF(ISNUMBER(SEARCH("India",Table2[[#This Row],[Emp_Name]])),"Office",
IF(ISNUMBER(SEARCH("Foreign",Table2[[#This Row],[Emp_Name]])),"Remote","")))</f>
        <v>Hybrid</v>
      </c>
      <c r="Z242">
        <v>20</v>
      </c>
      <c r="AA24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242" t="s">
        <v>39</v>
      </c>
      <c r="AC242" t="str">
        <f>IF(COUNTIF(Table2[Emp_ID],Table2[[#This Row],[Emp_ID]])&gt;1,"Duplicate","Unique")</f>
        <v>Unique</v>
      </c>
      <c r="AE242" s="2"/>
      <c r="AG242" t="str">
        <f>IF(Table2[[#This Row],[Monthly_Salary]]="","Exclude",
IF(Table2[[#This Row],[Row_Status]]="Mismatch","Exclude",
IF(AND(Table2[[#This Row],[Row_Status]]="Exact Duplicate",
COUNTIFS(Table2[Emp_ID],Table2[[#This Row],[Emp_ID]],Table2[Row_Concat],Table2[[#This Row],[Row_Concat]],
Table2[Row_Number],"&lt;"&amp;Table2[[#This Row],[Row_Number]])&gt;=1),"Delete","")))</f>
        <v/>
      </c>
      <c r="AH242" t="str">
        <f>VLOOKUP(Table2[[#This Row],[Department]],Raw_2!A:B,2,0)</f>
        <v>Day</v>
      </c>
      <c r="AI242">
        <f>VLOOKUP(Table2[[#This Row],[Department]],Raw_2!A:C,3,0)</f>
        <v>10</v>
      </c>
    </row>
    <row r="243" spans="1:35">
      <c r="A243" t="s">
        <v>530</v>
      </c>
      <c r="B243" t="s">
        <v>531</v>
      </c>
      <c r="C243">
        <v>25</v>
      </c>
      <c r="E243" t="str">
        <f>IF(OR(Table2[[#This Row],[Gender]]="Male",Table2[[#This Row],[Gender]]="M"),"M",
IF(OR(Table2[[#This Row],[Gender]]="Female",Table2[[#This Row],[Gender]]="F"),"F",""))</f>
        <v/>
      </c>
      <c r="F243" t="s">
        <v>73</v>
      </c>
      <c r="G243" t="s">
        <v>42</v>
      </c>
      <c r="H243" t="s">
        <v>43</v>
      </c>
      <c r="I243" t="s">
        <v>1060</v>
      </c>
      <c r="J243" t="str">
        <f>IF(ISNUMBER(SEARCH("India",Table2[[#This Row],[Emp_Name]])),"INR",
IF(ISNUMBER(SEARCH("Foreign",Table2[[#This Row],[Emp_Name]])),Table2[[#This Row],[Currency]],Table2[[#This Row],[Currency]]))</f>
        <v>INR</v>
      </c>
      <c r="K243">
        <v>31000</v>
      </c>
      <c r="L243">
        <v>12</v>
      </c>
      <c r="M243">
        <f>IF(Table2[[#This Row],[Num_Month]]&lt;&gt;12,12,Table2[[#This Row],[Num_Month]])</f>
        <v>12</v>
      </c>
      <c r="N243">
        <f>IF(Table2[[#This Row],[Monthly_Salary]]="","",Table2[[#This Row],[Monthly_Salary]]*Table2[[#This Row],[Num_Month_Final]])</f>
        <v>372000</v>
      </c>
      <c r="O243">
        <v>2</v>
      </c>
      <c r="P243">
        <f>IF(Table2[[#This Row],[Exp_Years]]&lt;0,ABS(Table2[[#This Row],[Exp_Years]]),Table2[[#This Row],[Exp_Years]])</f>
        <v>2</v>
      </c>
      <c r="Q243">
        <v>1</v>
      </c>
      <c r="S243" t="str">
        <f>IF(Table2[[#This Row],[Performance_Rating]]&gt;=3,Table2[[#This Row],[Monthly_Salary]]*0.3,"")</f>
        <v/>
      </c>
      <c r="T243">
        <v>95</v>
      </c>
      <c r="U243">
        <v>15</v>
      </c>
      <c r="V243">
        <v>5</v>
      </c>
      <c r="X243" t="s">
        <v>38</v>
      </c>
      <c r="Y243" t="str">
        <f>IF(Table2[[#This Row],[Work_Mode]]&lt;&gt;"",Table2[[#This Row],[Work_Mode]],
IF(ISNUMBER(SEARCH("India",Table2[[#This Row],[Emp_Name]])),"Office",
IF(ISNUMBER(SEARCH("Foreign",Table2[[#This Row],[Emp_Name]])),"Remote","")))</f>
        <v>Hybrid</v>
      </c>
      <c r="Z243">
        <v>10</v>
      </c>
      <c r="AA24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43" t="s">
        <v>39</v>
      </c>
      <c r="AC243" t="str">
        <f>IF(COUNTIF(Table2[Emp_ID],Table2[[#This Row],[Emp_ID]])&gt;1,"Duplicate","Unique")</f>
        <v>Unique</v>
      </c>
      <c r="AE243" s="2"/>
      <c r="AG243" t="str">
        <f>IF(Table2[[#This Row],[Monthly_Salary]]="","Exclude",
IF(Table2[[#This Row],[Row_Status]]="Mismatch","Exclude",
IF(AND(Table2[[#This Row],[Row_Status]]="Exact Duplicate",
COUNTIFS(Table2[Emp_ID],Table2[[#This Row],[Emp_ID]],Table2[Row_Concat],Table2[[#This Row],[Row_Concat]],
Table2[Row_Number],"&lt;"&amp;Table2[[#This Row],[Row_Number]])&gt;=1),"Delete","")))</f>
        <v/>
      </c>
      <c r="AH243" t="str">
        <f>VLOOKUP(Table2[[#This Row],[Department]],Raw_2!A:B,2,0)</f>
        <v>Day</v>
      </c>
      <c r="AI243">
        <f>VLOOKUP(Table2[[#This Row],[Department]],Raw_2!A:C,3,0)</f>
        <v>14</v>
      </c>
    </row>
    <row r="244" spans="1:35">
      <c r="A244" t="s">
        <v>532</v>
      </c>
      <c r="B244" t="s">
        <v>533</v>
      </c>
      <c r="C244">
        <v>47</v>
      </c>
      <c r="D244" t="s">
        <v>46</v>
      </c>
      <c r="E244" t="str">
        <f>IF(OR(Table2[[#This Row],[Gender]]="Male",Table2[[#This Row],[Gender]]="M"),"M",
IF(OR(Table2[[#This Row],[Gender]]="Female",Table2[[#This Row],[Gender]]="F"),"F",""))</f>
        <v>M</v>
      </c>
      <c r="F244" t="s">
        <v>26</v>
      </c>
      <c r="G244" t="s">
        <v>27</v>
      </c>
      <c r="H244" t="s">
        <v>1050</v>
      </c>
      <c r="I244" t="s">
        <v>1060</v>
      </c>
      <c r="J244" t="str">
        <f>IF(ISNUMBER(SEARCH("India",Table2[[#This Row],[Emp_Name]])),"INR",
IF(ISNUMBER(SEARCH("Foreign",Table2[[#This Row],[Emp_Name]])),Table2[[#This Row],[Currency]],Table2[[#This Row],[Currency]]))</f>
        <v>INR</v>
      </c>
      <c r="K244">
        <v>148000</v>
      </c>
      <c r="L244">
        <v>12</v>
      </c>
      <c r="M244">
        <f>IF(Table2[[#This Row],[Num_Month]]&lt;&gt;12,12,Table2[[#This Row],[Num_Month]])</f>
        <v>12</v>
      </c>
      <c r="N244">
        <f>IF(Table2[[#This Row],[Monthly_Salary]]="","",Table2[[#This Row],[Monthly_Salary]]*Table2[[#This Row],[Num_Month_Final]])</f>
        <v>1776000</v>
      </c>
      <c r="O244">
        <v>16</v>
      </c>
      <c r="P244">
        <f>IF(Table2[[#This Row],[Exp_Years]]&lt;0,ABS(Table2[[#This Row],[Exp_Years]]),Table2[[#This Row],[Exp_Years]])</f>
        <v>16</v>
      </c>
      <c r="Q244">
        <v>4</v>
      </c>
      <c r="R244">
        <v>59415</v>
      </c>
      <c r="S244">
        <f>IF(Table2[[#This Row],[Performance_Rating]]&gt;=3,Table2[[#This Row],[Monthly_Salary]]*0.3,"")</f>
        <v>44400</v>
      </c>
      <c r="T244">
        <v>80</v>
      </c>
      <c r="U244">
        <v>5</v>
      </c>
      <c r="V244">
        <v>2</v>
      </c>
      <c r="X244" t="s">
        <v>38</v>
      </c>
      <c r="Y244" t="str">
        <f>IF(Table2[[#This Row],[Work_Mode]]&lt;&gt;"",Table2[[#This Row],[Work_Mode]],
IF(ISNUMBER(SEARCH("India",Table2[[#This Row],[Emp_Name]])),"Office",
IF(ISNUMBER(SEARCH("Foreign",Table2[[#This Row],[Emp_Name]])),"Remote","")))</f>
        <v>Hybrid</v>
      </c>
      <c r="AA244"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244" t="s">
        <v>22</v>
      </c>
      <c r="AC244" t="str">
        <f>IF(COUNTIF(Table2[Emp_ID],Table2[[#This Row],[Emp_ID]])&gt;1,"Duplicate","Unique")</f>
        <v>Unique</v>
      </c>
      <c r="AE244" s="2"/>
      <c r="AG244" t="str">
        <f>IF(Table2[[#This Row],[Monthly_Salary]]="","Exclude",
IF(Table2[[#This Row],[Row_Status]]="Mismatch","Exclude",
IF(AND(Table2[[#This Row],[Row_Status]]="Exact Duplicate",
COUNTIFS(Table2[Emp_ID],Table2[[#This Row],[Emp_ID]],Table2[Row_Concat],Table2[[#This Row],[Row_Concat]],
Table2[Row_Number],"&lt;"&amp;Table2[[#This Row],[Row_Number]])&gt;=1),"Delete","")))</f>
        <v/>
      </c>
      <c r="AH244" t="str">
        <f>VLOOKUP(Table2[[#This Row],[Department]],Raw_2!A:B,2,0)</f>
        <v>Day</v>
      </c>
      <c r="AI244">
        <f>VLOOKUP(Table2[[#This Row],[Department]],Raw_2!A:C,3,0)</f>
        <v>12</v>
      </c>
    </row>
    <row r="245" spans="1:35">
      <c r="A245" t="s">
        <v>534</v>
      </c>
      <c r="B245" t="s">
        <v>535</v>
      </c>
      <c r="C245">
        <v>27</v>
      </c>
      <c r="D245" t="s">
        <v>34</v>
      </c>
      <c r="E245" t="str">
        <f>IF(OR(Table2[[#This Row],[Gender]]="Male",Table2[[#This Row],[Gender]]="M"),"M",
IF(OR(Table2[[#This Row],[Gender]]="Female",Table2[[#This Row],[Gender]]="F"),"F",""))</f>
        <v>F</v>
      </c>
      <c r="F245" t="s">
        <v>57</v>
      </c>
      <c r="G245" t="s">
        <v>36</v>
      </c>
      <c r="H245" t="s">
        <v>1048</v>
      </c>
      <c r="I245" t="s">
        <v>1060</v>
      </c>
      <c r="J245" t="str">
        <f>IF(ISNUMBER(SEARCH("India",Table2[[#This Row],[Emp_Name]])),"INR",
IF(ISNUMBER(SEARCH("Foreign",Table2[[#This Row],[Emp_Name]])),Table2[[#This Row],[Currency]],Table2[[#This Row],[Currency]]))</f>
        <v>INR</v>
      </c>
      <c r="K245">
        <v>68000</v>
      </c>
      <c r="L245">
        <v>12</v>
      </c>
      <c r="M245">
        <f>IF(Table2[[#This Row],[Num_Month]]&lt;&gt;12,12,Table2[[#This Row],[Num_Month]])</f>
        <v>12</v>
      </c>
      <c r="N245">
        <f>IF(Table2[[#This Row],[Monthly_Salary]]="","",Table2[[#This Row],[Monthly_Salary]]*Table2[[#This Row],[Num_Month_Final]])</f>
        <v>816000</v>
      </c>
      <c r="O245">
        <v>5</v>
      </c>
      <c r="P245">
        <f>IF(Table2[[#This Row],[Exp_Years]]&lt;0,ABS(Table2[[#This Row],[Exp_Years]]),Table2[[#This Row],[Exp_Years]])</f>
        <v>5</v>
      </c>
      <c r="Q245">
        <v>4</v>
      </c>
      <c r="R245">
        <v>24000</v>
      </c>
      <c r="S245">
        <f>IF(Table2[[#This Row],[Performance_Rating]]&gt;=3,Table2[[#This Row],[Monthly_Salary]]*0.3,"")</f>
        <v>20400</v>
      </c>
      <c r="T245">
        <v>88</v>
      </c>
      <c r="U245">
        <v>10</v>
      </c>
      <c r="V245">
        <v>5</v>
      </c>
      <c r="X245" t="s">
        <v>19</v>
      </c>
      <c r="Y245" t="str">
        <f>IF(Table2[[#This Row],[Work_Mode]]&lt;&gt;"",Table2[[#This Row],[Work_Mode]],
IF(ISNUMBER(SEARCH("India",Table2[[#This Row],[Emp_Name]])),"Office",
IF(ISNUMBER(SEARCH("Foreign",Table2[[#This Row],[Emp_Name]])),"Remote","")))</f>
        <v>Office</v>
      </c>
      <c r="Z245">
        <v>20</v>
      </c>
      <c r="AA24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245" t="s">
        <v>22</v>
      </c>
      <c r="AC245" t="str">
        <f>IF(COUNTIF(Table2[Emp_ID],Table2[[#This Row],[Emp_ID]])&gt;1,"Duplicate","Unique")</f>
        <v>Unique</v>
      </c>
      <c r="AE245" s="2"/>
      <c r="AG245" t="str">
        <f>IF(Table2[[#This Row],[Monthly_Salary]]="","Exclude",
IF(Table2[[#This Row],[Row_Status]]="Mismatch","Exclude",
IF(AND(Table2[[#This Row],[Row_Status]]="Exact Duplicate",
COUNTIFS(Table2[Emp_ID],Table2[[#This Row],[Emp_ID]],Table2[Row_Concat],Table2[[#This Row],[Row_Concat]],
Table2[Row_Number],"&lt;"&amp;Table2[[#This Row],[Row_Number]])&gt;=1),"Delete","")))</f>
        <v/>
      </c>
      <c r="AH245" t="str">
        <f>VLOOKUP(Table2[[#This Row],[Department]],Raw_2!A:B,2,0)</f>
        <v>Day</v>
      </c>
      <c r="AI245">
        <f>VLOOKUP(Table2[[#This Row],[Department]],Raw_2!A:C,3,0)</f>
        <v>25</v>
      </c>
    </row>
    <row r="246" spans="1:35">
      <c r="A246" t="s">
        <v>536</v>
      </c>
      <c r="B246" t="s">
        <v>537</v>
      </c>
      <c r="C246">
        <v>40</v>
      </c>
      <c r="D246" t="s">
        <v>46</v>
      </c>
      <c r="E246" t="str">
        <f>IF(OR(Table2[[#This Row],[Gender]]="Male",Table2[[#This Row],[Gender]]="M"),"M",
IF(OR(Table2[[#This Row],[Gender]]="Female",Table2[[#This Row],[Gender]]="F"),"F",""))</f>
        <v>M</v>
      </c>
      <c r="F246" t="s">
        <v>35</v>
      </c>
      <c r="G246" t="s">
        <v>42</v>
      </c>
      <c r="H246" t="s">
        <v>1045</v>
      </c>
      <c r="I246" t="s">
        <v>1060</v>
      </c>
      <c r="J246" t="str">
        <f>IF(ISNUMBER(SEARCH("India",Table2[[#This Row],[Emp_Name]])),"INR",
IF(ISNUMBER(SEARCH("Foreign",Table2[[#This Row],[Emp_Name]])),Table2[[#This Row],[Currency]],Table2[[#This Row],[Currency]]))</f>
        <v>INR</v>
      </c>
      <c r="K246">
        <v>78000</v>
      </c>
      <c r="L246">
        <v>12</v>
      </c>
      <c r="M246">
        <f>IF(Table2[[#This Row],[Num_Month]]&lt;&gt;12,12,Table2[[#This Row],[Num_Month]])</f>
        <v>12</v>
      </c>
      <c r="N246">
        <f>IF(Table2[[#This Row],[Monthly_Salary]]="","",Table2[[#This Row],[Monthly_Salary]]*Table2[[#This Row],[Num_Month_Final]])</f>
        <v>936000</v>
      </c>
      <c r="O246">
        <v>7</v>
      </c>
      <c r="P246">
        <f>IF(Table2[[#This Row],[Exp_Years]]&lt;0,ABS(Table2[[#This Row],[Exp_Years]]),Table2[[#This Row],[Exp_Years]])</f>
        <v>7</v>
      </c>
      <c r="Q246">
        <v>4</v>
      </c>
      <c r="R246">
        <v>10871</v>
      </c>
      <c r="S246">
        <f>IF(Table2[[#This Row],[Performance_Rating]]&gt;=3,Table2[[#This Row],[Monthly_Salary]]*0.3,"")</f>
        <v>23400</v>
      </c>
      <c r="T246">
        <v>85</v>
      </c>
      <c r="U246">
        <v>12</v>
      </c>
      <c r="V246">
        <v>1</v>
      </c>
      <c r="X246" t="s">
        <v>38</v>
      </c>
      <c r="Y246" t="str">
        <f>IF(Table2[[#This Row],[Work_Mode]]&lt;&gt;"",Table2[[#This Row],[Work_Mode]],
IF(ISNUMBER(SEARCH("India",Table2[[#This Row],[Emp_Name]])),"Office",
IF(ISNUMBER(SEARCH("Foreign",Table2[[#This Row],[Emp_Name]])),"Remote","")))</f>
        <v>Hybrid</v>
      </c>
      <c r="Z246">
        <v>5</v>
      </c>
      <c r="AA24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246" t="s">
        <v>22</v>
      </c>
      <c r="AC246" t="str">
        <f>IF(COUNTIF(Table2[Emp_ID],Table2[[#This Row],[Emp_ID]])&gt;1,"Duplicate","Unique")</f>
        <v>Unique</v>
      </c>
      <c r="AE246" s="2"/>
      <c r="AG246" t="str">
        <f>IF(Table2[[#This Row],[Monthly_Salary]]="","Exclude",
IF(Table2[[#This Row],[Row_Status]]="Mismatch","Exclude",
IF(AND(Table2[[#This Row],[Row_Status]]="Exact Duplicate",
COUNTIFS(Table2[Emp_ID],Table2[[#This Row],[Emp_ID]],Table2[Row_Concat],Table2[[#This Row],[Row_Concat]],
Table2[Row_Number],"&lt;"&amp;Table2[[#This Row],[Row_Number]])&gt;=1),"Delete","")))</f>
        <v/>
      </c>
      <c r="AH246" t="str">
        <f>VLOOKUP(Table2[[#This Row],[Department]],Raw_2!A:B,2,0)</f>
        <v>Day</v>
      </c>
      <c r="AI246">
        <f>VLOOKUP(Table2[[#This Row],[Department]],Raw_2!A:C,3,0)</f>
        <v>14</v>
      </c>
    </row>
    <row r="247" spans="1:35">
      <c r="A247" t="s">
        <v>538</v>
      </c>
      <c r="B247" t="s">
        <v>539</v>
      </c>
      <c r="C247">
        <v>25</v>
      </c>
      <c r="E247" t="str">
        <f>IF(OR(Table2[[#This Row],[Gender]]="Male",Table2[[#This Row],[Gender]]="M"),"M",
IF(OR(Table2[[#This Row],[Gender]]="Female",Table2[[#This Row],[Gender]]="F"),"F",""))</f>
        <v/>
      </c>
      <c r="F247" t="s">
        <v>73</v>
      </c>
      <c r="G247" t="s">
        <v>27</v>
      </c>
      <c r="H247" t="s">
        <v>43</v>
      </c>
      <c r="I247" t="s">
        <v>1060</v>
      </c>
      <c r="J247" t="str">
        <f>IF(ISNUMBER(SEARCH("India",Table2[[#This Row],[Emp_Name]])),"INR",
IF(ISNUMBER(SEARCH("Foreign",Table2[[#This Row],[Emp_Name]])),Table2[[#This Row],[Currency]],Table2[[#This Row],[Currency]]))</f>
        <v>INR</v>
      </c>
      <c r="K247">
        <v>31000</v>
      </c>
      <c r="L247">
        <v>12</v>
      </c>
      <c r="M247">
        <f>IF(Table2[[#This Row],[Num_Month]]&lt;&gt;12,12,Table2[[#This Row],[Num_Month]])</f>
        <v>12</v>
      </c>
      <c r="N247">
        <f>IF(Table2[[#This Row],[Monthly_Salary]]="","",Table2[[#This Row],[Monthly_Salary]]*Table2[[#This Row],[Num_Month_Final]])</f>
        <v>372000</v>
      </c>
      <c r="O247">
        <v>2</v>
      </c>
      <c r="P247">
        <f>IF(Table2[[#This Row],[Exp_Years]]&lt;0,ABS(Table2[[#This Row],[Exp_Years]]),Table2[[#This Row],[Exp_Years]])</f>
        <v>2</v>
      </c>
      <c r="Q247">
        <v>1</v>
      </c>
      <c r="S247" t="str">
        <f>IF(Table2[[#This Row],[Performance_Rating]]&gt;=3,Table2[[#This Row],[Monthly_Salary]]*0.3,"")</f>
        <v/>
      </c>
      <c r="T247">
        <v>85</v>
      </c>
      <c r="U247">
        <v>12</v>
      </c>
      <c r="V247">
        <v>3</v>
      </c>
      <c r="X247" t="s">
        <v>38</v>
      </c>
      <c r="Y247" t="str">
        <f>IF(Table2[[#This Row],[Work_Mode]]&lt;&gt;"",Table2[[#This Row],[Work_Mode]],
IF(ISNUMBER(SEARCH("India",Table2[[#This Row],[Emp_Name]])),"Office",
IF(ISNUMBER(SEARCH("Foreign",Table2[[#This Row],[Emp_Name]])),"Remote","")))</f>
        <v>Hybrid</v>
      </c>
      <c r="Z247">
        <v>10</v>
      </c>
      <c r="AA24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47" t="s">
        <v>39</v>
      </c>
      <c r="AC247" t="str">
        <f>IF(COUNTIF(Table2[Emp_ID],Table2[[#This Row],[Emp_ID]])&gt;1,"Duplicate","Unique")</f>
        <v>Unique</v>
      </c>
      <c r="AE247" s="2"/>
      <c r="AG247" t="str">
        <f>IF(Table2[[#This Row],[Monthly_Salary]]="","Exclude",
IF(Table2[[#This Row],[Row_Status]]="Mismatch","Exclude",
IF(AND(Table2[[#This Row],[Row_Status]]="Exact Duplicate",
COUNTIFS(Table2[Emp_ID],Table2[[#This Row],[Emp_ID]],Table2[Row_Concat],Table2[[#This Row],[Row_Concat]],
Table2[Row_Number],"&lt;"&amp;Table2[[#This Row],[Row_Number]])&gt;=1),"Delete","")))</f>
        <v/>
      </c>
      <c r="AH247" t="str">
        <f>VLOOKUP(Table2[[#This Row],[Department]],Raw_2!A:B,2,0)</f>
        <v>Day</v>
      </c>
      <c r="AI247">
        <f>VLOOKUP(Table2[[#This Row],[Department]],Raw_2!A:C,3,0)</f>
        <v>12</v>
      </c>
    </row>
    <row r="248" spans="1:35">
      <c r="A248" t="s">
        <v>540</v>
      </c>
      <c r="B248" t="s">
        <v>541</v>
      </c>
      <c r="C248">
        <v>33</v>
      </c>
      <c r="D248" t="s">
        <v>25</v>
      </c>
      <c r="E248" t="str">
        <f>IF(OR(Table2[[#This Row],[Gender]]="Male",Table2[[#This Row],[Gender]]="M"),"M",
IF(OR(Table2[[#This Row],[Gender]]="Female",Table2[[#This Row],[Gender]]="F"),"F",""))</f>
        <v>F</v>
      </c>
      <c r="F248" t="s">
        <v>57</v>
      </c>
      <c r="G248" t="s">
        <v>31</v>
      </c>
      <c r="H248" t="s">
        <v>82</v>
      </c>
      <c r="I248" t="s">
        <v>1060</v>
      </c>
      <c r="J248" t="str">
        <f>IF(ISNUMBER(SEARCH("India",Table2[[#This Row],[Emp_Name]])),"INR",
IF(ISNUMBER(SEARCH("Foreign",Table2[[#This Row],[Emp_Name]])),Table2[[#This Row],[Currency]],Table2[[#This Row],[Currency]]))</f>
        <v>INR</v>
      </c>
      <c r="K248">
        <v>89000</v>
      </c>
      <c r="L248">
        <v>12</v>
      </c>
      <c r="M248">
        <f>IF(Table2[[#This Row],[Num_Month]]&lt;&gt;12,12,Table2[[#This Row],[Num_Month]])</f>
        <v>12</v>
      </c>
      <c r="N248">
        <f>IF(Table2[[#This Row],[Monthly_Salary]]="","",Table2[[#This Row],[Monthly_Salary]]*Table2[[#This Row],[Num_Month_Final]])</f>
        <v>1068000</v>
      </c>
      <c r="O248">
        <v>6</v>
      </c>
      <c r="P248">
        <f>IF(Table2[[#This Row],[Exp_Years]]&lt;0,ABS(Table2[[#This Row],[Exp_Years]]),Table2[[#This Row],[Exp_Years]])</f>
        <v>6</v>
      </c>
      <c r="Q248">
        <v>3</v>
      </c>
      <c r="R248">
        <v>27000</v>
      </c>
      <c r="S248">
        <f>IF(Table2[[#This Row],[Performance_Rating]]&gt;=3,Table2[[#This Row],[Monthly_Salary]]*0.3,"")</f>
        <v>26700</v>
      </c>
      <c r="T248">
        <v>90</v>
      </c>
      <c r="U248">
        <v>15</v>
      </c>
      <c r="V248">
        <v>1</v>
      </c>
      <c r="W248" t="s">
        <v>37</v>
      </c>
      <c r="X248" t="s">
        <v>38</v>
      </c>
      <c r="Y248" t="str">
        <f>IF(Table2[[#This Row],[Work_Mode]]&lt;&gt;"",Table2[[#This Row],[Work_Mode]],
IF(ISNUMBER(SEARCH("India",Table2[[#This Row],[Emp_Name]])),"Office",
IF(ISNUMBER(SEARCH("Foreign",Table2[[#This Row],[Emp_Name]])),"Remote","")))</f>
        <v>Hybrid</v>
      </c>
      <c r="Z248">
        <v>10</v>
      </c>
      <c r="AA24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3500</v>
      </c>
      <c r="AB248" t="s">
        <v>22</v>
      </c>
      <c r="AC248" t="str">
        <f>IF(COUNTIF(Table2[Emp_ID],Table2[[#This Row],[Emp_ID]])&gt;1,"Duplicate","Unique")</f>
        <v>Unique</v>
      </c>
      <c r="AE248" s="2"/>
      <c r="AG248" t="str">
        <f>IF(Table2[[#This Row],[Monthly_Salary]]="","Exclude",
IF(Table2[[#This Row],[Row_Status]]="Mismatch","Exclude",
IF(AND(Table2[[#This Row],[Row_Status]]="Exact Duplicate",
COUNTIFS(Table2[Emp_ID],Table2[[#This Row],[Emp_ID]],Table2[Row_Concat],Table2[[#This Row],[Row_Concat]],
Table2[Row_Number],"&lt;"&amp;Table2[[#This Row],[Row_Number]])&gt;=1),"Delete","")))</f>
        <v/>
      </c>
      <c r="AH248" t="str">
        <f>VLOOKUP(Table2[[#This Row],[Department]],Raw_2!A:B,2,0)</f>
        <v>Night</v>
      </c>
      <c r="AI248">
        <f>VLOOKUP(Table2[[#This Row],[Department]],Raw_2!A:C,3,0)</f>
        <v>13</v>
      </c>
    </row>
    <row r="249" spans="1:35">
      <c r="A249" t="s">
        <v>542</v>
      </c>
      <c r="B249" t="s">
        <v>359</v>
      </c>
      <c r="C249">
        <v>25</v>
      </c>
      <c r="D249" t="s">
        <v>46</v>
      </c>
      <c r="E249" t="str">
        <f>IF(OR(Table2[[#This Row],[Gender]]="Male",Table2[[#This Row],[Gender]]="M"),"M",
IF(OR(Table2[[#This Row],[Gender]]="Female",Table2[[#This Row],[Gender]]="F"),"F",""))</f>
        <v>M</v>
      </c>
      <c r="F249" t="s">
        <v>47</v>
      </c>
      <c r="G249" t="s">
        <v>42</v>
      </c>
      <c r="H249" t="s">
        <v>43</v>
      </c>
      <c r="I249" t="s">
        <v>1060</v>
      </c>
      <c r="J249" t="str">
        <f>IF(ISNUMBER(SEARCH("India",Table2[[#This Row],[Emp_Name]])),"INR",
IF(ISNUMBER(SEARCH("Foreign",Table2[[#This Row],[Emp_Name]])),Table2[[#This Row],[Currency]],Table2[[#This Row],[Currency]]))</f>
        <v>INR</v>
      </c>
      <c r="K249">
        <v>24000</v>
      </c>
      <c r="L249">
        <v>12</v>
      </c>
      <c r="M249">
        <f>IF(Table2[[#This Row],[Num_Month]]&lt;&gt;12,12,Table2[[#This Row],[Num_Month]])</f>
        <v>12</v>
      </c>
      <c r="N249">
        <f>IF(Table2[[#This Row],[Monthly_Salary]]="","",Table2[[#This Row],[Monthly_Salary]]*Table2[[#This Row],[Num_Month_Final]])</f>
        <v>288000</v>
      </c>
      <c r="O249">
        <v>1</v>
      </c>
      <c r="P249">
        <f>IF(Table2[[#This Row],[Exp_Years]]&lt;0,ABS(Table2[[#This Row],[Exp_Years]]),Table2[[#This Row],[Exp_Years]])</f>
        <v>1</v>
      </c>
      <c r="Q249">
        <v>1</v>
      </c>
      <c r="S249" t="str">
        <f>IF(Table2[[#This Row],[Performance_Rating]]&gt;=3,Table2[[#This Row],[Monthly_Salary]]*0.3,"")</f>
        <v/>
      </c>
      <c r="T249">
        <v>95</v>
      </c>
      <c r="U249">
        <v>12</v>
      </c>
      <c r="V249">
        <v>4</v>
      </c>
      <c r="W249" t="s">
        <v>37</v>
      </c>
      <c r="X249" t="s">
        <v>38</v>
      </c>
      <c r="Y249" t="str">
        <f>IF(Table2[[#This Row],[Work_Mode]]&lt;&gt;"",Table2[[#This Row],[Work_Mode]],
IF(ISNUMBER(SEARCH("India",Table2[[#This Row],[Emp_Name]])),"Office",
IF(ISNUMBER(SEARCH("Foreign",Table2[[#This Row],[Emp_Name]])),"Remote","")))</f>
        <v>Hybrid</v>
      </c>
      <c r="Z249">
        <v>10</v>
      </c>
      <c r="AA24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49" t="s">
        <v>39</v>
      </c>
      <c r="AC249" t="str">
        <f>IF(COUNTIF(Table2[Emp_ID],Table2[[#This Row],[Emp_ID]])&gt;1,"Duplicate","Unique")</f>
        <v>Duplicate</v>
      </c>
      <c r="AD249" t="str">
        <f>_xlfn.TEXTJOIN("|",TRUE,Table2[[#This Row],[Emp_ID]:[Salary_Band]])</f>
        <v>ZOM1108|Employee_342_India|25|M|M|Gurugram|Operations|Analyst|INR|INR|24000|12|12|288000|1|1|1|95|12|4|Yes|Hybrid|Hybrid|10|2500|Low</v>
      </c>
      <c r="AE249" s="2" t="str">
        <f>IF(COUNTIFS(Table2[Emp_ID],Table2[[#This Row],[Emp_ID]],Table2[Row_Concat],Table2[[#This Row],[Row_Concat]])&gt;1,"Exact Duplicate",
IF(COUNTIF(Table2[Emp_ID],Table2[[#This Row],[Emp_ID]])&gt;1,"Mismatch","Unique"))</f>
        <v>Mismatch</v>
      </c>
      <c r="AF249">
        <f>ROW()</f>
        <v>249</v>
      </c>
      <c r="AG249" t="str">
        <f>IF(Table2[[#This Row],[Monthly_Salary]]="","Exclude",
IF(Table2[[#This Row],[Row_Status]]="Mismatch","Exclude",
IF(AND(Table2[[#This Row],[Row_Status]]="Exact Duplicate",
COUNTIFS(Table2[Emp_ID],Table2[[#This Row],[Emp_ID]],Table2[Row_Concat],Table2[[#This Row],[Row_Concat]],
Table2[Row_Number],"&lt;"&amp;Table2[[#This Row],[Row_Number]])&gt;=1),"Delete","")))</f>
        <v>Exclude</v>
      </c>
      <c r="AH249" t="str">
        <f>VLOOKUP(Table2[[#This Row],[Department]],Raw_2!A:B,2,0)</f>
        <v>Day</v>
      </c>
      <c r="AI249">
        <f>VLOOKUP(Table2[[#This Row],[Department]],Raw_2!A:C,3,0)</f>
        <v>14</v>
      </c>
    </row>
    <row r="250" spans="1:35">
      <c r="A250" t="s">
        <v>543</v>
      </c>
      <c r="B250" t="s">
        <v>544</v>
      </c>
      <c r="C250">
        <v>19</v>
      </c>
      <c r="D250" t="s">
        <v>16</v>
      </c>
      <c r="E250" t="str">
        <f>IF(OR(Table2[[#This Row],[Gender]]="Male",Table2[[#This Row],[Gender]]="M"),"M",
IF(OR(Table2[[#This Row],[Gender]]="Female",Table2[[#This Row],[Gender]]="F"),"F",""))</f>
        <v>M</v>
      </c>
      <c r="F250" t="s">
        <v>50</v>
      </c>
      <c r="G250" t="s">
        <v>31</v>
      </c>
      <c r="H250" t="s">
        <v>1047</v>
      </c>
      <c r="I250" t="s">
        <v>1060</v>
      </c>
      <c r="J250" t="str">
        <f>IF(ISNUMBER(SEARCH("India",Table2[[#This Row],[Emp_Name]])),"INR",
IF(ISNUMBER(SEARCH("Foreign",Table2[[#This Row],[Emp_Name]])),Table2[[#This Row],[Currency]],Table2[[#This Row],[Currency]]))</f>
        <v>INR</v>
      </c>
      <c r="K250">
        <v>9000</v>
      </c>
      <c r="L250">
        <v>12</v>
      </c>
      <c r="M250">
        <f>IF(Table2[[#This Row],[Num_Month]]&lt;&gt;12,12,Table2[[#This Row],[Num_Month]])</f>
        <v>12</v>
      </c>
      <c r="N250">
        <f>IF(Table2[[#This Row],[Monthly_Salary]]="","",Table2[[#This Row],[Monthly_Salary]]*Table2[[#This Row],[Num_Month_Final]])</f>
        <v>108000</v>
      </c>
      <c r="O250">
        <v>1</v>
      </c>
      <c r="P250">
        <f>IF(Table2[[#This Row],[Exp_Years]]&lt;0,ABS(Table2[[#This Row],[Exp_Years]]),Table2[[#This Row],[Exp_Years]])</f>
        <v>1</v>
      </c>
      <c r="Q250">
        <v>1</v>
      </c>
      <c r="S250" t="str">
        <f>IF(Table2[[#This Row],[Performance_Rating]]&gt;=3,Table2[[#This Row],[Monthly_Salary]]*0.3,"")</f>
        <v/>
      </c>
      <c r="T250">
        <v>90</v>
      </c>
      <c r="U250">
        <v>10</v>
      </c>
      <c r="V250">
        <v>2</v>
      </c>
      <c r="W250" t="s">
        <v>21</v>
      </c>
      <c r="X250" t="s">
        <v>19</v>
      </c>
      <c r="Y250" t="str">
        <f>IF(Table2[[#This Row],[Work_Mode]]&lt;&gt;"",Table2[[#This Row],[Work_Mode]],
IF(ISNUMBER(SEARCH("India",Table2[[#This Row],[Emp_Name]])),"Office",
IF(ISNUMBER(SEARCH("Foreign",Table2[[#This Row],[Emp_Name]])),"Remote","")))</f>
        <v>Office</v>
      </c>
      <c r="AA25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50" t="s">
        <v>39</v>
      </c>
      <c r="AC250" t="str">
        <f>IF(COUNTIF(Table2[Emp_ID],Table2[[#This Row],[Emp_ID]])&gt;1,"Duplicate","Unique")</f>
        <v>Unique</v>
      </c>
      <c r="AE250" s="2"/>
      <c r="AG250" t="str">
        <f>IF(Table2[[#This Row],[Monthly_Salary]]="","Exclude",
IF(Table2[[#This Row],[Row_Status]]="Mismatch","Exclude",
IF(AND(Table2[[#This Row],[Row_Status]]="Exact Duplicate",
COUNTIFS(Table2[Emp_ID],Table2[[#This Row],[Emp_ID]],Table2[Row_Concat],Table2[[#This Row],[Row_Concat]],
Table2[Row_Number],"&lt;"&amp;Table2[[#This Row],[Row_Number]])&gt;=1),"Delete","")))</f>
        <v/>
      </c>
      <c r="AH250" t="str">
        <f>VLOOKUP(Table2[[#This Row],[Department]],Raw_2!A:B,2,0)</f>
        <v>Night</v>
      </c>
      <c r="AI250">
        <f>VLOOKUP(Table2[[#This Row],[Department]],Raw_2!A:C,3,0)</f>
        <v>13</v>
      </c>
    </row>
    <row r="251" spans="1:35">
      <c r="A251" t="s">
        <v>545</v>
      </c>
      <c r="B251" t="s">
        <v>546</v>
      </c>
      <c r="C251">
        <v>24</v>
      </c>
      <c r="D251" t="s">
        <v>46</v>
      </c>
      <c r="E251" t="str">
        <f>IF(OR(Table2[[#This Row],[Gender]]="Male",Table2[[#This Row],[Gender]]="M"),"M",
IF(OR(Table2[[#This Row],[Gender]]="Female",Table2[[#This Row],[Gender]]="F"),"F",""))</f>
        <v>M</v>
      </c>
      <c r="F251" t="s">
        <v>17</v>
      </c>
      <c r="G251" t="s">
        <v>27</v>
      </c>
      <c r="H251" t="s">
        <v>43</v>
      </c>
      <c r="I251" t="s">
        <v>1060</v>
      </c>
      <c r="J251" t="str">
        <f>IF(ISNUMBER(SEARCH("India",Table2[[#This Row],[Emp_Name]])),"INR",
IF(ISNUMBER(SEARCH("Foreign",Table2[[#This Row],[Emp_Name]])),Table2[[#This Row],[Currency]],Table2[[#This Row],[Currency]]))</f>
        <v>INR</v>
      </c>
      <c r="K251">
        <v>24000</v>
      </c>
      <c r="L251">
        <v>12</v>
      </c>
      <c r="M251">
        <f>IF(Table2[[#This Row],[Num_Month]]&lt;&gt;12,12,Table2[[#This Row],[Num_Month]])</f>
        <v>12</v>
      </c>
      <c r="N251">
        <f>IF(Table2[[#This Row],[Monthly_Salary]]="","",Table2[[#This Row],[Monthly_Salary]]*Table2[[#This Row],[Num_Month_Final]])</f>
        <v>288000</v>
      </c>
      <c r="O251">
        <v>1</v>
      </c>
      <c r="P251">
        <f>IF(Table2[[#This Row],[Exp_Years]]&lt;0,ABS(Table2[[#This Row],[Exp_Years]]),Table2[[#This Row],[Exp_Years]])</f>
        <v>1</v>
      </c>
      <c r="Q251">
        <v>4</v>
      </c>
      <c r="R251">
        <v>16000</v>
      </c>
      <c r="S251">
        <f>IF(Table2[[#This Row],[Performance_Rating]]&gt;=3,Table2[[#This Row],[Monthly_Salary]]*0.3,"")</f>
        <v>7200</v>
      </c>
      <c r="T251">
        <v>80</v>
      </c>
      <c r="U251">
        <v>15</v>
      </c>
      <c r="V251">
        <v>5</v>
      </c>
      <c r="W251" t="s">
        <v>37</v>
      </c>
      <c r="X251" t="s">
        <v>19</v>
      </c>
      <c r="Y251" t="str">
        <f>IF(Table2[[#This Row],[Work_Mode]]&lt;&gt;"",Table2[[#This Row],[Work_Mode]],
IF(ISNUMBER(SEARCH("India",Table2[[#This Row],[Emp_Name]])),"Office",
IF(ISNUMBER(SEARCH("Foreign",Table2[[#This Row],[Emp_Name]])),"Remote","")))</f>
        <v>Office</v>
      </c>
      <c r="AA25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51" t="s">
        <v>22</v>
      </c>
      <c r="AC251" t="str">
        <f>IF(COUNTIF(Table2[Emp_ID],Table2[[#This Row],[Emp_ID]])&gt;1,"Duplicate","Unique")</f>
        <v>Unique</v>
      </c>
      <c r="AE251" s="2"/>
      <c r="AG251" t="str">
        <f>IF(Table2[[#This Row],[Monthly_Salary]]="","Exclude",
IF(Table2[[#This Row],[Row_Status]]="Mismatch","Exclude",
IF(AND(Table2[[#This Row],[Row_Status]]="Exact Duplicate",
COUNTIFS(Table2[Emp_ID],Table2[[#This Row],[Emp_ID]],Table2[Row_Concat],Table2[[#This Row],[Row_Concat]],
Table2[Row_Number],"&lt;"&amp;Table2[[#This Row],[Row_Number]])&gt;=1),"Delete","")))</f>
        <v/>
      </c>
      <c r="AH251" t="str">
        <f>VLOOKUP(Table2[[#This Row],[Department]],Raw_2!A:B,2,0)</f>
        <v>Day</v>
      </c>
      <c r="AI251">
        <f>VLOOKUP(Table2[[#This Row],[Department]],Raw_2!A:C,3,0)</f>
        <v>12</v>
      </c>
    </row>
    <row r="252" spans="1:35">
      <c r="A252" t="s">
        <v>547</v>
      </c>
      <c r="B252" t="s">
        <v>548</v>
      </c>
      <c r="C252">
        <v>25</v>
      </c>
      <c r="E252" t="str">
        <f>IF(OR(Table2[[#This Row],[Gender]]="Male",Table2[[#This Row],[Gender]]="M"),"M",
IF(OR(Table2[[#This Row],[Gender]]="Female",Table2[[#This Row],[Gender]]="F"),"F",""))</f>
        <v/>
      </c>
      <c r="F252" t="s">
        <v>61</v>
      </c>
      <c r="G252" t="s">
        <v>36</v>
      </c>
      <c r="H252" t="s">
        <v>43</v>
      </c>
      <c r="I252" t="s">
        <v>1060</v>
      </c>
      <c r="J252" t="str">
        <f>IF(ISNUMBER(SEARCH("India",Table2[[#This Row],[Emp_Name]])),"INR",
IF(ISNUMBER(SEARCH("Foreign",Table2[[#This Row],[Emp_Name]])),Table2[[#This Row],[Currency]],Table2[[#This Row],[Currency]]))</f>
        <v>INR</v>
      </c>
      <c r="K252">
        <v>31000</v>
      </c>
      <c r="L252">
        <v>12</v>
      </c>
      <c r="M252">
        <f>IF(Table2[[#This Row],[Num_Month]]&lt;&gt;12,12,Table2[[#This Row],[Num_Month]])</f>
        <v>12</v>
      </c>
      <c r="N252">
        <f>IF(Table2[[#This Row],[Monthly_Salary]]="","",Table2[[#This Row],[Monthly_Salary]]*Table2[[#This Row],[Num_Month_Final]])</f>
        <v>372000</v>
      </c>
      <c r="O252">
        <v>2</v>
      </c>
      <c r="P252">
        <f>IF(Table2[[#This Row],[Exp_Years]]&lt;0,ABS(Table2[[#This Row],[Exp_Years]]),Table2[[#This Row],[Exp_Years]])</f>
        <v>2</v>
      </c>
      <c r="Q252">
        <v>3</v>
      </c>
      <c r="R252">
        <v>13400</v>
      </c>
      <c r="S252">
        <f>IF(Table2[[#This Row],[Performance_Rating]]&gt;=3,Table2[[#This Row],[Monthly_Salary]]*0.3,"")</f>
        <v>9300</v>
      </c>
      <c r="T252">
        <v>95</v>
      </c>
      <c r="U252">
        <v>15</v>
      </c>
      <c r="V252">
        <v>11</v>
      </c>
      <c r="W252" t="s">
        <v>37</v>
      </c>
      <c r="X252" t="s">
        <v>38</v>
      </c>
      <c r="Y252" t="str">
        <f>IF(Table2[[#This Row],[Work_Mode]]&lt;&gt;"",Table2[[#This Row],[Work_Mode]],
IF(ISNUMBER(SEARCH("India",Table2[[#This Row],[Emp_Name]])),"Office",
IF(ISNUMBER(SEARCH("Foreign",Table2[[#This Row],[Emp_Name]])),"Remote","")))</f>
        <v>Hybrid</v>
      </c>
      <c r="AA25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52" t="s">
        <v>22</v>
      </c>
      <c r="AC252" t="str">
        <f>IF(COUNTIF(Table2[Emp_ID],Table2[[#This Row],[Emp_ID]])&gt;1,"Duplicate","Unique")</f>
        <v>Unique</v>
      </c>
      <c r="AE252" s="2"/>
      <c r="AG252" t="str">
        <f>IF(Table2[[#This Row],[Monthly_Salary]]="","Exclude",
IF(Table2[[#This Row],[Row_Status]]="Mismatch","Exclude",
IF(AND(Table2[[#This Row],[Row_Status]]="Exact Duplicate",
COUNTIFS(Table2[Emp_ID],Table2[[#This Row],[Emp_ID]],Table2[Row_Concat],Table2[[#This Row],[Row_Concat]],
Table2[Row_Number],"&lt;"&amp;Table2[[#This Row],[Row_Number]])&gt;=1),"Delete","")))</f>
        <v/>
      </c>
      <c r="AH252" t="str">
        <f>VLOOKUP(Table2[[#This Row],[Department]],Raw_2!A:B,2,0)</f>
        <v>Day</v>
      </c>
      <c r="AI252">
        <f>VLOOKUP(Table2[[#This Row],[Department]],Raw_2!A:C,3,0)</f>
        <v>25</v>
      </c>
    </row>
    <row r="253" spans="1:35">
      <c r="A253" t="s">
        <v>549</v>
      </c>
      <c r="B253" t="s">
        <v>550</v>
      </c>
      <c r="C253">
        <v>23</v>
      </c>
      <c r="D253" t="s">
        <v>34</v>
      </c>
      <c r="E253" t="str">
        <f>IF(OR(Table2[[#This Row],[Gender]]="Male",Table2[[#This Row],[Gender]]="M"),"M",
IF(OR(Table2[[#This Row],[Gender]]="Female",Table2[[#This Row],[Gender]]="F"),"F",""))</f>
        <v>F</v>
      </c>
      <c r="F253" t="s">
        <v>57</v>
      </c>
      <c r="G253" t="s">
        <v>18</v>
      </c>
      <c r="H253" t="s">
        <v>43</v>
      </c>
      <c r="I253" t="s">
        <v>1060</v>
      </c>
      <c r="J253" t="str">
        <f>IF(ISNUMBER(SEARCH("India",Table2[[#This Row],[Emp_Name]])),"INR",
IF(ISNUMBER(SEARCH("Foreign",Table2[[#This Row],[Emp_Name]])),Table2[[#This Row],[Currency]],Table2[[#This Row],[Currency]]))</f>
        <v>INR</v>
      </c>
      <c r="K253">
        <v>28000</v>
      </c>
      <c r="L253">
        <v>12</v>
      </c>
      <c r="M253">
        <f>IF(Table2[[#This Row],[Num_Month]]&lt;&gt;12,12,Table2[[#This Row],[Num_Month]])</f>
        <v>12</v>
      </c>
      <c r="N253">
        <f>IF(Table2[[#This Row],[Monthly_Salary]]="","",Table2[[#This Row],[Monthly_Salary]]*Table2[[#This Row],[Num_Month_Final]])</f>
        <v>336000</v>
      </c>
      <c r="O253">
        <v>2</v>
      </c>
      <c r="P253">
        <f>IF(Table2[[#This Row],[Exp_Years]]&lt;0,ABS(Table2[[#This Row],[Exp_Years]]),Table2[[#This Row],[Exp_Years]])</f>
        <v>2</v>
      </c>
      <c r="Q253">
        <v>1</v>
      </c>
      <c r="S253" t="str">
        <f>IF(Table2[[#This Row],[Performance_Rating]]&gt;=3,Table2[[#This Row],[Monthly_Salary]]*0.3,"")</f>
        <v/>
      </c>
      <c r="T253">
        <v>90</v>
      </c>
      <c r="U253">
        <v>12</v>
      </c>
      <c r="V253">
        <v>3</v>
      </c>
      <c r="W253" t="s">
        <v>21</v>
      </c>
      <c r="X253" t="s">
        <v>38</v>
      </c>
      <c r="Y253" t="str">
        <f>IF(Table2[[#This Row],[Work_Mode]]&lt;&gt;"",Table2[[#This Row],[Work_Mode]],
IF(ISNUMBER(SEARCH("India",Table2[[#This Row],[Emp_Name]])),"Office",
IF(ISNUMBER(SEARCH("Foreign",Table2[[#This Row],[Emp_Name]])),"Remote","")))</f>
        <v>Hybrid</v>
      </c>
      <c r="Z253">
        <v>10</v>
      </c>
      <c r="AA25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53" t="s">
        <v>39</v>
      </c>
      <c r="AC253" t="str">
        <f>IF(COUNTIF(Table2[Emp_ID],Table2[[#This Row],[Emp_ID]])&gt;1,"Duplicate","Unique")</f>
        <v>Unique</v>
      </c>
      <c r="AE253" s="2"/>
      <c r="AG253" t="str">
        <f>IF(Table2[[#This Row],[Monthly_Salary]]="","Exclude",
IF(Table2[[#This Row],[Row_Status]]="Mismatch","Exclude",
IF(AND(Table2[[#This Row],[Row_Status]]="Exact Duplicate",
COUNTIFS(Table2[Emp_ID],Table2[[#This Row],[Emp_ID]],Table2[Row_Concat],Table2[[#This Row],[Row_Concat]],
Table2[Row_Number],"&lt;"&amp;Table2[[#This Row],[Row_Number]])&gt;=1),"Delete","")))</f>
        <v/>
      </c>
      <c r="AH253" t="str">
        <f>VLOOKUP(Table2[[#This Row],[Department]],Raw_2!A:B,2,0)</f>
        <v>Day</v>
      </c>
      <c r="AI253">
        <f>VLOOKUP(Table2[[#This Row],[Department]],Raw_2!A:C,3,0)</f>
        <v>10</v>
      </c>
    </row>
    <row r="254" spans="1:35">
      <c r="A254" t="s">
        <v>551</v>
      </c>
      <c r="B254" t="s">
        <v>552</v>
      </c>
      <c r="C254">
        <v>29</v>
      </c>
      <c r="D254" t="s">
        <v>34</v>
      </c>
      <c r="E254" t="str">
        <f>IF(OR(Table2[[#This Row],[Gender]]="Male",Table2[[#This Row],[Gender]]="M"),"M",
IF(OR(Table2[[#This Row],[Gender]]="Female",Table2[[#This Row],[Gender]]="F"),"F",""))</f>
        <v>F</v>
      </c>
      <c r="F254" t="s">
        <v>65</v>
      </c>
      <c r="G254" t="s">
        <v>31</v>
      </c>
      <c r="H254" t="s">
        <v>1045</v>
      </c>
      <c r="I254" t="s">
        <v>1060</v>
      </c>
      <c r="J254" t="str">
        <f>IF(ISNUMBER(SEARCH("India",Table2[[#This Row],[Emp_Name]])),"INR",
IF(ISNUMBER(SEARCH("Foreign",Table2[[#This Row],[Emp_Name]])),Table2[[#This Row],[Currency]],Table2[[#This Row],[Currency]]))</f>
        <v>INR</v>
      </c>
      <c r="K254">
        <v>78000</v>
      </c>
      <c r="L254">
        <v>12</v>
      </c>
      <c r="M254">
        <f>IF(Table2[[#This Row],[Num_Month]]&lt;&gt;12,12,Table2[[#This Row],[Num_Month]])</f>
        <v>12</v>
      </c>
      <c r="N254">
        <f>IF(Table2[[#This Row],[Monthly_Salary]]="","",Table2[[#This Row],[Monthly_Salary]]*Table2[[#This Row],[Num_Month_Final]])</f>
        <v>936000</v>
      </c>
      <c r="O254">
        <v>5</v>
      </c>
      <c r="P254">
        <f>IF(Table2[[#This Row],[Exp_Years]]&lt;0,ABS(Table2[[#This Row],[Exp_Years]]),Table2[[#This Row],[Exp_Years]])</f>
        <v>5</v>
      </c>
      <c r="Q254">
        <v>2</v>
      </c>
      <c r="S254" t="str">
        <f>IF(Table2[[#This Row],[Performance_Rating]]&gt;=3,Table2[[#This Row],[Monthly_Salary]]*0.3,"")</f>
        <v/>
      </c>
      <c r="T254">
        <v>88</v>
      </c>
      <c r="U254">
        <v>15</v>
      </c>
      <c r="V254">
        <v>1</v>
      </c>
      <c r="W254" t="s">
        <v>37</v>
      </c>
      <c r="X254" t="s">
        <v>19</v>
      </c>
      <c r="Y254" t="str">
        <f>IF(Table2[[#This Row],[Work_Mode]]&lt;&gt;"",Table2[[#This Row],[Work_Mode]],
IF(ISNUMBER(SEARCH("India",Table2[[#This Row],[Emp_Name]])),"Office",
IF(ISNUMBER(SEARCH("Foreign",Table2[[#This Row],[Emp_Name]])),"Remote","")))</f>
        <v>Office</v>
      </c>
      <c r="Z254">
        <v>10</v>
      </c>
      <c r="AA25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254" t="s">
        <v>39</v>
      </c>
      <c r="AC254" t="str">
        <f>IF(COUNTIF(Table2[Emp_ID],Table2[[#This Row],[Emp_ID]])&gt;1,"Duplicate","Unique")</f>
        <v>Unique</v>
      </c>
      <c r="AE254" s="2"/>
      <c r="AG254" t="str">
        <f>IF(Table2[[#This Row],[Monthly_Salary]]="","Exclude",
IF(Table2[[#This Row],[Row_Status]]="Mismatch","Exclude",
IF(AND(Table2[[#This Row],[Row_Status]]="Exact Duplicate",
COUNTIFS(Table2[Emp_ID],Table2[[#This Row],[Emp_ID]],Table2[Row_Concat],Table2[[#This Row],[Row_Concat]],
Table2[Row_Number],"&lt;"&amp;Table2[[#This Row],[Row_Number]])&gt;=1),"Delete","")))</f>
        <v/>
      </c>
      <c r="AH254" t="str">
        <f>VLOOKUP(Table2[[#This Row],[Department]],Raw_2!A:B,2,0)</f>
        <v>Night</v>
      </c>
      <c r="AI254">
        <f>VLOOKUP(Table2[[#This Row],[Department]],Raw_2!A:C,3,0)</f>
        <v>13</v>
      </c>
    </row>
    <row r="255" spans="1:35">
      <c r="A255" t="s">
        <v>553</v>
      </c>
      <c r="B255" t="s">
        <v>554</v>
      </c>
      <c r="C255">
        <v>24</v>
      </c>
      <c r="D255" t="s">
        <v>16</v>
      </c>
      <c r="E255" t="str">
        <f>IF(OR(Table2[[#This Row],[Gender]]="Male",Table2[[#This Row],[Gender]]="M"),"M",
IF(OR(Table2[[#This Row],[Gender]]="Female",Table2[[#This Row],[Gender]]="F"),"F",""))</f>
        <v>M</v>
      </c>
      <c r="F255" t="s">
        <v>50</v>
      </c>
      <c r="G255" t="s">
        <v>31</v>
      </c>
      <c r="H255" t="s">
        <v>43</v>
      </c>
      <c r="I255" t="s">
        <v>1060</v>
      </c>
      <c r="J255" t="str">
        <f>IF(ISNUMBER(SEARCH("India",Table2[[#This Row],[Emp_Name]])),"INR",
IF(ISNUMBER(SEARCH("Foreign",Table2[[#This Row],[Emp_Name]])),Table2[[#This Row],[Currency]],Table2[[#This Row],[Currency]]))</f>
        <v>INR</v>
      </c>
      <c r="K255">
        <v>24000</v>
      </c>
      <c r="L255">
        <v>12</v>
      </c>
      <c r="M255">
        <f>IF(Table2[[#This Row],[Num_Month]]&lt;&gt;12,12,Table2[[#This Row],[Num_Month]])</f>
        <v>12</v>
      </c>
      <c r="N255">
        <f>IF(Table2[[#This Row],[Monthly_Salary]]="","",Table2[[#This Row],[Monthly_Salary]]*Table2[[#This Row],[Num_Month_Final]])</f>
        <v>288000</v>
      </c>
      <c r="O255">
        <v>1</v>
      </c>
      <c r="P255">
        <f>IF(Table2[[#This Row],[Exp_Years]]&lt;0,ABS(Table2[[#This Row],[Exp_Years]]),Table2[[#This Row],[Exp_Years]])</f>
        <v>1</v>
      </c>
      <c r="Q255">
        <v>4</v>
      </c>
      <c r="R255">
        <v>16000</v>
      </c>
      <c r="S255">
        <f>IF(Table2[[#This Row],[Performance_Rating]]&gt;=3,Table2[[#This Row],[Monthly_Salary]]*0.3,"")</f>
        <v>7200</v>
      </c>
      <c r="T255">
        <v>90</v>
      </c>
      <c r="U255">
        <v>5</v>
      </c>
      <c r="V255">
        <v>1</v>
      </c>
      <c r="X255" t="s">
        <v>38</v>
      </c>
      <c r="Y255" t="str">
        <f>IF(Table2[[#This Row],[Work_Mode]]&lt;&gt;"",Table2[[#This Row],[Work_Mode]],
IF(ISNUMBER(SEARCH("India",Table2[[#This Row],[Emp_Name]])),"Office",
IF(ISNUMBER(SEARCH("Foreign",Table2[[#This Row],[Emp_Name]])),"Remote","")))</f>
        <v>Hybrid</v>
      </c>
      <c r="Z255">
        <v>10</v>
      </c>
      <c r="AA25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55" t="s">
        <v>22</v>
      </c>
      <c r="AC255" t="str">
        <f>IF(COUNTIF(Table2[Emp_ID],Table2[[#This Row],[Emp_ID]])&gt;1,"Duplicate","Unique")</f>
        <v>Unique</v>
      </c>
      <c r="AE255" s="2"/>
      <c r="AG255" t="str">
        <f>IF(Table2[[#This Row],[Monthly_Salary]]="","Exclude",
IF(Table2[[#This Row],[Row_Status]]="Mismatch","Exclude",
IF(AND(Table2[[#This Row],[Row_Status]]="Exact Duplicate",
COUNTIFS(Table2[Emp_ID],Table2[[#This Row],[Emp_ID]],Table2[Row_Concat],Table2[[#This Row],[Row_Concat]],
Table2[Row_Number],"&lt;"&amp;Table2[[#This Row],[Row_Number]])&gt;=1),"Delete","")))</f>
        <v/>
      </c>
      <c r="AH255" t="str">
        <f>VLOOKUP(Table2[[#This Row],[Department]],Raw_2!A:B,2,0)</f>
        <v>Night</v>
      </c>
      <c r="AI255">
        <f>VLOOKUP(Table2[[#This Row],[Department]],Raw_2!A:C,3,0)</f>
        <v>13</v>
      </c>
    </row>
    <row r="256" spans="1:35">
      <c r="A256" t="s">
        <v>555</v>
      </c>
      <c r="B256" t="s">
        <v>556</v>
      </c>
      <c r="C256">
        <v>23</v>
      </c>
      <c r="D256" t="s">
        <v>16</v>
      </c>
      <c r="E256" t="str">
        <f>IF(OR(Table2[[#This Row],[Gender]]="Male",Table2[[#This Row],[Gender]]="M"),"M",
IF(OR(Table2[[#This Row],[Gender]]="Female",Table2[[#This Row],[Gender]]="F"),"F",""))</f>
        <v>M</v>
      </c>
      <c r="F256" t="s">
        <v>35</v>
      </c>
      <c r="G256" t="s">
        <v>31</v>
      </c>
      <c r="H256" t="s">
        <v>43</v>
      </c>
      <c r="I256" t="s">
        <v>1060</v>
      </c>
      <c r="J256" t="str">
        <f>IF(ISNUMBER(SEARCH("India",Table2[[#This Row],[Emp_Name]])),"INR",
IF(ISNUMBER(SEARCH("Foreign",Table2[[#This Row],[Emp_Name]])),Table2[[#This Row],[Currency]],Table2[[#This Row],[Currency]]))</f>
        <v>INR</v>
      </c>
      <c r="K256">
        <v>24000</v>
      </c>
      <c r="L256">
        <v>12</v>
      </c>
      <c r="M256">
        <f>IF(Table2[[#This Row],[Num_Month]]&lt;&gt;12,12,Table2[[#This Row],[Num_Month]])</f>
        <v>12</v>
      </c>
      <c r="N256">
        <f>IF(Table2[[#This Row],[Monthly_Salary]]="","",Table2[[#This Row],[Monthly_Salary]]*Table2[[#This Row],[Num_Month_Final]])</f>
        <v>288000</v>
      </c>
      <c r="O256">
        <v>1</v>
      </c>
      <c r="P256">
        <f>IF(Table2[[#This Row],[Exp_Years]]&lt;0,ABS(Table2[[#This Row],[Exp_Years]]),Table2[[#This Row],[Exp_Years]])</f>
        <v>1</v>
      </c>
      <c r="Q256">
        <v>1</v>
      </c>
      <c r="S256" t="str">
        <f>IF(Table2[[#This Row],[Performance_Rating]]&gt;=3,Table2[[#This Row],[Monthly_Salary]]*0.3,"")</f>
        <v/>
      </c>
      <c r="T256">
        <v>88</v>
      </c>
      <c r="U256">
        <v>12</v>
      </c>
      <c r="V256">
        <v>6</v>
      </c>
      <c r="X256" t="s">
        <v>38</v>
      </c>
      <c r="Y256" t="str">
        <f>IF(Table2[[#This Row],[Work_Mode]]&lt;&gt;"",Table2[[#This Row],[Work_Mode]],
IF(ISNUMBER(SEARCH("India",Table2[[#This Row],[Emp_Name]])),"Office",
IF(ISNUMBER(SEARCH("Foreign",Table2[[#This Row],[Emp_Name]])),"Remote","")))</f>
        <v>Hybrid</v>
      </c>
      <c r="Z256">
        <v>10</v>
      </c>
      <c r="AA25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56" t="s">
        <v>39</v>
      </c>
      <c r="AC256" t="str">
        <f>IF(COUNTIF(Table2[Emp_ID],Table2[[#This Row],[Emp_ID]])&gt;1,"Duplicate","Unique")</f>
        <v>Unique</v>
      </c>
      <c r="AE256" s="2"/>
      <c r="AG256" t="str">
        <f>IF(Table2[[#This Row],[Monthly_Salary]]="","Exclude",
IF(Table2[[#This Row],[Row_Status]]="Mismatch","Exclude",
IF(AND(Table2[[#This Row],[Row_Status]]="Exact Duplicate",
COUNTIFS(Table2[Emp_ID],Table2[[#This Row],[Emp_ID]],Table2[Row_Concat],Table2[[#This Row],[Row_Concat]],
Table2[Row_Number],"&lt;"&amp;Table2[[#This Row],[Row_Number]])&gt;=1),"Delete","")))</f>
        <v/>
      </c>
      <c r="AH256" t="str">
        <f>VLOOKUP(Table2[[#This Row],[Department]],Raw_2!A:B,2,0)</f>
        <v>Night</v>
      </c>
      <c r="AI256">
        <f>VLOOKUP(Table2[[#This Row],[Department]],Raw_2!A:C,3,0)</f>
        <v>13</v>
      </c>
    </row>
    <row r="257" spans="1:35">
      <c r="A257" t="s">
        <v>557</v>
      </c>
      <c r="B257" t="s">
        <v>558</v>
      </c>
      <c r="C257">
        <v>25</v>
      </c>
      <c r="D257" t="s">
        <v>16</v>
      </c>
      <c r="E257" t="str">
        <f>IF(OR(Table2[[#This Row],[Gender]]="Male",Table2[[#This Row],[Gender]]="M"),"M",
IF(OR(Table2[[#This Row],[Gender]]="Female",Table2[[#This Row],[Gender]]="F"),"F",""))</f>
        <v>M</v>
      </c>
      <c r="F257" t="s">
        <v>64</v>
      </c>
      <c r="G257" t="s">
        <v>42</v>
      </c>
      <c r="H257" t="s">
        <v>43</v>
      </c>
      <c r="I257" t="s">
        <v>1060</v>
      </c>
      <c r="J257" t="str">
        <f>IF(ISNUMBER(SEARCH("India",Table2[[#This Row],[Emp_Name]])),"INR",
IF(ISNUMBER(SEARCH("Foreign",Table2[[#This Row],[Emp_Name]])),Table2[[#This Row],[Currency]],Table2[[#This Row],[Currency]]))</f>
        <v>INR</v>
      </c>
      <c r="K257">
        <v>24000</v>
      </c>
      <c r="L257">
        <v>12</v>
      </c>
      <c r="M257">
        <f>IF(Table2[[#This Row],[Num_Month]]&lt;&gt;12,12,Table2[[#This Row],[Num_Month]])</f>
        <v>12</v>
      </c>
      <c r="N257">
        <f>IF(Table2[[#This Row],[Monthly_Salary]]="","",Table2[[#This Row],[Monthly_Salary]]*Table2[[#This Row],[Num_Month_Final]])</f>
        <v>288000</v>
      </c>
      <c r="O257">
        <v>1</v>
      </c>
      <c r="P257">
        <f>IF(Table2[[#This Row],[Exp_Years]]&lt;0,ABS(Table2[[#This Row],[Exp_Years]]),Table2[[#This Row],[Exp_Years]])</f>
        <v>1</v>
      </c>
      <c r="Q257">
        <v>2</v>
      </c>
      <c r="S257" t="str">
        <f>IF(Table2[[#This Row],[Performance_Rating]]&gt;=3,Table2[[#This Row],[Monthly_Salary]]*0.3,"")</f>
        <v/>
      </c>
      <c r="T257">
        <v>88</v>
      </c>
      <c r="U257">
        <v>12</v>
      </c>
      <c r="V257">
        <v>1</v>
      </c>
      <c r="W257" t="s">
        <v>21</v>
      </c>
      <c r="X257" t="s">
        <v>38</v>
      </c>
      <c r="Y257" t="str">
        <f>IF(Table2[[#This Row],[Work_Mode]]&lt;&gt;"",Table2[[#This Row],[Work_Mode]],
IF(ISNUMBER(SEARCH("India",Table2[[#This Row],[Emp_Name]])),"Office",
IF(ISNUMBER(SEARCH("Foreign",Table2[[#This Row],[Emp_Name]])),"Remote","")))</f>
        <v>Hybrid</v>
      </c>
      <c r="AA25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57" t="s">
        <v>39</v>
      </c>
      <c r="AC257" t="str">
        <f>IF(COUNTIF(Table2[Emp_ID],Table2[[#This Row],[Emp_ID]])&gt;1,"Duplicate","Unique")</f>
        <v>Unique</v>
      </c>
      <c r="AE257" s="2"/>
      <c r="AG257" t="str">
        <f>IF(Table2[[#This Row],[Monthly_Salary]]="","Exclude",
IF(Table2[[#This Row],[Row_Status]]="Mismatch","Exclude",
IF(AND(Table2[[#This Row],[Row_Status]]="Exact Duplicate",
COUNTIFS(Table2[Emp_ID],Table2[[#This Row],[Emp_ID]],Table2[Row_Concat],Table2[[#This Row],[Row_Concat]],
Table2[Row_Number],"&lt;"&amp;Table2[[#This Row],[Row_Number]])&gt;=1),"Delete","")))</f>
        <v/>
      </c>
      <c r="AH257" t="str">
        <f>VLOOKUP(Table2[[#This Row],[Department]],Raw_2!A:B,2,0)</f>
        <v>Day</v>
      </c>
      <c r="AI257">
        <f>VLOOKUP(Table2[[#This Row],[Department]],Raw_2!A:C,3,0)</f>
        <v>14</v>
      </c>
    </row>
    <row r="258" spans="1:35">
      <c r="A258" t="s">
        <v>559</v>
      </c>
      <c r="B258" t="s">
        <v>560</v>
      </c>
      <c r="C258">
        <v>19</v>
      </c>
      <c r="E258" t="str">
        <f>IF(OR(Table2[[#This Row],[Gender]]="Male",Table2[[#This Row],[Gender]]="M"),"M",
IF(OR(Table2[[#This Row],[Gender]]="Female",Table2[[#This Row],[Gender]]="F"),"F",""))</f>
        <v/>
      </c>
      <c r="F258" t="s">
        <v>65</v>
      </c>
      <c r="G258" t="s">
        <v>42</v>
      </c>
      <c r="H258" t="s">
        <v>1047</v>
      </c>
      <c r="I258" t="s">
        <v>1060</v>
      </c>
      <c r="J258" t="str">
        <f>IF(ISNUMBER(SEARCH("India",Table2[[#This Row],[Emp_Name]])),"INR",
IF(ISNUMBER(SEARCH("Foreign",Table2[[#This Row],[Emp_Name]])),Table2[[#This Row],[Currency]],Table2[[#This Row],[Currency]]))</f>
        <v>INR</v>
      </c>
      <c r="K258">
        <v>9000</v>
      </c>
      <c r="L258">
        <v>12</v>
      </c>
      <c r="M258">
        <f>IF(Table2[[#This Row],[Num_Month]]&lt;&gt;12,12,Table2[[#This Row],[Num_Month]])</f>
        <v>12</v>
      </c>
      <c r="N258">
        <f>IF(Table2[[#This Row],[Monthly_Salary]]="","",Table2[[#This Row],[Monthly_Salary]]*Table2[[#This Row],[Num_Month_Final]])</f>
        <v>108000</v>
      </c>
      <c r="O258">
        <v>1</v>
      </c>
      <c r="P258">
        <f>IF(Table2[[#This Row],[Exp_Years]]&lt;0,ABS(Table2[[#This Row],[Exp_Years]]),Table2[[#This Row],[Exp_Years]])</f>
        <v>1</v>
      </c>
      <c r="Q258">
        <v>3</v>
      </c>
      <c r="R258">
        <v>3000</v>
      </c>
      <c r="S258">
        <f>IF(Table2[[#This Row],[Performance_Rating]]&gt;=3,Table2[[#This Row],[Monthly_Salary]]*0.3,"")</f>
        <v>2700</v>
      </c>
      <c r="T258">
        <v>90</v>
      </c>
      <c r="U258">
        <v>10</v>
      </c>
      <c r="V258">
        <v>2</v>
      </c>
      <c r="W258" t="s">
        <v>21</v>
      </c>
      <c r="X258" t="s">
        <v>38</v>
      </c>
      <c r="Y258" t="str">
        <f>IF(Table2[[#This Row],[Work_Mode]]&lt;&gt;"",Table2[[#This Row],[Work_Mode]],
IF(ISNUMBER(SEARCH("India",Table2[[#This Row],[Emp_Name]])),"Office",
IF(ISNUMBER(SEARCH("Foreign",Table2[[#This Row],[Emp_Name]])),"Remote","")))</f>
        <v>Hybrid</v>
      </c>
      <c r="Z258">
        <v>5</v>
      </c>
      <c r="AA25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258" t="s">
        <v>22</v>
      </c>
      <c r="AC258" t="str">
        <f>IF(COUNTIF(Table2[Emp_ID],Table2[[#This Row],[Emp_ID]])&gt;1,"Duplicate","Unique")</f>
        <v>Unique</v>
      </c>
      <c r="AE258" s="2"/>
      <c r="AG258" t="str">
        <f>IF(Table2[[#This Row],[Monthly_Salary]]="","Exclude",
IF(Table2[[#This Row],[Row_Status]]="Mismatch","Exclude",
IF(AND(Table2[[#This Row],[Row_Status]]="Exact Duplicate",
COUNTIFS(Table2[Emp_ID],Table2[[#This Row],[Emp_ID]],Table2[Row_Concat],Table2[[#This Row],[Row_Concat]],
Table2[Row_Number],"&lt;"&amp;Table2[[#This Row],[Row_Number]])&gt;=1),"Delete","")))</f>
        <v/>
      </c>
      <c r="AH258" t="str">
        <f>VLOOKUP(Table2[[#This Row],[Department]],Raw_2!A:B,2,0)</f>
        <v>Day</v>
      </c>
      <c r="AI258">
        <f>VLOOKUP(Table2[[#This Row],[Department]],Raw_2!A:C,3,0)</f>
        <v>14</v>
      </c>
    </row>
    <row r="259" spans="1:35">
      <c r="A259" t="s">
        <v>561</v>
      </c>
      <c r="B259" t="s">
        <v>562</v>
      </c>
      <c r="C259">
        <v>24</v>
      </c>
      <c r="D259" t="s">
        <v>25</v>
      </c>
      <c r="E259" t="str">
        <f>IF(OR(Table2[[#This Row],[Gender]]="Male",Table2[[#This Row],[Gender]]="M"),"M",
IF(OR(Table2[[#This Row],[Gender]]="Female",Table2[[#This Row],[Gender]]="F"),"F",""))</f>
        <v>F</v>
      </c>
      <c r="F259" t="s">
        <v>35</v>
      </c>
      <c r="G259" t="s">
        <v>18</v>
      </c>
      <c r="H259" t="s">
        <v>43</v>
      </c>
      <c r="I259" t="s">
        <v>1060</v>
      </c>
      <c r="J259" t="str">
        <f>IF(ISNUMBER(SEARCH("India",Table2[[#This Row],[Emp_Name]])),"INR",
IF(ISNUMBER(SEARCH("Foreign",Table2[[#This Row],[Emp_Name]])),Table2[[#This Row],[Currency]],Table2[[#This Row],[Currency]]))</f>
        <v>INR</v>
      </c>
      <c r="K259">
        <v>28000</v>
      </c>
      <c r="L259">
        <v>12</v>
      </c>
      <c r="M259">
        <f>IF(Table2[[#This Row],[Num_Month]]&lt;&gt;12,12,Table2[[#This Row],[Num_Month]])</f>
        <v>12</v>
      </c>
      <c r="N259">
        <f>IF(Table2[[#This Row],[Monthly_Salary]]="","",Table2[[#This Row],[Monthly_Salary]]*Table2[[#This Row],[Num_Month_Final]])</f>
        <v>336000</v>
      </c>
      <c r="O259">
        <v>2</v>
      </c>
      <c r="P259">
        <f>IF(Table2[[#This Row],[Exp_Years]]&lt;0,ABS(Table2[[#This Row],[Exp_Years]]),Table2[[#This Row],[Exp_Years]])</f>
        <v>2</v>
      </c>
      <c r="Q259">
        <v>3</v>
      </c>
      <c r="R259">
        <v>11400</v>
      </c>
      <c r="S259">
        <f>IF(Table2[[#This Row],[Performance_Rating]]&gt;=3,Table2[[#This Row],[Monthly_Salary]]*0.3,"")</f>
        <v>8400</v>
      </c>
      <c r="T259">
        <v>95</v>
      </c>
      <c r="U259">
        <v>5</v>
      </c>
      <c r="V259">
        <v>2</v>
      </c>
      <c r="W259" t="s">
        <v>37</v>
      </c>
      <c r="X259" t="s">
        <v>38</v>
      </c>
      <c r="Y259" t="str">
        <f>IF(Table2[[#This Row],[Work_Mode]]&lt;&gt;"",Table2[[#This Row],[Work_Mode]],
IF(ISNUMBER(SEARCH("India",Table2[[#This Row],[Emp_Name]])),"Office",
IF(ISNUMBER(SEARCH("Foreign",Table2[[#This Row],[Emp_Name]])),"Remote","")))</f>
        <v>Hybrid</v>
      </c>
      <c r="AA25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59" t="s">
        <v>22</v>
      </c>
      <c r="AC259" t="str">
        <f>IF(COUNTIF(Table2[Emp_ID],Table2[[#This Row],[Emp_ID]])&gt;1,"Duplicate","Unique")</f>
        <v>Unique</v>
      </c>
      <c r="AE259" s="2"/>
      <c r="AG259" t="str">
        <f>IF(Table2[[#This Row],[Monthly_Salary]]="","Exclude",
IF(Table2[[#This Row],[Row_Status]]="Mismatch","Exclude",
IF(AND(Table2[[#This Row],[Row_Status]]="Exact Duplicate",
COUNTIFS(Table2[Emp_ID],Table2[[#This Row],[Emp_ID]],Table2[Row_Concat],Table2[[#This Row],[Row_Concat]],
Table2[Row_Number],"&lt;"&amp;Table2[[#This Row],[Row_Number]])&gt;=1),"Delete","")))</f>
        <v/>
      </c>
      <c r="AH259" t="str">
        <f>VLOOKUP(Table2[[#This Row],[Department]],Raw_2!A:B,2,0)</f>
        <v>Day</v>
      </c>
      <c r="AI259">
        <f>VLOOKUP(Table2[[#This Row],[Department]],Raw_2!A:C,3,0)</f>
        <v>10</v>
      </c>
    </row>
    <row r="260" spans="1:35">
      <c r="A260" t="s">
        <v>563</v>
      </c>
      <c r="B260" t="s">
        <v>564</v>
      </c>
      <c r="C260">
        <v>53</v>
      </c>
      <c r="D260" t="s">
        <v>16</v>
      </c>
      <c r="E260" t="str">
        <f>IF(OR(Table2[[#This Row],[Gender]]="Male",Table2[[#This Row],[Gender]]="M"),"M",
IF(OR(Table2[[#This Row],[Gender]]="Female",Table2[[#This Row],[Gender]]="F"),"F",""))</f>
        <v>M</v>
      </c>
      <c r="F260" t="s">
        <v>50</v>
      </c>
      <c r="G260" t="s">
        <v>36</v>
      </c>
      <c r="H260" t="s">
        <v>1051</v>
      </c>
      <c r="I260" t="s">
        <v>1060</v>
      </c>
      <c r="J260" t="str">
        <f>IF(ISNUMBER(SEARCH("India",Table2[[#This Row],[Emp_Name]])),"INR",
IF(ISNUMBER(SEARCH("Foreign",Table2[[#This Row],[Emp_Name]])),Table2[[#This Row],[Currency]],Table2[[#This Row],[Currency]]))</f>
        <v>INR</v>
      </c>
      <c r="K260">
        <v>160000</v>
      </c>
      <c r="L260">
        <v>12</v>
      </c>
      <c r="M260">
        <f>IF(Table2[[#This Row],[Num_Month]]&lt;&gt;12,12,Table2[[#This Row],[Num_Month]])</f>
        <v>12</v>
      </c>
      <c r="N260">
        <f>IF(Table2[[#This Row],[Monthly_Salary]]="","",Table2[[#This Row],[Monthly_Salary]]*Table2[[#This Row],[Num_Month_Final]])</f>
        <v>1920000</v>
      </c>
      <c r="O260">
        <v>24</v>
      </c>
      <c r="P260">
        <f>IF(Table2[[#This Row],[Exp_Years]]&lt;0,ABS(Table2[[#This Row],[Exp_Years]]),Table2[[#This Row],[Exp_Years]])</f>
        <v>24</v>
      </c>
      <c r="Q260">
        <v>3</v>
      </c>
      <c r="R260">
        <v>74819</v>
      </c>
      <c r="S260">
        <f>IF(Table2[[#This Row],[Performance_Rating]]&gt;=3,Table2[[#This Row],[Monthly_Salary]]*0.3,"")</f>
        <v>48000</v>
      </c>
      <c r="T260">
        <v>88</v>
      </c>
      <c r="U260">
        <v>12</v>
      </c>
      <c r="V260">
        <v>3</v>
      </c>
      <c r="X260" t="s">
        <v>38</v>
      </c>
      <c r="Y260" t="str">
        <f>IF(Table2[[#This Row],[Work_Mode]]&lt;&gt;"",Table2[[#This Row],[Work_Mode]],
IF(ISNUMBER(SEARCH("India",Table2[[#This Row],[Emp_Name]])),"Office",
IF(ISNUMBER(SEARCH("Foreign",Table2[[#This Row],[Emp_Name]])),"Remote","")))</f>
        <v>Hybrid</v>
      </c>
      <c r="AA260" t="str">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
      </c>
      <c r="AB260" t="s">
        <v>22</v>
      </c>
      <c r="AC260" t="str">
        <f>IF(COUNTIF(Table2[Emp_ID],Table2[[#This Row],[Emp_ID]])&gt;1,"Duplicate","Unique")</f>
        <v>Unique</v>
      </c>
      <c r="AE260" s="2"/>
      <c r="AG260" t="str">
        <f>IF(Table2[[#This Row],[Monthly_Salary]]="","Exclude",
IF(Table2[[#This Row],[Row_Status]]="Mismatch","Exclude",
IF(AND(Table2[[#This Row],[Row_Status]]="Exact Duplicate",
COUNTIFS(Table2[Emp_ID],Table2[[#This Row],[Emp_ID]],Table2[Row_Concat],Table2[[#This Row],[Row_Concat]],
Table2[Row_Number],"&lt;"&amp;Table2[[#This Row],[Row_Number]])&gt;=1),"Delete","")))</f>
        <v/>
      </c>
      <c r="AH260" t="str">
        <f>VLOOKUP(Table2[[#This Row],[Department]],Raw_2!A:B,2,0)</f>
        <v>Day</v>
      </c>
      <c r="AI260">
        <f>VLOOKUP(Table2[[#This Row],[Department]],Raw_2!A:C,3,0)</f>
        <v>25</v>
      </c>
    </row>
    <row r="261" spans="1:35">
      <c r="A261" t="s">
        <v>565</v>
      </c>
      <c r="B261" t="s">
        <v>566</v>
      </c>
      <c r="C261">
        <v>25</v>
      </c>
      <c r="D261" t="s">
        <v>46</v>
      </c>
      <c r="E261" t="str">
        <f>IF(OR(Table2[[#This Row],[Gender]]="Male",Table2[[#This Row],[Gender]]="M"),"M",
IF(OR(Table2[[#This Row],[Gender]]="Female",Table2[[#This Row],[Gender]]="F"),"F",""))</f>
        <v>M</v>
      </c>
      <c r="F261" t="s">
        <v>64</v>
      </c>
      <c r="G261" t="s">
        <v>36</v>
      </c>
      <c r="H261" t="s">
        <v>43</v>
      </c>
      <c r="I261" t="s">
        <v>1060</v>
      </c>
      <c r="J261" t="str">
        <f>IF(ISNUMBER(SEARCH("India",Table2[[#This Row],[Emp_Name]])),"INR",
IF(ISNUMBER(SEARCH("Foreign",Table2[[#This Row],[Emp_Name]])),Table2[[#This Row],[Currency]],Table2[[#This Row],[Currency]]))</f>
        <v>INR</v>
      </c>
      <c r="K261">
        <v>28000</v>
      </c>
      <c r="L261">
        <v>12</v>
      </c>
      <c r="M261">
        <f>IF(Table2[[#This Row],[Num_Month]]&lt;&gt;12,12,Table2[[#This Row],[Num_Month]])</f>
        <v>12</v>
      </c>
      <c r="N261">
        <f>IF(Table2[[#This Row],[Monthly_Salary]]="","",Table2[[#This Row],[Monthly_Salary]]*Table2[[#This Row],[Num_Month_Final]])</f>
        <v>336000</v>
      </c>
      <c r="O261">
        <v>2</v>
      </c>
      <c r="P261">
        <f>IF(Table2[[#This Row],[Exp_Years]]&lt;0,ABS(Table2[[#This Row],[Exp_Years]]),Table2[[#This Row],[Exp_Years]])</f>
        <v>2</v>
      </c>
      <c r="Q261">
        <v>2</v>
      </c>
      <c r="S261" t="str">
        <f>IF(Table2[[#This Row],[Performance_Rating]]&gt;=3,Table2[[#This Row],[Monthly_Salary]]*0.3,"")</f>
        <v/>
      </c>
      <c r="T261">
        <v>88</v>
      </c>
      <c r="U261">
        <v>5</v>
      </c>
      <c r="V261">
        <v>5</v>
      </c>
      <c r="W261" t="s">
        <v>21</v>
      </c>
      <c r="X261" t="s">
        <v>38</v>
      </c>
      <c r="Y261" t="str">
        <f>IF(Table2[[#This Row],[Work_Mode]]&lt;&gt;"",Table2[[#This Row],[Work_Mode]],
IF(ISNUMBER(SEARCH("India",Table2[[#This Row],[Emp_Name]])),"Office",
IF(ISNUMBER(SEARCH("Foreign",Table2[[#This Row],[Emp_Name]])),"Remote","")))</f>
        <v>Hybrid</v>
      </c>
      <c r="Z261">
        <v>20</v>
      </c>
      <c r="AA26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261" t="s">
        <v>39</v>
      </c>
      <c r="AC261" t="str">
        <f>IF(COUNTIF(Table2[Emp_ID],Table2[[#This Row],[Emp_ID]])&gt;1,"Duplicate","Unique")</f>
        <v>Unique</v>
      </c>
      <c r="AE261" s="2"/>
      <c r="AG261" t="str">
        <f>IF(Table2[[#This Row],[Monthly_Salary]]="","Exclude",
IF(Table2[[#This Row],[Row_Status]]="Mismatch","Exclude",
IF(AND(Table2[[#This Row],[Row_Status]]="Exact Duplicate",
COUNTIFS(Table2[Emp_ID],Table2[[#This Row],[Emp_ID]],Table2[Row_Concat],Table2[[#This Row],[Row_Concat]],
Table2[Row_Number],"&lt;"&amp;Table2[[#This Row],[Row_Number]])&gt;=1),"Delete","")))</f>
        <v/>
      </c>
      <c r="AH261" t="str">
        <f>VLOOKUP(Table2[[#This Row],[Department]],Raw_2!A:B,2,0)</f>
        <v>Day</v>
      </c>
      <c r="AI261">
        <f>VLOOKUP(Table2[[#This Row],[Department]],Raw_2!A:C,3,0)</f>
        <v>25</v>
      </c>
    </row>
    <row r="262" spans="1:35">
      <c r="A262" t="s">
        <v>542</v>
      </c>
      <c r="B262" t="s">
        <v>359</v>
      </c>
      <c r="C262">
        <v>23</v>
      </c>
      <c r="D262" t="s">
        <v>25</v>
      </c>
      <c r="E262" t="str">
        <f>IF(OR(Table2[[#This Row],[Gender]]="Male",Table2[[#This Row],[Gender]]="M"),"M",
IF(OR(Table2[[#This Row],[Gender]]="Female",Table2[[#This Row],[Gender]]="F"),"F",""))</f>
        <v>F</v>
      </c>
      <c r="F262" t="s">
        <v>73</v>
      </c>
      <c r="G262" t="s">
        <v>36</v>
      </c>
      <c r="H262" t="s">
        <v>43</v>
      </c>
      <c r="I262" t="s">
        <v>1060</v>
      </c>
      <c r="J262" t="str">
        <f>IF(ISNUMBER(SEARCH("India",Table2[[#This Row],[Emp_Name]])),"INR",
IF(ISNUMBER(SEARCH("Foreign",Table2[[#This Row],[Emp_Name]])),Table2[[#This Row],[Currency]],Table2[[#This Row],[Currency]]))</f>
        <v>INR</v>
      </c>
      <c r="K262">
        <v>24000</v>
      </c>
      <c r="L262">
        <v>12</v>
      </c>
      <c r="M262">
        <f>IF(Table2[[#This Row],[Num_Month]]&lt;&gt;12,12,Table2[[#This Row],[Num_Month]])</f>
        <v>12</v>
      </c>
      <c r="N262">
        <f>IF(Table2[[#This Row],[Monthly_Salary]]="","",Table2[[#This Row],[Monthly_Salary]]*Table2[[#This Row],[Num_Month_Final]])</f>
        <v>288000</v>
      </c>
      <c r="O262">
        <v>1</v>
      </c>
      <c r="P262">
        <f>IF(Table2[[#This Row],[Exp_Years]]&lt;0,ABS(Table2[[#This Row],[Exp_Years]]),Table2[[#This Row],[Exp_Years]])</f>
        <v>1</v>
      </c>
      <c r="Q262">
        <v>4</v>
      </c>
      <c r="R262">
        <v>16000</v>
      </c>
      <c r="S262">
        <f>IF(Table2[[#This Row],[Performance_Rating]]&gt;=3,Table2[[#This Row],[Monthly_Salary]]*0.3,"")</f>
        <v>7200</v>
      </c>
      <c r="T262">
        <v>85</v>
      </c>
      <c r="U262">
        <v>10</v>
      </c>
      <c r="V262">
        <v>6</v>
      </c>
      <c r="W262" t="s">
        <v>37</v>
      </c>
      <c r="X262" t="s">
        <v>38</v>
      </c>
      <c r="Y262" t="str">
        <f>IF(Table2[[#This Row],[Work_Mode]]&lt;&gt;"",Table2[[#This Row],[Work_Mode]],
IF(ISNUMBER(SEARCH("India",Table2[[#This Row],[Emp_Name]])),"Office",
IF(ISNUMBER(SEARCH("Foreign",Table2[[#This Row],[Emp_Name]])),"Remote","")))</f>
        <v>Hybrid</v>
      </c>
      <c r="Z262">
        <v>20</v>
      </c>
      <c r="AA26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262" t="s">
        <v>22</v>
      </c>
      <c r="AC262" t="str">
        <f>IF(COUNTIF(Table2[Emp_ID],Table2[[#This Row],[Emp_ID]])&gt;1,"Duplicate","Unique")</f>
        <v>Duplicate</v>
      </c>
      <c r="AD262" t="str">
        <f>_xlfn.TEXTJOIN("|",TRUE,Table2[[#This Row],[Emp_ID]:[Salary_Band]])</f>
        <v>ZOM1108|Employee_342_India|23|F|F|Indore|Analytics|Analyst|INR|INR|24000|12|12|288000|1|1|4|16000|7200|85|10|6|Yes|Hybrid|Hybrid|20|5000|Medium</v>
      </c>
      <c r="AE262" s="2" t="str">
        <f>IF(COUNTIFS(Table2[Emp_ID],Table2[[#This Row],[Emp_ID]],Table2[Row_Concat],Table2[[#This Row],[Row_Concat]])&gt;1,"Exact Duplicate",
IF(COUNTIF(Table2[Emp_ID],Table2[[#This Row],[Emp_ID]])&gt;1,"Mismatch","Unique"))</f>
        <v>Mismatch</v>
      </c>
      <c r="AF262">
        <f>ROW()</f>
        <v>262</v>
      </c>
      <c r="AG262" t="str">
        <f>IF(Table2[[#This Row],[Monthly_Salary]]="","Exclude",
IF(Table2[[#This Row],[Row_Status]]="Mismatch","Exclude",
IF(AND(Table2[[#This Row],[Row_Status]]="Exact Duplicate",
COUNTIFS(Table2[Emp_ID],Table2[[#This Row],[Emp_ID]],Table2[Row_Concat],Table2[[#This Row],[Row_Concat]],
Table2[Row_Number],"&lt;"&amp;Table2[[#This Row],[Row_Number]])&gt;=1),"Delete","")))</f>
        <v>Exclude</v>
      </c>
      <c r="AH262" t="str">
        <f>VLOOKUP(Table2[[#This Row],[Department]],Raw_2!A:B,2,0)</f>
        <v>Day</v>
      </c>
      <c r="AI262">
        <f>VLOOKUP(Table2[[#This Row],[Department]],Raw_2!A:C,3,0)</f>
        <v>25</v>
      </c>
    </row>
    <row r="263" spans="1:35">
      <c r="A263" t="s">
        <v>567</v>
      </c>
      <c r="B263" t="s">
        <v>568</v>
      </c>
      <c r="C263">
        <v>25</v>
      </c>
      <c r="D263" t="s">
        <v>46</v>
      </c>
      <c r="E263" t="str">
        <f>IF(OR(Table2[[#This Row],[Gender]]="Male",Table2[[#This Row],[Gender]]="M"),"M",
IF(OR(Table2[[#This Row],[Gender]]="Female",Table2[[#This Row],[Gender]]="F"),"F",""))</f>
        <v>M</v>
      </c>
      <c r="F263" t="s">
        <v>35</v>
      </c>
      <c r="G263" t="s">
        <v>18</v>
      </c>
      <c r="H263" t="s">
        <v>43</v>
      </c>
      <c r="I263" t="s">
        <v>1060</v>
      </c>
      <c r="J263" t="str">
        <f>IF(ISNUMBER(SEARCH("India",Table2[[#This Row],[Emp_Name]])),"INR",
IF(ISNUMBER(SEARCH("Foreign",Table2[[#This Row],[Emp_Name]])),Table2[[#This Row],[Currency]],Table2[[#This Row],[Currency]]))</f>
        <v>INR</v>
      </c>
      <c r="K263">
        <v>28000</v>
      </c>
      <c r="L263">
        <v>12</v>
      </c>
      <c r="M263">
        <f>IF(Table2[[#This Row],[Num_Month]]&lt;&gt;12,12,Table2[[#This Row],[Num_Month]])</f>
        <v>12</v>
      </c>
      <c r="N263">
        <f>IF(Table2[[#This Row],[Monthly_Salary]]="","",Table2[[#This Row],[Monthly_Salary]]*Table2[[#This Row],[Num_Month_Final]])</f>
        <v>336000</v>
      </c>
      <c r="O263">
        <v>2</v>
      </c>
      <c r="P263">
        <f>IF(Table2[[#This Row],[Exp_Years]]&lt;0,ABS(Table2[[#This Row],[Exp_Years]]),Table2[[#This Row],[Exp_Years]])</f>
        <v>2</v>
      </c>
      <c r="Q263">
        <v>5</v>
      </c>
      <c r="R263">
        <v>20000</v>
      </c>
      <c r="S263">
        <f>IF(Table2[[#This Row],[Performance_Rating]]&gt;=3,Table2[[#This Row],[Monthly_Salary]]*0.3,"")</f>
        <v>8400</v>
      </c>
      <c r="T263">
        <v>80</v>
      </c>
      <c r="U263">
        <v>12</v>
      </c>
      <c r="V263">
        <v>1</v>
      </c>
      <c r="W263" t="s">
        <v>37</v>
      </c>
      <c r="X263" t="s">
        <v>38</v>
      </c>
      <c r="Y263" t="str">
        <f>IF(Table2[[#This Row],[Work_Mode]]&lt;&gt;"",Table2[[#This Row],[Work_Mode]],
IF(ISNUMBER(SEARCH("India",Table2[[#This Row],[Emp_Name]])),"Office",
IF(ISNUMBER(SEARCH("Foreign",Table2[[#This Row],[Emp_Name]])),"Remote","")))</f>
        <v>Hybrid</v>
      </c>
      <c r="AA26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63" t="s">
        <v>58</v>
      </c>
      <c r="AC263" t="str">
        <f>IF(COUNTIF(Table2[Emp_ID],Table2[[#This Row],[Emp_ID]])&gt;1,"Duplicate","Unique")</f>
        <v>Unique</v>
      </c>
      <c r="AE263" s="2"/>
      <c r="AG263" t="str">
        <f>IF(Table2[[#This Row],[Monthly_Salary]]="","Exclude",
IF(Table2[[#This Row],[Row_Status]]="Mismatch","Exclude",
IF(AND(Table2[[#This Row],[Row_Status]]="Exact Duplicate",
COUNTIFS(Table2[Emp_ID],Table2[[#This Row],[Emp_ID]],Table2[Row_Concat],Table2[[#This Row],[Row_Concat]],
Table2[Row_Number],"&lt;"&amp;Table2[[#This Row],[Row_Number]])&gt;=1),"Delete","")))</f>
        <v/>
      </c>
      <c r="AH263" t="str">
        <f>VLOOKUP(Table2[[#This Row],[Department]],Raw_2!A:B,2,0)</f>
        <v>Day</v>
      </c>
      <c r="AI263">
        <f>VLOOKUP(Table2[[#This Row],[Department]],Raw_2!A:C,3,0)</f>
        <v>10</v>
      </c>
    </row>
    <row r="264" spans="1:35">
      <c r="A264" t="s">
        <v>569</v>
      </c>
      <c r="B264" t="s">
        <v>570</v>
      </c>
      <c r="C264">
        <v>24</v>
      </c>
      <c r="D264" t="s">
        <v>34</v>
      </c>
      <c r="E264" t="str">
        <f>IF(OR(Table2[[#This Row],[Gender]]="Male",Table2[[#This Row],[Gender]]="M"),"M",
IF(OR(Table2[[#This Row],[Gender]]="Female",Table2[[#This Row],[Gender]]="F"),"F",""))</f>
        <v>F</v>
      </c>
      <c r="F264" t="s">
        <v>50</v>
      </c>
      <c r="G264" t="s">
        <v>31</v>
      </c>
      <c r="H264" t="s">
        <v>43</v>
      </c>
      <c r="I264" t="s">
        <v>1060</v>
      </c>
      <c r="J264" t="str">
        <f>IF(ISNUMBER(SEARCH("India",Table2[[#This Row],[Emp_Name]])),"INR",
IF(ISNUMBER(SEARCH("Foreign",Table2[[#This Row],[Emp_Name]])),Table2[[#This Row],[Currency]],Table2[[#This Row],[Currency]]))</f>
        <v>INR</v>
      </c>
      <c r="K264">
        <v>28000</v>
      </c>
      <c r="L264">
        <v>12</v>
      </c>
      <c r="M264">
        <f>IF(Table2[[#This Row],[Num_Month]]&lt;&gt;12,12,Table2[[#This Row],[Num_Month]])</f>
        <v>12</v>
      </c>
      <c r="N264">
        <f>IF(Table2[[#This Row],[Monthly_Salary]]="","",Table2[[#This Row],[Monthly_Salary]]*Table2[[#This Row],[Num_Month_Final]])</f>
        <v>336000</v>
      </c>
      <c r="O264">
        <v>2</v>
      </c>
      <c r="P264">
        <f>IF(Table2[[#This Row],[Exp_Years]]&lt;0,ABS(Table2[[#This Row],[Exp_Years]]),Table2[[#This Row],[Exp_Years]])</f>
        <v>2</v>
      </c>
      <c r="Q264">
        <v>1</v>
      </c>
      <c r="S264" t="str">
        <f>IF(Table2[[#This Row],[Performance_Rating]]&gt;=3,Table2[[#This Row],[Monthly_Salary]]*0.3,"")</f>
        <v/>
      </c>
      <c r="T264">
        <v>80</v>
      </c>
      <c r="U264">
        <v>15</v>
      </c>
      <c r="V264">
        <v>3</v>
      </c>
      <c r="W264" t="s">
        <v>37</v>
      </c>
      <c r="X264" t="s">
        <v>38</v>
      </c>
      <c r="Y264" t="str">
        <f>IF(Table2[[#This Row],[Work_Mode]]&lt;&gt;"",Table2[[#This Row],[Work_Mode]],
IF(ISNUMBER(SEARCH("India",Table2[[#This Row],[Emp_Name]])),"Office",
IF(ISNUMBER(SEARCH("Foreign",Table2[[#This Row],[Emp_Name]])),"Remote","")))</f>
        <v>Hybrid</v>
      </c>
      <c r="Z264">
        <v>10</v>
      </c>
      <c r="AA26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64" t="s">
        <v>39</v>
      </c>
      <c r="AC264" t="str">
        <f>IF(COUNTIF(Table2[Emp_ID],Table2[[#This Row],[Emp_ID]])&gt;1,"Duplicate","Unique")</f>
        <v>Unique</v>
      </c>
      <c r="AE264" s="2"/>
      <c r="AG264" t="str">
        <f>IF(Table2[[#This Row],[Monthly_Salary]]="","Exclude",
IF(Table2[[#This Row],[Row_Status]]="Mismatch","Exclude",
IF(AND(Table2[[#This Row],[Row_Status]]="Exact Duplicate",
COUNTIFS(Table2[Emp_ID],Table2[[#This Row],[Emp_ID]],Table2[Row_Concat],Table2[[#This Row],[Row_Concat]],
Table2[Row_Number],"&lt;"&amp;Table2[[#This Row],[Row_Number]])&gt;=1),"Delete","")))</f>
        <v/>
      </c>
      <c r="AH264" t="str">
        <f>VLOOKUP(Table2[[#This Row],[Department]],Raw_2!A:B,2,0)</f>
        <v>Night</v>
      </c>
      <c r="AI264">
        <f>VLOOKUP(Table2[[#This Row],[Department]],Raw_2!A:C,3,0)</f>
        <v>13</v>
      </c>
    </row>
    <row r="265" spans="1:35">
      <c r="A265" t="s">
        <v>571</v>
      </c>
      <c r="B265" t="s">
        <v>572</v>
      </c>
      <c r="C265">
        <v>25</v>
      </c>
      <c r="E265" t="str">
        <f>IF(OR(Table2[[#This Row],[Gender]]="Male",Table2[[#This Row],[Gender]]="M"),"M",
IF(OR(Table2[[#This Row],[Gender]]="Female",Table2[[#This Row],[Gender]]="F"),"F",""))</f>
        <v/>
      </c>
      <c r="F265" t="s">
        <v>61</v>
      </c>
      <c r="G265" t="s">
        <v>66</v>
      </c>
      <c r="H265" t="s">
        <v>43</v>
      </c>
      <c r="I265" t="s">
        <v>1059</v>
      </c>
      <c r="J265" t="str">
        <f>IF(ISNUMBER(SEARCH("India",Table2[[#This Row],[Emp_Name]])),"INR",
IF(ISNUMBER(SEARCH("Foreign",Table2[[#This Row],[Emp_Name]])),Table2[[#This Row],[Currency]],Table2[[#This Row],[Currency]]))</f>
        <v>USD</v>
      </c>
      <c r="K265">
        <v>28000</v>
      </c>
      <c r="L265">
        <v>12</v>
      </c>
      <c r="M265">
        <f>IF(Table2[[#This Row],[Num_Month]]&lt;&gt;12,12,Table2[[#This Row],[Num_Month]])</f>
        <v>12</v>
      </c>
      <c r="N265">
        <f>IF(Table2[[#This Row],[Monthly_Salary]]="","",Table2[[#This Row],[Monthly_Salary]]*Table2[[#This Row],[Num_Month_Final]])</f>
        <v>336000</v>
      </c>
      <c r="O265">
        <v>2</v>
      </c>
      <c r="P265">
        <f>IF(Table2[[#This Row],[Exp_Years]]&lt;0,ABS(Table2[[#This Row],[Exp_Years]]),Table2[[#This Row],[Exp_Years]])</f>
        <v>2</v>
      </c>
      <c r="Q265">
        <v>2</v>
      </c>
      <c r="S265" t="str">
        <f>IF(Table2[[#This Row],[Performance_Rating]]&gt;=3,Table2[[#This Row],[Monthly_Salary]]*0.3,"")</f>
        <v/>
      </c>
      <c r="T265">
        <v>80</v>
      </c>
      <c r="U265">
        <v>5</v>
      </c>
      <c r="V265">
        <v>2</v>
      </c>
      <c r="W265" t="s">
        <v>21</v>
      </c>
      <c r="X265" t="s">
        <v>28</v>
      </c>
      <c r="Y265" t="str">
        <f>IF(Table2[[#This Row],[Work_Mode]]&lt;&gt;"",Table2[[#This Row],[Work_Mode]],
IF(ISNUMBER(SEARCH("India",Table2[[#This Row],[Emp_Name]])),"Office",
IF(ISNUMBER(SEARCH("Foreign",Table2[[#This Row],[Emp_Name]])),"Remote","")))</f>
        <v>Remote</v>
      </c>
      <c r="AA26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65" t="s">
        <v>39</v>
      </c>
      <c r="AC265" t="str">
        <f>IF(COUNTIF(Table2[Emp_ID],Table2[[#This Row],[Emp_ID]])&gt;1,"Duplicate","Unique")</f>
        <v>Unique</v>
      </c>
      <c r="AE265" s="2"/>
      <c r="AG265" t="str">
        <f>IF(Table2[[#This Row],[Monthly_Salary]]="","Exclude",
IF(Table2[[#This Row],[Row_Status]]="Mismatch","Exclude",
IF(AND(Table2[[#This Row],[Row_Status]]="Exact Duplicate",
COUNTIFS(Table2[Emp_ID],Table2[[#This Row],[Emp_ID]],Table2[Row_Concat],Table2[[#This Row],[Row_Concat]],
Table2[Row_Number],"&lt;"&amp;Table2[[#This Row],[Row_Number]])&gt;=1),"Delete","")))</f>
        <v/>
      </c>
      <c r="AH265" t="str">
        <f>VLOOKUP(Table2[[#This Row],[Department]],Raw_2!A:B,2,0)</f>
        <v>Night</v>
      </c>
      <c r="AI265">
        <f>VLOOKUP(Table2[[#This Row],[Department]],Raw_2!A:C,3,0)</f>
        <v>20</v>
      </c>
    </row>
    <row r="266" spans="1:35">
      <c r="A266" t="s">
        <v>573</v>
      </c>
      <c r="B266" t="s">
        <v>574</v>
      </c>
      <c r="C266">
        <v>24</v>
      </c>
      <c r="D266" t="s">
        <v>16</v>
      </c>
      <c r="E266" t="str">
        <f>IF(OR(Table2[[#This Row],[Gender]]="Male",Table2[[#This Row],[Gender]]="M"),"M",
IF(OR(Table2[[#This Row],[Gender]]="Female",Table2[[#This Row],[Gender]]="F"),"F",""))</f>
        <v>M</v>
      </c>
      <c r="F266" t="s">
        <v>57</v>
      </c>
      <c r="G266" t="s">
        <v>42</v>
      </c>
      <c r="H266" t="s">
        <v>43</v>
      </c>
      <c r="I266" t="s">
        <v>1060</v>
      </c>
      <c r="J266" t="str">
        <f>IF(ISNUMBER(SEARCH("India",Table2[[#This Row],[Emp_Name]])),"INR",
IF(ISNUMBER(SEARCH("Foreign",Table2[[#This Row],[Emp_Name]])),Table2[[#This Row],[Currency]],Table2[[#This Row],[Currency]]))</f>
        <v>INR</v>
      </c>
      <c r="K266">
        <v>28000</v>
      </c>
      <c r="L266">
        <v>12</v>
      </c>
      <c r="M266">
        <f>IF(Table2[[#This Row],[Num_Month]]&lt;&gt;12,12,Table2[[#This Row],[Num_Month]])</f>
        <v>12</v>
      </c>
      <c r="N266">
        <f>IF(Table2[[#This Row],[Monthly_Salary]]="","",Table2[[#This Row],[Monthly_Salary]]*Table2[[#This Row],[Num_Month_Final]])</f>
        <v>336000</v>
      </c>
      <c r="O266">
        <v>2</v>
      </c>
      <c r="P266">
        <f>IF(Table2[[#This Row],[Exp_Years]]&lt;0,ABS(Table2[[#This Row],[Exp_Years]]),Table2[[#This Row],[Exp_Years]])</f>
        <v>2</v>
      </c>
      <c r="Q266">
        <v>4</v>
      </c>
      <c r="S266">
        <f>IF(Table2[[#This Row],[Performance_Rating]]&gt;=3,Table2[[#This Row],[Monthly_Salary]]*0.3,"")</f>
        <v>8400</v>
      </c>
      <c r="T266">
        <v>85</v>
      </c>
      <c r="U266">
        <v>12</v>
      </c>
      <c r="V266">
        <v>1</v>
      </c>
      <c r="W266" t="s">
        <v>37</v>
      </c>
      <c r="X266" t="s">
        <v>38</v>
      </c>
      <c r="Y266" t="str">
        <f>IF(Table2[[#This Row],[Work_Mode]]&lt;&gt;"",Table2[[#This Row],[Work_Mode]],
IF(ISNUMBER(SEARCH("India",Table2[[#This Row],[Emp_Name]])),"Office",
IF(ISNUMBER(SEARCH("Foreign",Table2[[#This Row],[Emp_Name]])),"Remote","")))</f>
        <v>Hybrid</v>
      </c>
      <c r="Z266">
        <v>5</v>
      </c>
      <c r="AA26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266" t="s">
        <v>58</v>
      </c>
      <c r="AC266" t="str">
        <f>IF(COUNTIF(Table2[Emp_ID],Table2[[#This Row],[Emp_ID]])&gt;1,"Duplicate","Unique")</f>
        <v>Unique</v>
      </c>
      <c r="AE266" s="2"/>
      <c r="AG266" t="str">
        <f>IF(Table2[[#This Row],[Monthly_Salary]]="","Exclude",
IF(Table2[[#This Row],[Row_Status]]="Mismatch","Exclude",
IF(AND(Table2[[#This Row],[Row_Status]]="Exact Duplicate",
COUNTIFS(Table2[Emp_ID],Table2[[#This Row],[Emp_ID]],Table2[Row_Concat],Table2[[#This Row],[Row_Concat]],
Table2[Row_Number],"&lt;"&amp;Table2[[#This Row],[Row_Number]])&gt;=1),"Delete","")))</f>
        <v/>
      </c>
      <c r="AH266" t="str">
        <f>VLOOKUP(Table2[[#This Row],[Department]],Raw_2!A:B,2,0)</f>
        <v>Day</v>
      </c>
      <c r="AI266">
        <f>VLOOKUP(Table2[[#This Row],[Department]],Raw_2!A:C,3,0)</f>
        <v>14</v>
      </c>
    </row>
    <row r="267" spans="1:35">
      <c r="A267" t="s">
        <v>575</v>
      </c>
      <c r="B267" t="s">
        <v>576</v>
      </c>
      <c r="C267">
        <v>19</v>
      </c>
      <c r="D267" t="s">
        <v>34</v>
      </c>
      <c r="E267" t="str">
        <f>IF(OR(Table2[[#This Row],[Gender]]="Male",Table2[[#This Row],[Gender]]="M"),"M",
IF(OR(Table2[[#This Row],[Gender]]="Female",Table2[[#This Row],[Gender]]="F"),"F",""))</f>
        <v>F</v>
      </c>
      <c r="F267" t="s">
        <v>65</v>
      </c>
      <c r="G267" t="s">
        <v>66</v>
      </c>
      <c r="H267" t="s">
        <v>1047</v>
      </c>
      <c r="I267" t="s">
        <v>1060</v>
      </c>
      <c r="J267" t="str">
        <f>IF(ISNUMBER(SEARCH("India",Table2[[#This Row],[Emp_Name]])),"INR",
IF(ISNUMBER(SEARCH("Foreign",Table2[[#This Row],[Emp_Name]])),Table2[[#This Row],[Currency]],Table2[[#This Row],[Currency]]))</f>
        <v>INR</v>
      </c>
      <c r="K267">
        <v>9000</v>
      </c>
      <c r="L267">
        <v>12</v>
      </c>
      <c r="M267">
        <f>IF(Table2[[#This Row],[Num_Month]]&lt;&gt;12,12,Table2[[#This Row],[Num_Month]])</f>
        <v>12</v>
      </c>
      <c r="N267">
        <f>IF(Table2[[#This Row],[Monthly_Salary]]="","",Table2[[#This Row],[Monthly_Salary]]*Table2[[#This Row],[Num_Month_Final]])</f>
        <v>108000</v>
      </c>
      <c r="O267">
        <v>0</v>
      </c>
      <c r="P267">
        <f>IF(Table2[[#This Row],[Exp_Years]]&lt;0,ABS(Table2[[#This Row],[Exp_Years]]),Table2[[#This Row],[Exp_Years]])</f>
        <v>0</v>
      </c>
      <c r="Q267">
        <v>2</v>
      </c>
      <c r="S267" t="str">
        <f>IF(Table2[[#This Row],[Performance_Rating]]&gt;=3,Table2[[#This Row],[Monthly_Salary]]*0.3,"")</f>
        <v/>
      </c>
      <c r="T267">
        <v>90</v>
      </c>
      <c r="U267">
        <v>15</v>
      </c>
      <c r="V267">
        <v>2</v>
      </c>
      <c r="W267" t="s">
        <v>21</v>
      </c>
      <c r="X267" t="s">
        <v>19</v>
      </c>
      <c r="Y267" t="str">
        <f>IF(Table2[[#This Row],[Work_Mode]]&lt;&gt;"",Table2[[#This Row],[Work_Mode]],
IF(ISNUMBER(SEARCH("India",Table2[[#This Row],[Emp_Name]])),"Office",
IF(ISNUMBER(SEARCH("Foreign",Table2[[#This Row],[Emp_Name]])),"Remote","")))</f>
        <v>Office</v>
      </c>
      <c r="Z267">
        <v>10</v>
      </c>
      <c r="AA26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67" t="s">
        <v>39</v>
      </c>
      <c r="AC267" t="str">
        <f>IF(COUNTIF(Table2[Emp_ID],Table2[[#This Row],[Emp_ID]])&gt;1,"Duplicate","Unique")</f>
        <v>Unique</v>
      </c>
      <c r="AE267" s="2"/>
      <c r="AG267" t="str">
        <f>IF(Table2[[#This Row],[Monthly_Salary]]="","Exclude",
IF(Table2[[#This Row],[Row_Status]]="Mismatch","Exclude",
IF(AND(Table2[[#This Row],[Row_Status]]="Exact Duplicate",
COUNTIFS(Table2[Emp_ID],Table2[[#This Row],[Emp_ID]],Table2[Row_Concat],Table2[[#This Row],[Row_Concat]],
Table2[Row_Number],"&lt;"&amp;Table2[[#This Row],[Row_Number]])&gt;=1),"Delete","")))</f>
        <v/>
      </c>
      <c r="AH267" t="str">
        <f>VLOOKUP(Table2[[#This Row],[Department]],Raw_2!A:B,2,0)</f>
        <v>Night</v>
      </c>
      <c r="AI267">
        <f>VLOOKUP(Table2[[#This Row],[Department]],Raw_2!A:C,3,0)</f>
        <v>20</v>
      </c>
    </row>
    <row r="268" spans="1:35">
      <c r="A268" t="s">
        <v>577</v>
      </c>
      <c r="B268" t="s">
        <v>578</v>
      </c>
      <c r="C268">
        <v>31</v>
      </c>
      <c r="E268" t="str">
        <f>IF(OR(Table2[[#This Row],[Gender]]="Male",Table2[[#This Row],[Gender]]="M"),"M",
IF(OR(Table2[[#This Row],[Gender]]="Female",Table2[[#This Row],[Gender]]="F"),"F",""))</f>
        <v/>
      </c>
      <c r="F268" t="s">
        <v>26</v>
      </c>
      <c r="G268" t="s">
        <v>18</v>
      </c>
      <c r="H268" t="s">
        <v>82</v>
      </c>
      <c r="I268" t="s">
        <v>1060</v>
      </c>
      <c r="J268" t="str">
        <f>IF(ISNUMBER(SEARCH("India",Table2[[#This Row],[Emp_Name]])),"INR",
IF(ISNUMBER(SEARCH("Foreign",Table2[[#This Row],[Emp_Name]])),Table2[[#This Row],[Currency]],Table2[[#This Row],[Currency]]))</f>
        <v>INR</v>
      </c>
      <c r="K268">
        <v>89000</v>
      </c>
      <c r="L268">
        <v>12</v>
      </c>
      <c r="M268">
        <f>IF(Table2[[#This Row],[Num_Month]]&lt;&gt;12,12,Table2[[#This Row],[Num_Month]])</f>
        <v>12</v>
      </c>
      <c r="N268">
        <f>IF(Table2[[#This Row],[Monthly_Salary]]="","",Table2[[#This Row],[Monthly_Salary]]*Table2[[#This Row],[Num_Month_Final]])</f>
        <v>1068000</v>
      </c>
      <c r="O268">
        <v>7</v>
      </c>
      <c r="P268">
        <f>IF(Table2[[#This Row],[Exp_Years]]&lt;0,ABS(Table2[[#This Row],[Exp_Years]]),Table2[[#This Row],[Exp_Years]])</f>
        <v>7</v>
      </c>
      <c r="Q268">
        <v>4</v>
      </c>
      <c r="S268">
        <f>IF(Table2[[#This Row],[Performance_Rating]]&gt;=3,Table2[[#This Row],[Monthly_Salary]]*0.3,"")</f>
        <v>26700</v>
      </c>
      <c r="T268">
        <v>85</v>
      </c>
      <c r="U268">
        <v>15</v>
      </c>
      <c r="V268">
        <v>9</v>
      </c>
      <c r="W268" t="s">
        <v>21</v>
      </c>
      <c r="X268" t="s">
        <v>38</v>
      </c>
      <c r="Y268" t="str">
        <f>IF(Table2[[#This Row],[Work_Mode]]&lt;&gt;"",Table2[[#This Row],[Work_Mode]],
IF(ISNUMBER(SEARCH("India",Table2[[#This Row],[Emp_Name]])),"Office",
IF(ISNUMBER(SEARCH("Foreign",Table2[[#This Row],[Emp_Name]])),"Remote","")))</f>
        <v>Hybrid</v>
      </c>
      <c r="Z268">
        <v>5</v>
      </c>
      <c r="AA26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1750</v>
      </c>
      <c r="AB268" t="s">
        <v>22</v>
      </c>
      <c r="AC268" t="str">
        <f>IF(COUNTIF(Table2[Emp_ID],Table2[[#This Row],[Emp_ID]])&gt;1,"Duplicate","Unique")</f>
        <v>Unique</v>
      </c>
      <c r="AE268" s="2"/>
      <c r="AG268" t="str">
        <f>IF(Table2[[#This Row],[Monthly_Salary]]="","Exclude",
IF(Table2[[#This Row],[Row_Status]]="Mismatch","Exclude",
IF(AND(Table2[[#This Row],[Row_Status]]="Exact Duplicate",
COUNTIFS(Table2[Emp_ID],Table2[[#This Row],[Emp_ID]],Table2[Row_Concat],Table2[[#This Row],[Row_Concat]],
Table2[Row_Number],"&lt;"&amp;Table2[[#This Row],[Row_Number]])&gt;=1),"Delete","")))</f>
        <v/>
      </c>
      <c r="AH268" t="str">
        <f>VLOOKUP(Table2[[#This Row],[Department]],Raw_2!A:B,2,0)</f>
        <v>Day</v>
      </c>
      <c r="AI268">
        <f>VLOOKUP(Table2[[#This Row],[Department]],Raw_2!A:C,3,0)</f>
        <v>10</v>
      </c>
    </row>
    <row r="269" spans="1:35">
      <c r="A269" t="s">
        <v>579</v>
      </c>
      <c r="B269" t="s">
        <v>580</v>
      </c>
      <c r="C269">
        <v>23</v>
      </c>
      <c r="D269" t="s">
        <v>25</v>
      </c>
      <c r="E269" t="str">
        <f>IF(OR(Table2[[#This Row],[Gender]]="Male",Table2[[#This Row],[Gender]]="M"),"M",
IF(OR(Table2[[#This Row],[Gender]]="Female",Table2[[#This Row],[Gender]]="F"),"F",""))</f>
        <v>F</v>
      </c>
      <c r="F269" t="s">
        <v>61</v>
      </c>
      <c r="G269" t="s">
        <v>27</v>
      </c>
      <c r="H269" t="s">
        <v>43</v>
      </c>
      <c r="I269" t="s">
        <v>1060</v>
      </c>
      <c r="J269" t="str">
        <f>IF(ISNUMBER(SEARCH("India",Table2[[#This Row],[Emp_Name]])),"INR",
IF(ISNUMBER(SEARCH("Foreign",Table2[[#This Row],[Emp_Name]])),Table2[[#This Row],[Currency]],Table2[[#This Row],[Currency]]))</f>
        <v>INR</v>
      </c>
      <c r="K269">
        <v>28000</v>
      </c>
      <c r="L269">
        <v>12</v>
      </c>
      <c r="M269">
        <f>IF(Table2[[#This Row],[Num_Month]]&lt;&gt;12,12,Table2[[#This Row],[Num_Month]])</f>
        <v>12</v>
      </c>
      <c r="N269">
        <f>IF(Table2[[#This Row],[Monthly_Salary]]="","",Table2[[#This Row],[Monthly_Salary]]*Table2[[#This Row],[Num_Month_Final]])</f>
        <v>336000</v>
      </c>
      <c r="O269">
        <v>2</v>
      </c>
      <c r="P269">
        <f>IF(Table2[[#This Row],[Exp_Years]]&lt;0,ABS(Table2[[#This Row],[Exp_Years]]),Table2[[#This Row],[Exp_Years]])</f>
        <v>2</v>
      </c>
      <c r="Q269">
        <v>3</v>
      </c>
      <c r="R269">
        <v>11400</v>
      </c>
      <c r="S269">
        <f>IF(Table2[[#This Row],[Performance_Rating]]&gt;=3,Table2[[#This Row],[Monthly_Salary]]*0.3,"")</f>
        <v>8400</v>
      </c>
      <c r="T269">
        <v>80</v>
      </c>
      <c r="U269">
        <v>12</v>
      </c>
      <c r="V269">
        <v>13</v>
      </c>
      <c r="W269" t="s">
        <v>37</v>
      </c>
      <c r="X269" t="s">
        <v>19</v>
      </c>
      <c r="Y269" t="str">
        <f>IF(Table2[[#This Row],[Work_Mode]]&lt;&gt;"",Table2[[#This Row],[Work_Mode]],
IF(ISNUMBER(SEARCH("India",Table2[[#This Row],[Emp_Name]])),"Office",
IF(ISNUMBER(SEARCH("Foreign",Table2[[#This Row],[Emp_Name]])),"Remote","")))</f>
        <v>Office</v>
      </c>
      <c r="AA26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69" t="s">
        <v>22</v>
      </c>
      <c r="AC269" t="str">
        <f>IF(COUNTIF(Table2[Emp_ID],Table2[[#This Row],[Emp_ID]])&gt;1,"Duplicate","Unique")</f>
        <v>Unique</v>
      </c>
      <c r="AE269" s="2"/>
      <c r="AG269" t="str">
        <f>IF(Table2[[#This Row],[Monthly_Salary]]="","Exclude",
IF(Table2[[#This Row],[Row_Status]]="Mismatch","Exclude",
IF(AND(Table2[[#This Row],[Row_Status]]="Exact Duplicate",
COUNTIFS(Table2[Emp_ID],Table2[[#This Row],[Emp_ID]],Table2[Row_Concat],Table2[[#This Row],[Row_Concat]],
Table2[Row_Number],"&lt;"&amp;Table2[[#This Row],[Row_Number]])&gt;=1),"Delete","")))</f>
        <v/>
      </c>
      <c r="AH269" t="str">
        <f>VLOOKUP(Table2[[#This Row],[Department]],Raw_2!A:B,2,0)</f>
        <v>Day</v>
      </c>
      <c r="AI269">
        <f>VLOOKUP(Table2[[#This Row],[Department]],Raw_2!A:C,3,0)</f>
        <v>12</v>
      </c>
    </row>
    <row r="270" spans="1:35">
      <c r="A270" t="s">
        <v>581</v>
      </c>
      <c r="B270" t="s">
        <v>582</v>
      </c>
      <c r="C270">
        <v>23</v>
      </c>
      <c r="D270" t="s">
        <v>25</v>
      </c>
      <c r="E270" t="str">
        <f>IF(OR(Table2[[#This Row],[Gender]]="Male",Table2[[#This Row],[Gender]]="M"),"M",
IF(OR(Table2[[#This Row],[Gender]]="Female",Table2[[#This Row],[Gender]]="F"),"F",""))</f>
        <v>F</v>
      </c>
      <c r="F270" t="s">
        <v>64</v>
      </c>
      <c r="G270" t="s">
        <v>27</v>
      </c>
      <c r="H270" t="s">
        <v>43</v>
      </c>
      <c r="I270" t="s">
        <v>1059</v>
      </c>
      <c r="J270" t="str">
        <f>IF(ISNUMBER(SEARCH("India",Table2[[#This Row],[Emp_Name]])),"INR",
IF(ISNUMBER(SEARCH("Foreign",Table2[[#This Row],[Emp_Name]])),Table2[[#This Row],[Currency]],Table2[[#This Row],[Currency]]))</f>
        <v>USD</v>
      </c>
      <c r="K270">
        <v>28000</v>
      </c>
      <c r="L270">
        <v>12</v>
      </c>
      <c r="M270">
        <f>IF(Table2[[#This Row],[Num_Month]]&lt;&gt;12,12,Table2[[#This Row],[Num_Month]])</f>
        <v>12</v>
      </c>
      <c r="N270">
        <f>IF(Table2[[#This Row],[Monthly_Salary]]="","",Table2[[#This Row],[Monthly_Salary]]*Table2[[#This Row],[Num_Month_Final]])</f>
        <v>336000</v>
      </c>
      <c r="O270">
        <v>2</v>
      </c>
      <c r="P270">
        <f>IF(Table2[[#This Row],[Exp_Years]]&lt;0,ABS(Table2[[#This Row],[Exp_Years]]),Table2[[#This Row],[Exp_Years]])</f>
        <v>2</v>
      </c>
      <c r="Q270">
        <v>3</v>
      </c>
      <c r="R270">
        <v>11400</v>
      </c>
      <c r="S270">
        <f>IF(Table2[[#This Row],[Performance_Rating]]&gt;=3,Table2[[#This Row],[Monthly_Salary]]*0.3,"")</f>
        <v>8400</v>
      </c>
      <c r="T270">
        <v>95</v>
      </c>
      <c r="U270">
        <v>15</v>
      </c>
      <c r="V270">
        <v>1</v>
      </c>
      <c r="X270" t="s">
        <v>28</v>
      </c>
      <c r="Y270" t="str">
        <f>IF(Table2[[#This Row],[Work_Mode]]&lt;&gt;"",Table2[[#This Row],[Work_Mode]],
IF(ISNUMBER(SEARCH("India",Table2[[#This Row],[Emp_Name]])),"Office",
IF(ISNUMBER(SEARCH("Foreign",Table2[[#This Row],[Emp_Name]])),"Remote","")))</f>
        <v>Remote</v>
      </c>
      <c r="Z270">
        <v>10</v>
      </c>
      <c r="AA27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70" t="s">
        <v>22</v>
      </c>
      <c r="AC270" t="str">
        <f>IF(COUNTIF(Table2[Emp_ID],Table2[[#This Row],[Emp_ID]])&gt;1,"Duplicate","Unique")</f>
        <v>Unique</v>
      </c>
      <c r="AE270" s="2"/>
      <c r="AG270" t="str">
        <f>IF(Table2[[#This Row],[Monthly_Salary]]="","Exclude",
IF(Table2[[#This Row],[Row_Status]]="Mismatch","Exclude",
IF(AND(Table2[[#This Row],[Row_Status]]="Exact Duplicate",
COUNTIFS(Table2[Emp_ID],Table2[[#This Row],[Emp_ID]],Table2[Row_Concat],Table2[[#This Row],[Row_Concat]],
Table2[Row_Number],"&lt;"&amp;Table2[[#This Row],[Row_Number]])&gt;=1),"Delete","")))</f>
        <v/>
      </c>
      <c r="AH270" t="str">
        <f>VLOOKUP(Table2[[#This Row],[Department]],Raw_2!A:B,2,0)</f>
        <v>Day</v>
      </c>
      <c r="AI270">
        <f>VLOOKUP(Table2[[#This Row],[Department]],Raw_2!A:C,3,0)</f>
        <v>12</v>
      </c>
    </row>
    <row r="271" spans="1:35">
      <c r="A271" t="s">
        <v>583</v>
      </c>
      <c r="B271" t="s">
        <v>584</v>
      </c>
      <c r="C271">
        <v>25</v>
      </c>
      <c r="D271" t="s">
        <v>25</v>
      </c>
      <c r="E271" t="str">
        <f>IF(OR(Table2[[#This Row],[Gender]]="Male",Table2[[#This Row],[Gender]]="M"),"M",
IF(OR(Table2[[#This Row],[Gender]]="Female",Table2[[#This Row],[Gender]]="F"),"F",""))</f>
        <v>F</v>
      </c>
      <c r="F271" t="s">
        <v>17</v>
      </c>
      <c r="G271" t="s">
        <v>18</v>
      </c>
      <c r="H271" t="s">
        <v>43</v>
      </c>
      <c r="I271" t="s">
        <v>1060</v>
      </c>
      <c r="J271" t="str">
        <f>IF(ISNUMBER(SEARCH("India",Table2[[#This Row],[Emp_Name]])),"INR",
IF(ISNUMBER(SEARCH("Foreign",Table2[[#This Row],[Emp_Name]])),Table2[[#This Row],[Currency]],Table2[[#This Row],[Currency]]))</f>
        <v>INR</v>
      </c>
      <c r="K271">
        <v>24000</v>
      </c>
      <c r="L271">
        <v>12</v>
      </c>
      <c r="M271">
        <f>IF(Table2[[#This Row],[Num_Month]]&lt;&gt;12,12,Table2[[#This Row],[Num_Month]])</f>
        <v>12</v>
      </c>
      <c r="N271">
        <f>IF(Table2[[#This Row],[Monthly_Salary]]="","",Table2[[#This Row],[Monthly_Salary]]*Table2[[#This Row],[Num_Month_Final]])</f>
        <v>288000</v>
      </c>
      <c r="O271">
        <v>1</v>
      </c>
      <c r="P271">
        <f>IF(Table2[[#This Row],[Exp_Years]]&lt;0,ABS(Table2[[#This Row],[Exp_Years]]),Table2[[#This Row],[Exp_Years]])</f>
        <v>1</v>
      </c>
      <c r="Q271">
        <v>2</v>
      </c>
      <c r="S271" t="str">
        <f>IF(Table2[[#This Row],[Performance_Rating]]&gt;=3,Table2[[#This Row],[Monthly_Salary]]*0.3,"")</f>
        <v/>
      </c>
      <c r="T271">
        <v>88</v>
      </c>
      <c r="U271">
        <v>15</v>
      </c>
      <c r="V271">
        <v>1</v>
      </c>
      <c r="X271" t="s">
        <v>38</v>
      </c>
      <c r="Y271" t="str">
        <f>IF(Table2[[#This Row],[Work_Mode]]&lt;&gt;"",Table2[[#This Row],[Work_Mode]],
IF(ISNUMBER(SEARCH("India",Table2[[#This Row],[Emp_Name]])),"Office",
IF(ISNUMBER(SEARCH("Foreign",Table2[[#This Row],[Emp_Name]])),"Remote","")))</f>
        <v>Hybrid</v>
      </c>
      <c r="Z271">
        <v>10</v>
      </c>
      <c r="AA27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71" t="s">
        <v>39</v>
      </c>
      <c r="AC271" t="str">
        <f>IF(COUNTIF(Table2[Emp_ID],Table2[[#This Row],[Emp_ID]])&gt;1,"Duplicate","Unique")</f>
        <v>Unique</v>
      </c>
      <c r="AE271" s="2"/>
      <c r="AG271" t="str">
        <f>IF(Table2[[#This Row],[Monthly_Salary]]="","Exclude",
IF(Table2[[#This Row],[Row_Status]]="Mismatch","Exclude",
IF(AND(Table2[[#This Row],[Row_Status]]="Exact Duplicate",
COUNTIFS(Table2[Emp_ID],Table2[[#This Row],[Emp_ID]],Table2[Row_Concat],Table2[[#This Row],[Row_Concat]],
Table2[Row_Number],"&lt;"&amp;Table2[[#This Row],[Row_Number]])&gt;=1),"Delete","")))</f>
        <v/>
      </c>
      <c r="AH271" t="str">
        <f>VLOOKUP(Table2[[#This Row],[Department]],Raw_2!A:B,2,0)</f>
        <v>Day</v>
      </c>
      <c r="AI271">
        <f>VLOOKUP(Table2[[#This Row],[Department]],Raw_2!A:C,3,0)</f>
        <v>10</v>
      </c>
    </row>
    <row r="272" spans="1:35">
      <c r="A272" t="s">
        <v>585</v>
      </c>
      <c r="B272" t="s">
        <v>586</v>
      </c>
      <c r="C272">
        <v>24</v>
      </c>
      <c r="D272" t="s">
        <v>46</v>
      </c>
      <c r="E272" t="str">
        <f>IF(OR(Table2[[#This Row],[Gender]]="Male",Table2[[#This Row],[Gender]]="M"),"M",
IF(OR(Table2[[#This Row],[Gender]]="Female",Table2[[#This Row],[Gender]]="F"),"F",""))</f>
        <v>M</v>
      </c>
      <c r="F272" t="s">
        <v>61</v>
      </c>
      <c r="G272" t="s">
        <v>31</v>
      </c>
      <c r="H272" t="s">
        <v>43</v>
      </c>
      <c r="I272" t="s">
        <v>1060</v>
      </c>
      <c r="J272" t="str">
        <f>IF(ISNUMBER(SEARCH("India",Table2[[#This Row],[Emp_Name]])),"INR",
IF(ISNUMBER(SEARCH("Foreign",Table2[[#This Row],[Emp_Name]])),Table2[[#This Row],[Currency]],Table2[[#This Row],[Currency]]))</f>
        <v>INR</v>
      </c>
      <c r="K272">
        <v>24000</v>
      </c>
      <c r="L272">
        <v>12</v>
      </c>
      <c r="M272">
        <f>IF(Table2[[#This Row],[Num_Month]]&lt;&gt;12,12,Table2[[#This Row],[Num_Month]])</f>
        <v>12</v>
      </c>
      <c r="N272">
        <f>IF(Table2[[#This Row],[Monthly_Salary]]="","",Table2[[#This Row],[Monthly_Salary]]*Table2[[#This Row],[Num_Month_Final]])</f>
        <v>288000</v>
      </c>
      <c r="O272">
        <v>1</v>
      </c>
      <c r="P272">
        <f>IF(Table2[[#This Row],[Exp_Years]]&lt;0,ABS(Table2[[#This Row],[Exp_Years]]),Table2[[#This Row],[Exp_Years]])</f>
        <v>1</v>
      </c>
      <c r="Q272">
        <v>4</v>
      </c>
      <c r="R272">
        <v>16000</v>
      </c>
      <c r="S272">
        <f>IF(Table2[[#This Row],[Performance_Rating]]&gt;=3,Table2[[#This Row],[Monthly_Salary]]*0.3,"")</f>
        <v>7200</v>
      </c>
      <c r="T272">
        <v>90</v>
      </c>
      <c r="U272">
        <v>5</v>
      </c>
      <c r="V272">
        <v>7</v>
      </c>
      <c r="W272" t="s">
        <v>37</v>
      </c>
      <c r="X272" t="s">
        <v>38</v>
      </c>
      <c r="Y272" t="str">
        <f>IF(Table2[[#This Row],[Work_Mode]]&lt;&gt;"",Table2[[#This Row],[Work_Mode]],
IF(ISNUMBER(SEARCH("India",Table2[[#This Row],[Emp_Name]])),"Office",
IF(ISNUMBER(SEARCH("Foreign",Table2[[#This Row],[Emp_Name]])),"Remote","")))</f>
        <v>Hybrid</v>
      </c>
      <c r="AA27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72" t="s">
        <v>22</v>
      </c>
      <c r="AC272" t="str">
        <f>IF(COUNTIF(Table2[Emp_ID],Table2[[#This Row],[Emp_ID]])&gt;1,"Duplicate","Unique")</f>
        <v>Unique</v>
      </c>
      <c r="AE272" s="2"/>
      <c r="AG272" t="str">
        <f>IF(Table2[[#This Row],[Monthly_Salary]]="","Exclude",
IF(Table2[[#This Row],[Row_Status]]="Mismatch","Exclude",
IF(AND(Table2[[#This Row],[Row_Status]]="Exact Duplicate",
COUNTIFS(Table2[Emp_ID],Table2[[#This Row],[Emp_ID]],Table2[Row_Concat],Table2[[#This Row],[Row_Concat]],
Table2[Row_Number],"&lt;"&amp;Table2[[#This Row],[Row_Number]])&gt;=1),"Delete","")))</f>
        <v/>
      </c>
      <c r="AH272" t="str">
        <f>VLOOKUP(Table2[[#This Row],[Department]],Raw_2!A:B,2,0)</f>
        <v>Night</v>
      </c>
      <c r="AI272">
        <f>VLOOKUP(Table2[[#This Row],[Department]],Raw_2!A:C,3,0)</f>
        <v>13</v>
      </c>
    </row>
    <row r="273" spans="1:35">
      <c r="A273" t="s">
        <v>587</v>
      </c>
      <c r="B273" t="s">
        <v>588</v>
      </c>
      <c r="C273">
        <v>27</v>
      </c>
      <c r="D273" t="s">
        <v>46</v>
      </c>
      <c r="E273" t="str">
        <f>IF(OR(Table2[[#This Row],[Gender]]="Male",Table2[[#This Row],[Gender]]="M"),"M",
IF(OR(Table2[[#This Row],[Gender]]="Female",Table2[[#This Row],[Gender]]="F"),"F",""))</f>
        <v>M</v>
      </c>
      <c r="F273" t="s">
        <v>35</v>
      </c>
      <c r="G273" t="s">
        <v>31</v>
      </c>
      <c r="H273" t="s">
        <v>1045</v>
      </c>
      <c r="I273" t="s">
        <v>1060</v>
      </c>
      <c r="J273" t="str">
        <f>IF(ISNUMBER(SEARCH("India",Table2[[#This Row],[Emp_Name]])),"INR",
IF(ISNUMBER(SEARCH("Foreign",Table2[[#This Row],[Emp_Name]])),Table2[[#This Row],[Currency]],Table2[[#This Row],[Currency]]))</f>
        <v>INR</v>
      </c>
      <c r="K273">
        <v>81000</v>
      </c>
      <c r="L273">
        <v>12</v>
      </c>
      <c r="M273">
        <f>IF(Table2[[#This Row],[Num_Month]]&lt;&gt;12,12,Table2[[#This Row],[Num_Month]])</f>
        <v>12</v>
      </c>
      <c r="N273">
        <f>IF(Table2[[#This Row],[Monthly_Salary]]="","",Table2[[#This Row],[Monthly_Salary]]*Table2[[#This Row],[Num_Month_Final]])</f>
        <v>972000</v>
      </c>
      <c r="O273">
        <v>6</v>
      </c>
      <c r="P273">
        <f>IF(Table2[[#This Row],[Exp_Years]]&lt;0,ABS(Table2[[#This Row],[Exp_Years]]),Table2[[#This Row],[Exp_Years]])</f>
        <v>6</v>
      </c>
      <c r="Q273">
        <v>5</v>
      </c>
      <c r="R273">
        <v>10212</v>
      </c>
      <c r="S273">
        <f>IF(Table2[[#This Row],[Performance_Rating]]&gt;=3,Table2[[#This Row],[Monthly_Salary]]*0.3,"")</f>
        <v>24300</v>
      </c>
      <c r="T273">
        <v>88</v>
      </c>
      <c r="U273">
        <v>12</v>
      </c>
      <c r="V273">
        <v>5</v>
      </c>
      <c r="W273" t="s">
        <v>21</v>
      </c>
      <c r="X273" t="s">
        <v>38</v>
      </c>
      <c r="Y273" t="str">
        <f>IF(Table2[[#This Row],[Work_Mode]]&lt;&gt;"",Table2[[#This Row],[Work_Mode]],
IF(ISNUMBER(SEARCH("India",Table2[[#This Row],[Emp_Name]])),"Office",
IF(ISNUMBER(SEARCH("Foreign",Table2[[#This Row],[Emp_Name]])),"Remote","")))</f>
        <v>Hybrid</v>
      </c>
      <c r="Z273">
        <v>20</v>
      </c>
      <c r="AA27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273" t="s">
        <v>58</v>
      </c>
      <c r="AC273" t="str">
        <f>IF(COUNTIF(Table2[Emp_ID],Table2[[#This Row],[Emp_ID]])&gt;1,"Duplicate","Unique")</f>
        <v>Unique</v>
      </c>
      <c r="AE273" s="2"/>
      <c r="AG273" t="str">
        <f>IF(Table2[[#This Row],[Monthly_Salary]]="","Exclude",
IF(Table2[[#This Row],[Row_Status]]="Mismatch","Exclude",
IF(AND(Table2[[#This Row],[Row_Status]]="Exact Duplicate",
COUNTIFS(Table2[Emp_ID],Table2[[#This Row],[Emp_ID]],Table2[Row_Concat],Table2[[#This Row],[Row_Concat]],
Table2[Row_Number],"&lt;"&amp;Table2[[#This Row],[Row_Number]])&gt;=1),"Delete","")))</f>
        <v/>
      </c>
      <c r="AH273" t="str">
        <f>VLOOKUP(Table2[[#This Row],[Department]],Raw_2!A:B,2,0)</f>
        <v>Night</v>
      </c>
      <c r="AI273">
        <f>VLOOKUP(Table2[[#This Row],[Department]],Raw_2!A:C,3,0)</f>
        <v>13</v>
      </c>
    </row>
    <row r="274" spans="1:35">
      <c r="A274" t="s">
        <v>589</v>
      </c>
      <c r="B274" t="s">
        <v>590</v>
      </c>
      <c r="C274">
        <v>25</v>
      </c>
      <c r="D274" t="s">
        <v>46</v>
      </c>
      <c r="E274" t="str">
        <f>IF(OR(Table2[[#This Row],[Gender]]="Male",Table2[[#This Row],[Gender]]="M"),"M",
IF(OR(Table2[[#This Row],[Gender]]="Female",Table2[[#This Row],[Gender]]="F"),"F",""))</f>
        <v>M</v>
      </c>
      <c r="F274" t="s">
        <v>57</v>
      </c>
      <c r="G274" t="s">
        <v>27</v>
      </c>
      <c r="H274" t="s">
        <v>43</v>
      </c>
      <c r="I274" t="s">
        <v>1060</v>
      </c>
      <c r="J274" t="str">
        <f>IF(ISNUMBER(SEARCH("India",Table2[[#This Row],[Emp_Name]])),"INR",
IF(ISNUMBER(SEARCH("Foreign",Table2[[#This Row],[Emp_Name]])),Table2[[#This Row],[Currency]],Table2[[#This Row],[Currency]]))</f>
        <v>INR</v>
      </c>
      <c r="K274">
        <v>28000</v>
      </c>
      <c r="L274">
        <v>12</v>
      </c>
      <c r="M274">
        <f>IF(Table2[[#This Row],[Num_Month]]&lt;&gt;12,12,Table2[[#This Row],[Num_Month]])</f>
        <v>12</v>
      </c>
      <c r="N274">
        <f>IF(Table2[[#This Row],[Monthly_Salary]]="","",Table2[[#This Row],[Monthly_Salary]]*Table2[[#This Row],[Num_Month_Final]])</f>
        <v>336000</v>
      </c>
      <c r="O274">
        <v>2</v>
      </c>
      <c r="P274">
        <f>IF(Table2[[#This Row],[Exp_Years]]&lt;0,ABS(Table2[[#This Row],[Exp_Years]]),Table2[[#This Row],[Exp_Years]])</f>
        <v>2</v>
      </c>
      <c r="Q274">
        <v>2</v>
      </c>
      <c r="S274" t="str">
        <f>IF(Table2[[#This Row],[Performance_Rating]]&gt;=3,Table2[[#This Row],[Monthly_Salary]]*0.3,"")</f>
        <v/>
      </c>
      <c r="T274">
        <v>80</v>
      </c>
      <c r="U274">
        <v>10</v>
      </c>
      <c r="V274">
        <v>5</v>
      </c>
      <c r="W274" t="s">
        <v>37</v>
      </c>
      <c r="X274" t="s">
        <v>38</v>
      </c>
      <c r="Y274" t="str">
        <f>IF(Table2[[#This Row],[Work_Mode]]&lt;&gt;"",Table2[[#This Row],[Work_Mode]],
IF(ISNUMBER(SEARCH("India",Table2[[#This Row],[Emp_Name]])),"Office",
IF(ISNUMBER(SEARCH("Foreign",Table2[[#This Row],[Emp_Name]])),"Remote","")))</f>
        <v>Hybrid</v>
      </c>
      <c r="Z274">
        <v>20</v>
      </c>
      <c r="AA27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274" t="s">
        <v>39</v>
      </c>
      <c r="AC274" t="str">
        <f>IF(COUNTIF(Table2[Emp_ID],Table2[[#This Row],[Emp_ID]])&gt;1,"Duplicate","Unique")</f>
        <v>Unique</v>
      </c>
      <c r="AE274" s="2"/>
      <c r="AG274" t="str">
        <f>IF(Table2[[#This Row],[Monthly_Salary]]="","Exclude",
IF(Table2[[#This Row],[Row_Status]]="Mismatch","Exclude",
IF(AND(Table2[[#This Row],[Row_Status]]="Exact Duplicate",
COUNTIFS(Table2[Emp_ID],Table2[[#This Row],[Emp_ID]],Table2[Row_Concat],Table2[[#This Row],[Row_Concat]],
Table2[Row_Number],"&lt;"&amp;Table2[[#This Row],[Row_Number]])&gt;=1),"Delete","")))</f>
        <v/>
      </c>
      <c r="AH274" t="str">
        <f>VLOOKUP(Table2[[#This Row],[Department]],Raw_2!A:B,2,0)</f>
        <v>Day</v>
      </c>
      <c r="AI274">
        <f>VLOOKUP(Table2[[#This Row],[Department]],Raw_2!A:C,3,0)</f>
        <v>12</v>
      </c>
    </row>
    <row r="275" spans="1:35">
      <c r="A275" t="s">
        <v>591</v>
      </c>
      <c r="B275" t="s">
        <v>592</v>
      </c>
      <c r="C275">
        <v>25</v>
      </c>
      <c r="D275" t="s">
        <v>25</v>
      </c>
      <c r="E275" t="str">
        <f>IF(OR(Table2[[#This Row],[Gender]]="Male",Table2[[#This Row],[Gender]]="M"),"M",
IF(OR(Table2[[#This Row],[Gender]]="Female",Table2[[#This Row],[Gender]]="F"),"F",""))</f>
        <v>F</v>
      </c>
      <c r="F275" t="s">
        <v>35</v>
      </c>
      <c r="G275" t="s">
        <v>18</v>
      </c>
      <c r="H275" t="s">
        <v>43</v>
      </c>
      <c r="I275" t="s">
        <v>1060</v>
      </c>
      <c r="J275" t="str">
        <f>IF(ISNUMBER(SEARCH("India",Table2[[#This Row],[Emp_Name]])),"INR",
IF(ISNUMBER(SEARCH("Foreign",Table2[[#This Row],[Emp_Name]])),Table2[[#This Row],[Currency]],Table2[[#This Row],[Currency]]))</f>
        <v>INR</v>
      </c>
      <c r="K275">
        <v>28000</v>
      </c>
      <c r="L275">
        <v>12</v>
      </c>
      <c r="M275">
        <f>IF(Table2[[#This Row],[Num_Month]]&lt;&gt;12,12,Table2[[#This Row],[Num_Month]])</f>
        <v>12</v>
      </c>
      <c r="N275">
        <f>IF(Table2[[#This Row],[Monthly_Salary]]="","",Table2[[#This Row],[Monthly_Salary]]*Table2[[#This Row],[Num_Month_Final]])</f>
        <v>336000</v>
      </c>
      <c r="O275">
        <v>2</v>
      </c>
      <c r="P275">
        <f>IF(Table2[[#This Row],[Exp_Years]]&lt;0,ABS(Table2[[#This Row],[Exp_Years]]),Table2[[#This Row],[Exp_Years]])</f>
        <v>2</v>
      </c>
      <c r="Q275">
        <v>4</v>
      </c>
      <c r="R275">
        <v>16000</v>
      </c>
      <c r="S275">
        <f>IF(Table2[[#This Row],[Performance_Rating]]&gt;=3,Table2[[#This Row],[Monthly_Salary]]*0.3,"")</f>
        <v>8400</v>
      </c>
      <c r="T275">
        <v>95</v>
      </c>
      <c r="U275">
        <v>15</v>
      </c>
      <c r="V275">
        <v>2</v>
      </c>
      <c r="W275" t="s">
        <v>21</v>
      </c>
      <c r="X275" t="s">
        <v>19</v>
      </c>
      <c r="Y275" t="str">
        <f>IF(Table2[[#This Row],[Work_Mode]]&lt;&gt;"",Table2[[#This Row],[Work_Mode]],
IF(ISNUMBER(SEARCH("India",Table2[[#This Row],[Emp_Name]])),"Office",
IF(ISNUMBER(SEARCH("Foreign",Table2[[#This Row],[Emp_Name]])),"Remote","")))</f>
        <v>Office</v>
      </c>
      <c r="AA27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75" t="s">
        <v>22</v>
      </c>
      <c r="AC275" t="str">
        <f>IF(COUNTIF(Table2[Emp_ID],Table2[[#This Row],[Emp_ID]])&gt;1,"Duplicate","Unique")</f>
        <v>Unique</v>
      </c>
      <c r="AE275" s="2"/>
      <c r="AG275" t="str">
        <f>IF(Table2[[#This Row],[Monthly_Salary]]="","Exclude",
IF(Table2[[#This Row],[Row_Status]]="Mismatch","Exclude",
IF(AND(Table2[[#This Row],[Row_Status]]="Exact Duplicate",
COUNTIFS(Table2[Emp_ID],Table2[[#This Row],[Emp_ID]],Table2[Row_Concat],Table2[[#This Row],[Row_Concat]],
Table2[Row_Number],"&lt;"&amp;Table2[[#This Row],[Row_Number]])&gt;=1),"Delete","")))</f>
        <v/>
      </c>
      <c r="AH275" t="str">
        <f>VLOOKUP(Table2[[#This Row],[Department]],Raw_2!A:B,2,0)</f>
        <v>Day</v>
      </c>
      <c r="AI275">
        <f>VLOOKUP(Table2[[#This Row],[Department]],Raw_2!A:C,3,0)</f>
        <v>10</v>
      </c>
    </row>
    <row r="276" spans="1:35">
      <c r="A276" t="s">
        <v>593</v>
      </c>
      <c r="B276" t="s">
        <v>594</v>
      </c>
      <c r="C276">
        <v>25</v>
      </c>
      <c r="D276" t="s">
        <v>25</v>
      </c>
      <c r="E276" t="str">
        <f>IF(OR(Table2[[#This Row],[Gender]]="Male",Table2[[#This Row],[Gender]]="M"),"M",
IF(OR(Table2[[#This Row],[Gender]]="Female",Table2[[#This Row],[Gender]]="F"),"F",""))</f>
        <v>F</v>
      </c>
      <c r="F276" t="s">
        <v>26</v>
      </c>
      <c r="G276" t="s">
        <v>27</v>
      </c>
      <c r="H276" t="s">
        <v>43</v>
      </c>
      <c r="I276" t="s">
        <v>1060</v>
      </c>
      <c r="J276" t="str">
        <f>IF(ISNUMBER(SEARCH("India",Table2[[#This Row],[Emp_Name]])),"INR",
IF(ISNUMBER(SEARCH("Foreign",Table2[[#This Row],[Emp_Name]])),Table2[[#This Row],[Currency]],Table2[[#This Row],[Currency]]))</f>
        <v>INR</v>
      </c>
      <c r="K276">
        <v>24000</v>
      </c>
      <c r="L276">
        <v>12</v>
      </c>
      <c r="M276">
        <f>IF(Table2[[#This Row],[Num_Month]]&lt;&gt;12,12,Table2[[#This Row],[Num_Month]])</f>
        <v>12</v>
      </c>
      <c r="N276">
        <f>IF(Table2[[#This Row],[Monthly_Salary]]="","",Table2[[#This Row],[Monthly_Salary]]*Table2[[#This Row],[Num_Month_Final]])</f>
        <v>288000</v>
      </c>
      <c r="O276">
        <v>1</v>
      </c>
      <c r="P276">
        <f>IF(Table2[[#This Row],[Exp_Years]]&lt;0,ABS(Table2[[#This Row],[Exp_Years]]),Table2[[#This Row],[Exp_Years]])</f>
        <v>1</v>
      </c>
      <c r="Q276">
        <v>1</v>
      </c>
      <c r="S276" t="str">
        <f>IF(Table2[[#This Row],[Performance_Rating]]&gt;=3,Table2[[#This Row],[Monthly_Salary]]*0.3,"")</f>
        <v/>
      </c>
      <c r="T276">
        <v>88</v>
      </c>
      <c r="U276">
        <v>15</v>
      </c>
      <c r="V276">
        <v>2</v>
      </c>
      <c r="W276" t="s">
        <v>21</v>
      </c>
      <c r="X276" t="s">
        <v>38</v>
      </c>
      <c r="Y276" t="str">
        <f>IF(Table2[[#This Row],[Work_Mode]]&lt;&gt;"",Table2[[#This Row],[Work_Mode]],
IF(ISNUMBER(SEARCH("India",Table2[[#This Row],[Emp_Name]])),"Office",
IF(ISNUMBER(SEARCH("Foreign",Table2[[#This Row],[Emp_Name]])),"Remote","")))</f>
        <v>Hybrid</v>
      </c>
      <c r="AA27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76" t="s">
        <v>39</v>
      </c>
      <c r="AC276" t="str">
        <f>IF(COUNTIF(Table2[Emp_ID],Table2[[#This Row],[Emp_ID]])&gt;1,"Duplicate","Unique")</f>
        <v>Unique</v>
      </c>
      <c r="AE276" s="2"/>
      <c r="AG276" t="str">
        <f>IF(Table2[[#This Row],[Monthly_Salary]]="","Exclude",
IF(Table2[[#This Row],[Row_Status]]="Mismatch","Exclude",
IF(AND(Table2[[#This Row],[Row_Status]]="Exact Duplicate",
COUNTIFS(Table2[Emp_ID],Table2[[#This Row],[Emp_ID]],Table2[Row_Concat],Table2[[#This Row],[Row_Concat]],
Table2[Row_Number],"&lt;"&amp;Table2[[#This Row],[Row_Number]])&gt;=1),"Delete","")))</f>
        <v/>
      </c>
      <c r="AH276" t="str">
        <f>VLOOKUP(Table2[[#This Row],[Department]],Raw_2!A:B,2,0)</f>
        <v>Day</v>
      </c>
      <c r="AI276">
        <f>VLOOKUP(Table2[[#This Row],[Department]],Raw_2!A:C,3,0)</f>
        <v>12</v>
      </c>
    </row>
    <row r="277" spans="1:35">
      <c r="A277" t="s">
        <v>595</v>
      </c>
      <c r="B277" t="s">
        <v>596</v>
      </c>
      <c r="C277">
        <v>25</v>
      </c>
      <c r="D277" t="s">
        <v>16</v>
      </c>
      <c r="E277" t="str">
        <f>IF(OR(Table2[[#This Row],[Gender]]="Male",Table2[[#This Row],[Gender]]="M"),"M",
IF(OR(Table2[[#This Row],[Gender]]="Female",Table2[[#This Row],[Gender]]="F"),"F",""))</f>
        <v>M</v>
      </c>
      <c r="F277" t="s">
        <v>61</v>
      </c>
      <c r="G277" t="s">
        <v>31</v>
      </c>
      <c r="H277" t="s">
        <v>43</v>
      </c>
      <c r="I277" t="s">
        <v>1060</v>
      </c>
      <c r="J277" t="str">
        <f>IF(ISNUMBER(SEARCH("India",Table2[[#This Row],[Emp_Name]])),"INR",
IF(ISNUMBER(SEARCH("Foreign",Table2[[#This Row],[Emp_Name]])),Table2[[#This Row],[Currency]],Table2[[#This Row],[Currency]]))</f>
        <v>INR</v>
      </c>
      <c r="K277">
        <v>28000</v>
      </c>
      <c r="L277">
        <v>12</v>
      </c>
      <c r="M277">
        <f>IF(Table2[[#This Row],[Num_Month]]&lt;&gt;12,12,Table2[[#This Row],[Num_Month]])</f>
        <v>12</v>
      </c>
      <c r="N277">
        <f>IF(Table2[[#This Row],[Monthly_Salary]]="","",Table2[[#This Row],[Monthly_Salary]]*Table2[[#This Row],[Num_Month_Final]])</f>
        <v>336000</v>
      </c>
      <c r="O277">
        <v>2</v>
      </c>
      <c r="P277">
        <f>IF(Table2[[#This Row],[Exp_Years]]&lt;0,ABS(Table2[[#This Row],[Exp_Years]]),Table2[[#This Row],[Exp_Years]])</f>
        <v>2</v>
      </c>
      <c r="Q277">
        <v>2</v>
      </c>
      <c r="S277" t="str">
        <f>IF(Table2[[#This Row],[Performance_Rating]]&gt;=3,Table2[[#This Row],[Monthly_Salary]]*0.3,"")</f>
        <v/>
      </c>
      <c r="T277">
        <v>88</v>
      </c>
      <c r="U277">
        <v>12</v>
      </c>
      <c r="V277">
        <v>2</v>
      </c>
      <c r="X277" t="s">
        <v>38</v>
      </c>
      <c r="Y277" t="str">
        <f>IF(Table2[[#This Row],[Work_Mode]]&lt;&gt;"",Table2[[#This Row],[Work_Mode]],
IF(ISNUMBER(SEARCH("India",Table2[[#This Row],[Emp_Name]])),"Office",
IF(ISNUMBER(SEARCH("Foreign",Table2[[#This Row],[Emp_Name]])),"Remote","")))</f>
        <v>Hybrid</v>
      </c>
      <c r="Z277">
        <v>20</v>
      </c>
      <c r="AA27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277" t="s">
        <v>39</v>
      </c>
      <c r="AC277" t="str">
        <f>IF(COUNTIF(Table2[Emp_ID],Table2[[#This Row],[Emp_ID]])&gt;1,"Duplicate","Unique")</f>
        <v>Unique</v>
      </c>
      <c r="AE277" s="2"/>
      <c r="AG277" t="str">
        <f>IF(Table2[[#This Row],[Monthly_Salary]]="","Exclude",
IF(Table2[[#This Row],[Row_Status]]="Mismatch","Exclude",
IF(AND(Table2[[#This Row],[Row_Status]]="Exact Duplicate",
COUNTIFS(Table2[Emp_ID],Table2[[#This Row],[Emp_ID]],Table2[Row_Concat],Table2[[#This Row],[Row_Concat]],
Table2[Row_Number],"&lt;"&amp;Table2[[#This Row],[Row_Number]])&gt;=1),"Delete","")))</f>
        <v/>
      </c>
      <c r="AH277" t="str">
        <f>VLOOKUP(Table2[[#This Row],[Department]],Raw_2!A:B,2,0)</f>
        <v>Night</v>
      </c>
      <c r="AI277">
        <f>VLOOKUP(Table2[[#This Row],[Department]],Raw_2!A:C,3,0)</f>
        <v>13</v>
      </c>
    </row>
    <row r="278" spans="1:35">
      <c r="A278" t="s">
        <v>597</v>
      </c>
      <c r="B278" t="s">
        <v>598</v>
      </c>
      <c r="C278">
        <v>24</v>
      </c>
      <c r="D278" t="s">
        <v>16</v>
      </c>
      <c r="E278" t="str">
        <f>IF(OR(Table2[[#This Row],[Gender]]="Male",Table2[[#This Row],[Gender]]="M"),"M",
IF(OR(Table2[[#This Row],[Gender]]="Female",Table2[[#This Row],[Gender]]="F"),"F",""))</f>
        <v>M</v>
      </c>
      <c r="F278" t="s">
        <v>64</v>
      </c>
      <c r="G278" t="s">
        <v>18</v>
      </c>
      <c r="H278" t="s">
        <v>43</v>
      </c>
      <c r="I278" t="s">
        <v>1060</v>
      </c>
      <c r="J278" t="str">
        <f>IF(ISNUMBER(SEARCH("India",Table2[[#This Row],[Emp_Name]])),"INR",
IF(ISNUMBER(SEARCH("Foreign",Table2[[#This Row],[Emp_Name]])),Table2[[#This Row],[Currency]],Table2[[#This Row],[Currency]]))</f>
        <v>INR</v>
      </c>
      <c r="K278">
        <v>24000</v>
      </c>
      <c r="L278">
        <v>12</v>
      </c>
      <c r="M278">
        <f>IF(Table2[[#This Row],[Num_Month]]&lt;&gt;12,12,Table2[[#This Row],[Num_Month]])</f>
        <v>12</v>
      </c>
      <c r="N278">
        <f>IF(Table2[[#This Row],[Monthly_Salary]]="","",Table2[[#This Row],[Monthly_Salary]]*Table2[[#This Row],[Num_Month_Final]])</f>
        <v>288000</v>
      </c>
      <c r="O278">
        <v>1</v>
      </c>
      <c r="P278">
        <f>IF(Table2[[#This Row],[Exp_Years]]&lt;0,ABS(Table2[[#This Row],[Exp_Years]]),Table2[[#This Row],[Exp_Years]])</f>
        <v>1</v>
      </c>
      <c r="Q278">
        <v>4</v>
      </c>
      <c r="R278">
        <v>16000</v>
      </c>
      <c r="S278">
        <f>IF(Table2[[#This Row],[Performance_Rating]]&gt;=3,Table2[[#This Row],[Monthly_Salary]]*0.3,"")</f>
        <v>7200</v>
      </c>
      <c r="T278">
        <v>95</v>
      </c>
      <c r="U278">
        <v>12</v>
      </c>
      <c r="V278">
        <v>2</v>
      </c>
      <c r="X278" t="s">
        <v>38</v>
      </c>
      <c r="Y278" t="str">
        <f>IF(Table2[[#This Row],[Work_Mode]]&lt;&gt;"",Table2[[#This Row],[Work_Mode]],
IF(ISNUMBER(SEARCH("India",Table2[[#This Row],[Emp_Name]])),"Office",
IF(ISNUMBER(SEARCH("Foreign",Table2[[#This Row],[Emp_Name]])),"Remote","")))</f>
        <v>Hybrid</v>
      </c>
      <c r="Z278">
        <v>10</v>
      </c>
      <c r="AA27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78" t="s">
        <v>22</v>
      </c>
      <c r="AC278" t="str">
        <f>IF(COUNTIF(Table2[Emp_ID],Table2[[#This Row],[Emp_ID]])&gt;1,"Duplicate","Unique")</f>
        <v>Unique</v>
      </c>
      <c r="AE278" s="2"/>
      <c r="AG278" t="str">
        <f>IF(Table2[[#This Row],[Monthly_Salary]]="","Exclude",
IF(Table2[[#This Row],[Row_Status]]="Mismatch","Exclude",
IF(AND(Table2[[#This Row],[Row_Status]]="Exact Duplicate",
COUNTIFS(Table2[Emp_ID],Table2[[#This Row],[Emp_ID]],Table2[Row_Concat],Table2[[#This Row],[Row_Concat]],
Table2[Row_Number],"&lt;"&amp;Table2[[#This Row],[Row_Number]])&gt;=1),"Delete","")))</f>
        <v/>
      </c>
      <c r="AH278" t="str">
        <f>VLOOKUP(Table2[[#This Row],[Department]],Raw_2!A:B,2,0)</f>
        <v>Day</v>
      </c>
      <c r="AI278">
        <f>VLOOKUP(Table2[[#This Row],[Department]],Raw_2!A:C,3,0)</f>
        <v>10</v>
      </c>
    </row>
    <row r="279" spans="1:35">
      <c r="A279" t="s">
        <v>599</v>
      </c>
      <c r="B279" t="s">
        <v>600</v>
      </c>
      <c r="C279">
        <v>23</v>
      </c>
      <c r="E279" t="str">
        <f>IF(OR(Table2[[#This Row],[Gender]]="Male",Table2[[#This Row],[Gender]]="M"),"M",
IF(OR(Table2[[#This Row],[Gender]]="Female",Table2[[#This Row],[Gender]]="F"),"F",""))</f>
        <v/>
      </c>
      <c r="F279" t="s">
        <v>57</v>
      </c>
      <c r="G279" t="s">
        <v>66</v>
      </c>
      <c r="H279" t="s">
        <v>43</v>
      </c>
      <c r="I279" t="s">
        <v>1060</v>
      </c>
      <c r="J279" t="str">
        <f>IF(ISNUMBER(SEARCH("India",Table2[[#This Row],[Emp_Name]])),"INR",
IF(ISNUMBER(SEARCH("Foreign",Table2[[#This Row],[Emp_Name]])),Table2[[#This Row],[Currency]],Table2[[#This Row],[Currency]]))</f>
        <v>INR</v>
      </c>
      <c r="K279">
        <v>24000</v>
      </c>
      <c r="L279">
        <v>12</v>
      </c>
      <c r="M279">
        <f>IF(Table2[[#This Row],[Num_Month]]&lt;&gt;12,12,Table2[[#This Row],[Num_Month]])</f>
        <v>12</v>
      </c>
      <c r="N279">
        <f>IF(Table2[[#This Row],[Monthly_Salary]]="","",Table2[[#This Row],[Monthly_Salary]]*Table2[[#This Row],[Num_Month_Final]])</f>
        <v>288000</v>
      </c>
      <c r="O279">
        <v>1</v>
      </c>
      <c r="P279">
        <f>IF(Table2[[#This Row],[Exp_Years]]&lt;0,ABS(Table2[[#This Row],[Exp_Years]]),Table2[[#This Row],[Exp_Years]])</f>
        <v>1</v>
      </c>
      <c r="Q279">
        <v>2</v>
      </c>
      <c r="S279" t="str">
        <f>IF(Table2[[#This Row],[Performance_Rating]]&gt;=3,Table2[[#This Row],[Monthly_Salary]]*0.3,"")</f>
        <v/>
      </c>
      <c r="T279">
        <v>85</v>
      </c>
      <c r="U279">
        <v>5</v>
      </c>
      <c r="V279">
        <v>5</v>
      </c>
      <c r="W279" t="s">
        <v>21</v>
      </c>
      <c r="X279" t="s">
        <v>38</v>
      </c>
      <c r="Y279" t="str">
        <f>IF(Table2[[#This Row],[Work_Mode]]&lt;&gt;"",Table2[[#This Row],[Work_Mode]],
IF(ISNUMBER(SEARCH("India",Table2[[#This Row],[Emp_Name]])),"Office",
IF(ISNUMBER(SEARCH("Foreign",Table2[[#This Row],[Emp_Name]])),"Remote","")))</f>
        <v>Hybrid</v>
      </c>
      <c r="AA27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79" t="s">
        <v>39</v>
      </c>
      <c r="AC279" t="str">
        <f>IF(COUNTIF(Table2[Emp_ID],Table2[[#This Row],[Emp_ID]])&gt;1,"Duplicate","Unique")</f>
        <v>Unique</v>
      </c>
      <c r="AE279" s="2"/>
      <c r="AG279" t="str">
        <f>IF(Table2[[#This Row],[Monthly_Salary]]="","Exclude",
IF(Table2[[#This Row],[Row_Status]]="Mismatch","Exclude",
IF(AND(Table2[[#This Row],[Row_Status]]="Exact Duplicate",
COUNTIFS(Table2[Emp_ID],Table2[[#This Row],[Emp_ID]],Table2[Row_Concat],Table2[[#This Row],[Row_Concat]],
Table2[Row_Number],"&lt;"&amp;Table2[[#This Row],[Row_Number]])&gt;=1),"Delete","")))</f>
        <v/>
      </c>
      <c r="AH279" t="str">
        <f>VLOOKUP(Table2[[#This Row],[Department]],Raw_2!A:B,2,0)</f>
        <v>Night</v>
      </c>
      <c r="AI279">
        <f>VLOOKUP(Table2[[#This Row],[Department]],Raw_2!A:C,3,0)</f>
        <v>20</v>
      </c>
    </row>
    <row r="280" spans="1:35">
      <c r="A280" t="s">
        <v>601</v>
      </c>
      <c r="B280" t="s">
        <v>602</v>
      </c>
      <c r="C280">
        <v>23</v>
      </c>
      <c r="D280" t="s">
        <v>16</v>
      </c>
      <c r="E280" t="str">
        <f>IF(OR(Table2[[#This Row],[Gender]]="Male",Table2[[#This Row],[Gender]]="M"),"M",
IF(OR(Table2[[#This Row],[Gender]]="Female",Table2[[#This Row],[Gender]]="F"),"F",""))</f>
        <v>M</v>
      </c>
      <c r="F280" t="s">
        <v>61</v>
      </c>
      <c r="G280" t="s">
        <v>18</v>
      </c>
      <c r="H280" t="s">
        <v>43</v>
      </c>
      <c r="I280" t="s">
        <v>1059</v>
      </c>
      <c r="J280" t="str">
        <f>IF(ISNUMBER(SEARCH("India",Table2[[#This Row],[Emp_Name]])),"INR",
IF(ISNUMBER(SEARCH("Foreign",Table2[[#This Row],[Emp_Name]])),Table2[[#This Row],[Currency]],Table2[[#This Row],[Currency]]))</f>
        <v>USD</v>
      </c>
      <c r="K280">
        <v>28000</v>
      </c>
      <c r="L280">
        <v>12</v>
      </c>
      <c r="M280">
        <f>IF(Table2[[#This Row],[Num_Month]]&lt;&gt;12,12,Table2[[#This Row],[Num_Month]])</f>
        <v>12</v>
      </c>
      <c r="N280">
        <f>IF(Table2[[#This Row],[Monthly_Salary]]="","",Table2[[#This Row],[Monthly_Salary]]*Table2[[#This Row],[Num_Month_Final]])</f>
        <v>336000</v>
      </c>
      <c r="O280">
        <v>2</v>
      </c>
      <c r="P280">
        <f>IF(Table2[[#This Row],[Exp_Years]]&lt;0,ABS(Table2[[#This Row],[Exp_Years]]),Table2[[#This Row],[Exp_Years]])</f>
        <v>2</v>
      </c>
      <c r="Q280">
        <v>2</v>
      </c>
      <c r="S280" t="str">
        <f>IF(Table2[[#This Row],[Performance_Rating]]&gt;=3,Table2[[#This Row],[Monthly_Salary]]*0.3,"")</f>
        <v/>
      </c>
      <c r="T280">
        <v>95</v>
      </c>
      <c r="U280">
        <v>12</v>
      </c>
      <c r="V280">
        <v>1</v>
      </c>
      <c r="W280" t="s">
        <v>37</v>
      </c>
      <c r="X280" t="s">
        <v>28</v>
      </c>
      <c r="Y280" t="str">
        <f>IF(Table2[[#This Row],[Work_Mode]]&lt;&gt;"",Table2[[#This Row],[Work_Mode]],
IF(ISNUMBER(SEARCH("India",Table2[[#This Row],[Emp_Name]])),"Office",
IF(ISNUMBER(SEARCH("Foreign",Table2[[#This Row],[Emp_Name]])),"Remote","")))</f>
        <v>Remote</v>
      </c>
      <c r="Z280">
        <v>5</v>
      </c>
      <c r="AA28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280" t="s">
        <v>39</v>
      </c>
      <c r="AC280" t="str">
        <f>IF(COUNTIF(Table2[Emp_ID],Table2[[#This Row],[Emp_ID]])&gt;1,"Duplicate","Unique")</f>
        <v>Unique</v>
      </c>
      <c r="AE280" s="2"/>
      <c r="AG280" t="str">
        <f>IF(Table2[[#This Row],[Monthly_Salary]]="","Exclude",
IF(Table2[[#This Row],[Row_Status]]="Mismatch","Exclude",
IF(AND(Table2[[#This Row],[Row_Status]]="Exact Duplicate",
COUNTIFS(Table2[Emp_ID],Table2[[#This Row],[Emp_ID]],Table2[Row_Concat],Table2[[#This Row],[Row_Concat]],
Table2[Row_Number],"&lt;"&amp;Table2[[#This Row],[Row_Number]])&gt;=1),"Delete","")))</f>
        <v/>
      </c>
      <c r="AH280" t="str">
        <f>VLOOKUP(Table2[[#This Row],[Department]],Raw_2!A:B,2,0)</f>
        <v>Day</v>
      </c>
      <c r="AI280">
        <f>VLOOKUP(Table2[[#This Row],[Department]],Raw_2!A:C,3,0)</f>
        <v>10</v>
      </c>
    </row>
    <row r="281" spans="1:35">
      <c r="A281" t="s">
        <v>603</v>
      </c>
      <c r="B281" t="s">
        <v>604</v>
      </c>
      <c r="C281">
        <v>23</v>
      </c>
      <c r="D281" t="s">
        <v>34</v>
      </c>
      <c r="E281" t="str">
        <f>IF(OR(Table2[[#This Row],[Gender]]="Male",Table2[[#This Row],[Gender]]="M"),"M",
IF(OR(Table2[[#This Row],[Gender]]="Female",Table2[[#This Row],[Gender]]="F"),"F",""))</f>
        <v>F</v>
      </c>
      <c r="F281" t="s">
        <v>17</v>
      </c>
      <c r="G281" t="s">
        <v>36</v>
      </c>
      <c r="H281" t="s">
        <v>43</v>
      </c>
      <c r="I281" t="s">
        <v>1059</v>
      </c>
      <c r="J281" t="str">
        <f>IF(ISNUMBER(SEARCH("India",Table2[[#This Row],[Emp_Name]])),"INR",
IF(ISNUMBER(SEARCH("Foreign",Table2[[#This Row],[Emp_Name]])),Table2[[#This Row],[Currency]],Table2[[#This Row],[Currency]]))</f>
        <v>USD</v>
      </c>
      <c r="K281">
        <v>24000</v>
      </c>
      <c r="L281">
        <v>12</v>
      </c>
      <c r="M281">
        <f>IF(Table2[[#This Row],[Num_Month]]&lt;&gt;12,12,Table2[[#This Row],[Num_Month]])</f>
        <v>12</v>
      </c>
      <c r="N281">
        <f>IF(Table2[[#This Row],[Monthly_Salary]]="","",Table2[[#This Row],[Monthly_Salary]]*Table2[[#This Row],[Num_Month_Final]])</f>
        <v>288000</v>
      </c>
      <c r="O281">
        <v>1</v>
      </c>
      <c r="P281">
        <f>IF(Table2[[#This Row],[Exp_Years]]&lt;0,ABS(Table2[[#This Row],[Exp_Years]]),Table2[[#This Row],[Exp_Years]])</f>
        <v>1</v>
      </c>
      <c r="Q281">
        <v>4</v>
      </c>
      <c r="R281">
        <v>16000</v>
      </c>
      <c r="S281">
        <f>IF(Table2[[#This Row],[Performance_Rating]]&gt;=3,Table2[[#This Row],[Monthly_Salary]]*0.3,"")</f>
        <v>7200</v>
      </c>
      <c r="T281">
        <v>80</v>
      </c>
      <c r="U281">
        <v>5</v>
      </c>
      <c r="V281">
        <v>1</v>
      </c>
      <c r="W281" t="s">
        <v>37</v>
      </c>
      <c r="X281" t="s">
        <v>28</v>
      </c>
      <c r="Y281" t="str">
        <f>IF(Table2[[#This Row],[Work_Mode]]&lt;&gt;"",Table2[[#This Row],[Work_Mode]],
IF(ISNUMBER(SEARCH("India",Table2[[#This Row],[Emp_Name]])),"Office",
IF(ISNUMBER(SEARCH("Foreign",Table2[[#This Row],[Emp_Name]])),"Remote","")))</f>
        <v>Remote</v>
      </c>
      <c r="Z281">
        <v>20</v>
      </c>
      <c r="AA28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281" t="s">
        <v>22</v>
      </c>
      <c r="AC281" t="str">
        <f>IF(COUNTIF(Table2[Emp_ID],Table2[[#This Row],[Emp_ID]])&gt;1,"Duplicate","Unique")</f>
        <v>Unique</v>
      </c>
      <c r="AE281" s="2"/>
      <c r="AG281" t="str">
        <f>IF(Table2[[#This Row],[Monthly_Salary]]="","Exclude",
IF(Table2[[#This Row],[Row_Status]]="Mismatch","Exclude",
IF(AND(Table2[[#This Row],[Row_Status]]="Exact Duplicate",
COUNTIFS(Table2[Emp_ID],Table2[[#This Row],[Emp_ID]],Table2[Row_Concat],Table2[[#This Row],[Row_Concat]],
Table2[Row_Number],"&lt;"&amp;Table2[[#This Row],[Row_Number]])&gt;=1),"Delete","")))</f>
        <v/>
      </c>
      <c r="AH281" t="str">
        <f>VLOOKUP(Table2[[#This Row],[Department]],Raw_2!A:B,2,0)</f>
        <v>Day</v>
      </c>
      <c r="AI281">
        <f>VLOOKUP(Table2[[#This Row],[Department]],Raw_2!A:C,3,0)</f>
        <v>25</v>
      </c>
    </row>
    <row r="282" spans="1:35">
      <c r="A282" t="s">
        <v>605</v>
      </c>
      <c r="B282" t="s">
        <v>606</v>
      </c>
      <c r="C282">
        <v>25</v>
      </c>
      <c r="D282" t="s">
        <v>34</v>
      </c>
      <c r="E282" t="str">
        <f>IF(OR(Table2[[#This Row],[Gender]]="Male",Table2[[#This Row],[Gender]]="M"),"M",
IF(OR(Table2[[#This Row],[Gender]]="Female",Table2[[#This Row],[Gender]]="F"),"F",""))</f>
        <v>F</v>
      </c>
      <c r="F282" t="s">
        <v>61</v>
      </c>
      <c r="G282" t="s">
        <v>18</v>
      </c>
      <c r="H282" t="s">
        <v>1048</v>
      </c>
      <c r="I282" t="s">
        <v>1060</v>
      </c>
      <c r="J282" t="str">
        <f>IF(ISNUMBER(SEARCH("India",Table2[[#This Row],[Emp_Name]])),"INR",
IF(ISNUMBER(SEARCH("Foreign",Table2[[#This Row],[Emp_Name]])),Table2[[#This Row],[Currency]],Table2[[#This Row],[Currency]]))</f>
        <v>INR</v>
      </c>
      <c r="K282">
        <v>65000</v>
      </c>
      <c r="L282">
        <v>12</v>
      </c>
      <c r="M282">
        <f>IF(Table2[[#This Row],[Num_Month]]&lt;&gt;12,12,Table2[[#This Row],[Num_Month]])</f>
        <v>12</v>
      </c>
      <c r="N282">
        <f>IF(Table2[[#This Row],[Monthly_Salary]]="","",Table2[[#This Row],[Monthly_Salary]]*Table2[[#This Row],[Num_Month_Final]])</f>
        <v>780000</v>
      </c>
      <c r="O282">
        <v>5</v>
      </c>
      <c r="P282">
        <f>IF(Table2[[#This Row],[Exp_Years]]&lt;0,ABS(Table2[[#This Row],[Exp_Years]]),Table2[[#This Row],[Exp_Years]])</f>
        <v>5</v>
      </c>
      <c r="Q282">
        <v>5</v>
      </c>
      <c r="R282">
        <v>70000</v>
      </c>
      <c r="S282">
        <f>IF(Table2[[#This Row],[Performance_Rating]]&gt;=3,Table2[[#This Row],[Monthly_Salary]]*0.3,"")</f>
        <v>19500</v>
      </c>
      <c r="T282">
        <v>88</v>
      </c>
      <c r="U282">
        <v>15</v>
      </c>
      <c r="V282">
        <v>4</v>
      </c>
      <c r="W282" t="s">
        <v>21</v>
      </c>
      <c r="X282" t="s">
        <v>19</v>
      </c>
      <c r="Y282" t="str">
        <f>IF(Table2[[#This Row],[Work_Mode]]&lt;&gt;"",Table2[[#This Row],[Work_Mode]],
IF(ISNUMBER(SEARCH("India",Table2[[#This Row],[Emp_Name]])),"Office",
IF(ISNUMBER(SEARCH("Foreign",Table2[[#This Row],[Emp_Name]])),"Remote","")))</f>
        <v>Office</v>
      </c>
      <c r="AA28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82" t="s">
        <v>58</v>
      </c>
      <c r="AC282" t="str">
        <f>IF(COUNTIF(Table2[Emp_ID],Table2[[#This Row],[Emp_ID]])&gt;1,"Duplicate","Unique")</f>
        <v>Unique</v>
      </c>
      <c r="AE282" s="2"/>
      <c r="AG282" t="str">
        <f>IF(Table2[[#This Row],[Monthly_Salary]]="","Exclude",
IF(Table2[[#This Row],[Row_Status]]="Mismatch","Exclude",
IF(AND(Table2[[#This Row],[Row_Status]]="Exact Duplicate",
COUNTIFS(Table2[Emp_ID],Table2[[#This Row],[Emp_ID]],Table2[Row_Concat],Table2[[#This Row],[Row_Concat]],
Table2[Row_Number],"&lt;"&amp;Table2[[#This Row],[Row_Number]])&gt;=1),"Delete","")))</f>
        <v/>
      </c>
      <c r="AH282" t="str">
        <f>VLOOKUP(Table2[[#This Row],[Department]],Raw_2!A:B,2,0)</f>
        <v>Day</v>
      </c>
      <c r="AI282">
        <f>VLOOKUP(Table2[[#This Row],[Department]],Raw_2!A:C,3,0)</f>
        <v>10</v>
      </c>
    </row>
    <row r="283" spans="1:35">
      <c r="A283" t="s">
        <v>607</v>
      </c>
      <c r="B283" t="s">
        <v>608</v>
      </c>
      <c r="C283">
        <v>25</v>
      </c>
      <c r="E283" t="str">
        <f>IF(OR(Table2[[#This Row],[Gender]]="Male",Table2[[#This Row],[Gender]]="M"),"M",
IF(OR(Table2[[#This Row],[Gender]]="Female",Table2[[#This Row],[Gender]]="F"),"F",""))</f>
        <v/>
      </c>
      <c r="F283" t="s">
        <v>17</v>
      </c>
      <c r="G283" t="s">
        <v>36</v>
      </c>
      <c r="H283" t="s">
        <v>43</v>
      </c>
      <c r="I283" t="s">
        <v>1059</v>
      </c>
      <c r="J283" t="str">
        <f>IF(ISNUMBER(SEARCH("India",Table2[[#This Row],[Emp_Name]])),"INR",
IF(ISNUMBER(SEARCH("Foreign",Table2[[#This Row],[Emp_Name]])),Table2[[#This Row],[Currency]],Table2[[#This Row],[Currency]]))</f>
        <v>USD</v>
      </c>
      <c r="K283">
        <v>28000</v>
      </c>
      <c r="L283">
        <v>12</v>
      </c>
      <c r="M283">
        <f>IF(Table2[[#This Row],[Num_Month]]&lt;&gt;12,12,Table2[[#This Row],[Num_Month]])</f>
        <v>12</v>
      </c>
      <c r="N283">
        <f>IF(Table2[[#This Row],[Monthly_Salary]]="","",Table2[[#This Row],[Monthly_Salary]]*Table2[[#This Row],[Num_Month_Final]])</f>
        <v>336000</v>
      </c>
      <c r="O283">
        <v>2</v>
      </c>
      <c r="P283">
        <f>IF(Table2[[#This Row],[Exp_Years]]&lt;0,ABS(Table2[[#This Row],[Exp_Years]]),Table2[[#This Row],[Exp_Years]])</f>
        <v>2</v>
      </c>
      <c r="Q283">
        <v>4</v>
      </c>
      <c r="R283">
        <v>16000</v>
      </c>
      <c r="S283">
        <f>IF(Table2[[#This Row],[Performance_Rating]]&gt;=3,Table2[[#This Row],[Monthly_Salary]]*0.3,"")</f>
        <v>8400</v>
      </c>
      <c r="T283">
        <v>90</v>
      </c>
      <c r="U283">
        <v>5</v>
      </c>
      <c r="V283">
        <v>3</v>
      </c>
      <c r="X283" t="s">
        <v>28</v>
      </c>
      <c r="Y283" t="str">
        <f>IF(Table2[[#This Row],[Work_Mode]]&lt;&gt;"",Table2[[#This Row],[Work_Mode]],
IF(ISNUMBER(SEARCH("India",Table2[[#This Row],[Emp_Name]])),"Office",
IF(ISNUMBER(SEARCH("Foreign",Table2[[#This Row],[Emp_Name]])),"Remote","")))</f>
        <v>Remote</v>
      </c>
      <c r="Z283">
        <v>10</v>
      </c>
      <c r="AA28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83" t="s">
        <v>22</v>
      </c>
      <c r="AC283" t="str">
        <f>IF(COUNTIF(Table2[Emp_ID],Table2[[#This Row],[Emp_ID]])&gt;1,"Duplicate","Unique")</f>
        <v>Unique</v>
      </c>
      <c r="AE283" s="2"/>
      <c r="AG283" t="str">
        <f>IF(Table2[[#This Row],[Monthly_Salary]]="","Exclude",
IF(Table2[[#This Row],[Row_Status]]="Mismatch","Exclude",
IF(AND(Table2[[#This Row],[Row_Status]]="Exact Duplicate",
COUNTIFS(Table2[Emp_ID],Table2[[#This Row],[Emp_ID]],Table2[Row_Concat],Table2[[#This Row],[Row_Concat]],
Table2[Row_Number],"&lt;"&amp;Table2[[#This Row],[Row_Number]])&gt;=1),"Delete","")))</f>
        <v/>
      </c>
      <c r="AH283" t="str">
        <f>VLOOKUP(Table2[[#This Row],[Department]],Raw_2!A:B,2,0)</f>
        <v>Day</v>
      </c>
      <c r="AI283">
        <f>VLOOKUP(Table2[[#This Row],[Department]],Raw_2!A:C,3,0)</f>
        <v>25</v>
      </c>
    </row>
    <row r="284" spans="1:35">
      <c r="A284" t="s">
        <v>609</v>
      </c>
      <c r="B284" t="s">
        <v>610</v>
      </c>
      <c r="C284">
        <v>23</v>
      </c>
      <c r="D284" t="s">
        <v>46</v>
      </c>
      <c r="E284" t="str">
        <f>IF(OR(Table2[[#This Row],[Gender]]="Male",Table2[[#This Row],[Gender]]="M"),"M",
IF(OR(Table2[[#This Row],[Gender]]="Female",Table2[[#This Row],[Gender]]="F"),"F",""))</f>
        <v>M</v>
      </c>
      <c r="F284" t="s">
        <v>64</v>
      </c>
      <c r="G284" t="s">
        <v>36</v>
      </c>
      <c r="H284" t="s">
        <v>43</v>
      </c>
      <c r="I284" t="s">
        <v>1060</v>
      </c>
      <c r="J284" t="str">
        <f>IF(ISNUMBER(SEARCH("India",Table2[[#This Row],[Emp_Name]])),"INR",
IF(ISNUMBER(SEARCH("Foreign",Table2[[#This Row],[Emp_Name]])),Table2[[#This Row],[Currency]],Table2[[#This Row],[Currency]]))</f>
        <v>INR</v>
      </c>
      <c r="K284">
        <v>24000</v>
      </c>
      <c r="L284">
        <v>12</v>
      </c>
      <c r="M284">
        <f>IF(Table2[[#This Row],[Num_Month]]&lt;&gt;12,12,Table2[[#This Row],[Num_Month]])</f>
        <v>12</v>
      </c>
      <c r="N284">
        <f>IF(Table2[[#This Row],[Monthly_Salary]]="","",Table2[[#This Row],[Monthly_Salary]]*Table2[[#This Row],[Num_Month_Final]])</f>
        <v>288000</v>
      </c>
      <c r="O284">
        <v>1</v>
      </c>
      <c r="P284">
        <f>IF(Table2[[#This Row],[Exp_Years]]&lt;0,ABS(Table2[[#This Row],[Exp_Years]]),Table2[[#This Row],[Exp_Years]])</f>
        <v>1</v>
      </c>
      <c r="Q284">
        <v>2</v>
      </c>
      <c r="S284" t="str">
        <f>IF(Table2[[#This Row],[Performance_Rating]]&gt;=3,Table2[[#This Row],[Monthly_Salary]]*0.3,"")</f>
        <v/>
      </c>
      <c r="T284">
        <v>88</v>
      </c>
      <c r="U284">
        <v>5</v>
      </c>
      <c r="V284">
        <v>5</v>
      </c>
      <c r="X284" t="s">
        <v>38</v>
      </c>
      <c r="Y284" t="str">
        <f>IF(Table2[[#This Row],[Work_Mode]]&lt;&gt;"",Table2[[#This Row],[Work_Mode]],
IF(ISNUMBER(SEARCH("India",Table2[[#This Row],[Emp_Name]])),"Office",
IF(ISNUMBER(SEARCH("Foreign",Table2[[#This Row],[Emp_Name]])),"Remote","")))</f>
        <v>Hybrid</v>
      </c>
      <c r="AA28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84" t="s">
        <v>39</v>
      </c>
      <c r="AC284" t="str">
        <f>IF(COUNTIF(Table2[Emp_ID],Table2[[#This Row],[Emp_ID]])&gt;1,"Duplicate","Unique")</f>
        <v>Unique</v>
      </c>
      <c r="AE284" s="2"/>
      <c r="AG284" t="str">
        <f>IF(Table2[[#This Row],[Monthly_Salary]]="","Exclude",
IF(Table2[[#This Row],[Row_Status]]="Mismatch","Exclude",
IF(AND(Table2[[#This Row],[Row_Status]]="Exact Duplicate",
COUNTIFS(Table2[Emp_ID],Table2[[#This Row],[Emp_ID]],Table2[Row_Concat],Table2[[#This Row],[Row_Concat]],
Table2[Row_Number],"&lt;"&amp;Table2[[#This Row],[Row_Number]])&gt;=1),"Delete","")))</f>
        <v/>
      </c>
      <c r="AH284" t="str">
        <f>VLOOKUP(Table2[[#This Row],[Department]],Raw_2!A:B,2,0)</f>
        <v>Day</v>
      </c>
      <c r="AI284">
        <f>VLOOKUP(Table2[[#This Row],[Department]],Raw_2!A:C,3,0)</f>
        <v>25</v>
      </c>
    </row>
    <row r="285" spans="1:35">
      <c r="A285" t="s">
        <v>611</v>
      </c>
      <c r="B285" t="s">
        <v>612</v>
      </c>
      <c r="C285">
        <v>23</v>
      </c>
      <c r="D285" t="s">
        <v>16</v>
      </c>
      <c r="E285" t="str">
        <f>IF(OR(Table2[[#This Row],[Gender]]="Male",Table2[[#This Row],[Gender]]="M"),"M",
IF(OR(Table2[[#This Row],[Gender]]="Female",Table2[[#This Row],[Gender]]="F"),"F",""))</f>
        <v>M</v>
      </c>
      <c r="F285" t="s">
        <v>47</v>
      </c>
      <c r="G285" t="s">
        <v>27</v>
      </c>
      <c r="H285" t="s">
        <v>43</v>
      </c>
      <c r="I285" t="s">
        <v>1060</v>
      </c>
      <c r="J285" t="str">
        <f>IF(ISNUMBER(SEARCH("India",Table2[[#This Row],[Emp_Name]])),"INR",
IF(ISNUMBER(SEARCH("Foreign",Table2[[#This Row],[Emp_Name]])),Table2[[#This Row],[Currency]],Table2[[#This Row],[Currency]]))</f>
        <v>INR</v>
      </c>
      <c r="K285">
        <v>24000</v>
      </c>
      <c r="L285">
        <v>12</v>
      </c>
      <c r="M285">
        <f>IF(Table2[[#This Row],[Num_Month]]&lt;&gt;12,12,Table2[[#This Row],[Num_Month]])</f>
        <v>12</v>
      </c>
      <c r="N285">
        <f>IF(Table2[[#This Row],[Monthly_Salary]]="","",Table2[[#This Row],[Monthly_Salary]]*Table2[[#This Row],[Num_Month_Final]])</f>
        <v>288000</v>
      </c>
      <c r="O285">
        <v>1</v>
      </c>
      <c r="P285">
        <f>IF(Table2[[#This Row],[Exp_Years]]&lt;0,ABS(Table2[[#This Row],[Exp_Years]]),Table2[[#This Row],[Exp_Years]])</f>
        <v>1</v>
      </c>
      <c r="Q285">
        <v>5</v>
      </c>
      <c r="R285">
        <v>20000</v>
      </c>
      <c r="S285">
        <f>IF(Table2[[#This Row],[Performance_Rating]]&gt;=3,Table2[[#This Row],[Monthly_Salary]]*0.3,"")</f>
        <v>7200</v>
      </c>
      <c r="T285">
        <v>88</v>
      </c>
      <c r="U285">
        <v>5</v>
      </c>
      <c r="V285">
        <v>1</v>
      </c>
      <c r="W285" t="s">
        <v>37</v>
      </c>
      <c r="X285" t="s">
        <v>38</v>
      </c>
      <c r="Y285" t="str">
        <f>IF(Table2[[#This Row],[Work_Mode]]&lt;&gt;"",Table2[[#This Row],[Work_Mode]],
IF(ISNUMBER(SEARCH("India",Table2[[#This Row],[Emp_Name]])),"Office",
IF(ISNUMBER(SEARCH("Foreign",Table2[[#This Row],[Emp_Name]])),"Remote","")))</f>
        <v>Hybrid</v>
      </c>
      <c r="Z285">
        <v>20</v>
      </c>
      <c r="AA28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285" t="s">
        <v>58</v>
      </c>
      <c r="AC285" t="str">
        <f>IF(COUNTIF(Table2[Emp_ID],Table2[[#This Row],[Emp_ID]])&gt;1,"Duplicate","Unique")</f>
        <v>Unique</v>
      </c>
      <c r="AE285" s="2"/>
      <c r="AG285" t="str">
        <f>IF(Table2[[#This Row],[Monthly_Salary]]="","Exclude",
IF(Table2[[#This Row],[Row_Status]]="Mismatch","Exclude",
IF(AND(Table2[[#This Row],[Row_Status]]="Exact Duplicate",
COUNTIFS(Table2[Emp_ID],Table2[[#This Row],[Emp_ID]],Table2[Row_Concat],Table2[[#This Row],[Row_Concat]],
Table2[Row_Number],"&lt;"&amp;Table2[[#This Row],[Row_Number]])&gt;=1),"Delete","")))</f>
        <v/>
      </c>
      <c r="AH285" t="str">
        <f>VLOOKUP(Table2[[#This Row],[Department]],Raw_2!A:B,2,0)</f>
        <v>Day</v>
      </c>
      <c r="AI285">
        <f>VLOOKUP(Table2[[#This Row],[Department]],Raw_2!A:C,3,0)</f>
        <v>12</v>
      </c>
    </row>
    <row r="286" spans="1:35">
      <c r="A286" t="s">
        <v>613</v>
      </c>
      <c r="B286" t="s">
        <v>614</v>
      </c>
      <c r="C286">
        <v>28</v>
      </c>
      <c r="D286" t="s">
        <v>16</v>
      </c>
      <c r="E286" t="str">
        <f>IF(OR(Table2[[#This Row],[Gender]]="Male",Table2[[#This Row],[Gender]]="M"),"M",
IF(OR(Table2[[#This Row],[Gender]]="Female",Table2[[#This Row],[Gender]]="F"),"F",""))</f>
        <v>M</v>
      </c>
      <c r="F286" t="s">
        <v>65</v>
      </c>
      <c r="G286" t="s">
        <v>66</v>
      </c>
      <c r="H286" t="s">
        <v>1048</v>
      </c>
      <c r="I286" t="s">
        <v>1060</v>
      </c>
      <c r="J286" t="str">
        <f>IF(ISNUMBER(SEARCH("India",Table2[[#This Row],[Emp_Name]])),"INR",
IF(ISNUMBER(SEARCH("Foreign",Table2[[#This Row],[Emp_Name]])),Table2[[#This Row],[Currency]],Table2[[#This Row],[Currency]]))</f>
        <v>INR</v>
      </c>
      <c r="K286">
        <v>69500</v>
      </c>
      <c r="L286">
        <v>12</v>
      </c>
      <c r="M286">
        <f>IF(Table2[[#This Row],[Num_Month]]&lt;&gt;12,12,Table2[[#This Row],[Num_Month]])</f>
        <v>12</v>
      </c>
      <c r="N286">
        <f>IF(Table2[[#This Row],[Monthly_Salary]]="","",Table2[[#This Row],[Monthly_Salary]]*Table2[[#This Row],[Num_Month_Final]])</f>
        <v>834000</v>
      </c>
      <c r="O286">
        <v>5</v>
      </c>
      <c r="P286">
        <f>IF(Table2[[#This Row],[Exp_Years]]&lt;0,ABS(Table2[[#This Row],[Exp_Years]]),Table2[[#This Row],[Exp_Years]])</f>
        <v>5</v>
      </c>
      <c r="Q286">
        <v>5</v>
      </c>
      <c r="S286">
        <f>IF(Table2[[#This Row],[Performance_Rating]]&gt;=3,Table2[[#This Row],[Monthly_Salary]]*0.3,"")</f>
        <v>20850</v>
      </c>
      <c r="T286">
        <v>88</v>
      </c>
      <c r="U286">
        <v>5</v>
      </c>
      <c r="V286">
        <v>3</v>
      </c>
      <c r="W286" t="s">
        <v>21</v>
      </c>
      <c r="X286" t="s">
        <v>38</v>
      </c>
      <c r="Y286" t="str">
        <f>IF(Table2[[#This Row],[Work_Mode]]&lt;&gt;"",Table2[[#This Row],[Work_Mode]],
IF(ISNUMBER(SEARCH("India",Table2[[#This Row],[Emp_Name]])),"Office",
IF(ISNUMBER(SEARCH("Foreign",Table2[[#This Row],[Emp_Name]])),"Remote","")))</f>
        <v>Hybrid</v>
      </c>
      <c r="Z286">
        <v>10</v>
      </c>
      <c r="AA28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286" t="s">
        <v>58</v>
      </c>
      <c r="AC286" t="str">
        <f>IF(COUNTIF(Table2[Emp_ID],Table2[[#This Row],[Emp_ID]])&gt;1,"Duplicate","Unique")</f>
        <v>Unique</v>
      </c>
      <c r="AE286" s="2"/>
      <c r="AG286" t="str">
        <f>IF(Table2[[#This Row],[Monthly_Salary]]="","Exclude",
IF(Table2[[#This Row],[Row_Status]]="Mismatch","Exclude",
IF(AND(Table2[[#This Row],[Row_Status]]="Exact Duplicate",
COUNTIFS(Table2[Emp_ID],Table2[[#This Row],[Emp_ID]],Table2[Row_Concat],Table2[[#This Row],[Row_Concat]],
Table2[Row_Number],"&lt;"&amp;Table2[[#This Row],[Row_Number]])&gt;=1),"Delete","")))</f>
        <v/>
      </c>
      <c r="AH286" t="str">
        <f>VLOOKUP(Table2[[#This Row],[Department]],Raw_2!A:B,2,0)</f>
        <v>Night</v>
      </c>
      <c r="AI286">
        <f>VLOOKUP(Table2[[#This Row],[Department]],Raw_2!A:C,3,0)</f>
        <v>20</v>
      </c>
    </row>
    <row r="287" spans="1:35">
      <c r="A287" t="s">
        <v>615</v>
      </c>
      <c r="B287" t="s">
        <v>616</v>
      </c>
      <c r="C287">
        <v>23</v>
      </c>
      <c r="E287" t="str">
        <f>IF(OR(Table2[[#This Row],[Gender]]="Male",Table2[[#This Row],[Gender]]="M"),"M",
IF(OR(Table2[[#This Row],[Gender]]="Female",Table2[[#This Row],[Gender]]="F"),"F",""))</f>
        <v/>
      </c>
      <c r="F287" t="s">
        <v>50</v>
      </c>
      <c r="G287" t="s">
        <v>27</v>
      </c>
      <c r="H287" t="s">
        <v>43</v>
      </c>
      <c r="I287" t="s">
        <v>1060</v>
      </c>
      <c r="J287" t="str">
        <f>IF(ISNUMBER(SEARCH("India",Table2[[#This Row],[Emp_Name]])),"INR",
IF(ISNUMBER(SEARCH("Foreign",Table2[[#This Row],[Emp_Name]])),Table2[[#This Row],[Currency]],Table2[[#This Row],[Currency]]))</f>
        <v>INR</v>
      </c>
      <c r="K287">
        <v>24000</v>
      </c>
      <c r="L287">
        <v>12</v>
      </c>
      <c r="M287">
        <f>IF(Table2[[#This Row],[Num_Month]]&lt;&gt;12,12,Table2[[#This Row],[Num_Month]])</f>
        <v>12</v>
      </c>
      <c r="N287">
        <f>IF(Table2[[#This Row],[Monthly_Salary]]="","",Table2[[#This Row],[Monthly_Salary]]*Table2[[#This Row],[Num_Month_Final]])</f>
        <v>288000</v>
      </c>
      <c r="O287">
        <v>1</v>
      </c>
      <c r="P287">
        <f>IF(Table2[[#This Row],[Exp_Years]]&lt;0,ABS(Table2[[#This Row],[Exp_Years]]),Table2[[#This Row],[Exp_Years]])</f>
        <v>1</v>
      </c>
      <c r="Q287">
        <v>2</v>
      </c>
      <c r="S287" t="str">
        <f>IF(Table2[[#This Row],[Performance_Rating]]&gt;=3,Table2[[#This Row],[Monthly_Salary]]*0.3,"")</f>
        <v/>
      </c>
      <c r="T287">
        <v>90</v>
      </c>
      <c r="U287">
        <v>5</v>
      </c>
      <c r="V287">
        <v>1</v>
      </c>
      <c r="W287" t="s">
        <v>37</v>
      </c>
      <c r="X287" t="s">
        <v>38</v>
      </c>
      <c r="Y287" t="str">
        <f>IF(Table2[[#This Row],[Work_Mode]]&lt;&gt;"",Table2[[#This Row],[Work_Mode]],
IF(ISNUMBER(SEARCH("India",Table2[[#This Row],[Emp_Name]])),"Office",
IF(ISNUMBER(SEARCH("Foreign",Table2[[#This Row],[Emp_Name]])),"Remote","")))</f>
        <v>Hybrid</v>
      </c>
      <c r="Z287">
        <v>20</v>
      </c>
      <c r="AA28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287" t="s">
        <v>39</v>
      </c>
      <c r="AC287" t="str">
        <f>IF(COUNTIF(Table2[Emp_ID],Table2[[#This Row],[Emp_ID]])&gt;1,"Duplicate","Unique")</f>
        <v>Unique</v>
      </c>
      <c r="AE287" s="2"/>
      <c r="AG287" t="str">
        <f>IF(Table2[[#This Row],[Monthly_Salary]]="","Exclude",
IF(Table2[[#This Row],[Row_Status]]="Mismatch","Exclude",
IF(AND(Table2[[#This Row],[Row_Status]]="Exact Duplicate",
COUNTIFS(Table2[Emp_ID],Table2[[#This Row],[Emp_ID]],Table2[Row_Concat],Table2[[#This Row],[Row_Concat]],
Table2[Row_Number],"&lt;"&amp;Table2[[#This Row],[Row_Number]])&gt;=1),"Delete","")))</f>
        <v/>
      </c>
      <c r="AH287" t="str">
        <f>VLOOKUP(Table2[[#This Row],[Department]],Raw_2!A:B,2,0)</f>
        <v>Day</v>
      </c>
      <c r="AI287">
        <f>VLOOKUP(Table2[[#This Row],[Department]],Raw_2!A:C,3,0)</f>
        <v>12</v>
      </c>
    </row>
    <row r="288" spans="1:35">
      <c r="A288" t="s">
        <v>617</v>
      </c>
      <c r="B288" t="s">
        <v>618</v>
      </c>
      <c r="C288">
        <v>23</v>
      </c>
      <c r="D288" t="s">
        <v>46</v>
      </c>
      <c r="E288" t="str">
        <f>IF(OR(Table2[[#This Row],[Gender]]="Male",Table2[[#This Row],[Gender]]="M"),"M",
IF(OR(Table2[[#This Row],[Gender]]="Female",Table2[[#This Row],[Gender]]="F"),"F",""))</f>
        <v>M</v>
      </c>
      <c r="F288" t="s">
        <v>17</v>
      </c>
      <c r="G288" t="s">
        <v>18</v>
      </c>
      <c r="H288" t="s">
        <v>43</v>
      </c>
      <c r="I288" t="s">
        <v>1060</v>
      </c>
      <c r="J288" t="str">
        <f>IF(ISNUMBER(SEARCH("India",Table2[[#This Row],[Emp_Name]])),"INR",
IF(ISNUMBER(SEARCH("Foreign",Table2[[#This Row],[Emp_Name]])),Table2[[#This Row],[Currency]],Table2[[#This Row],[Currency]]))</f>
        <v>INR</v>
      </c>
      <c r="K288">
        <v>24000</v>
      </c>
      <c r="L288">
        <v>12</v>
      </c>
      <c r="M288">
        <f>IF(Table2[[#This Row],[Num_Month]]&lt;&gt;12,12,Table2[[#This Row],[Num_Month]])</f>
        <v>12</v>
      </c>
      <c r="N288">
        <f>IF(Table2[[#This Row],[Monthly_Salary]]="","",Table2[[#This Row],[Monthly_Salary]]*Table2[[#This Row],[Num_Month_Final]])</f>
        <v>288000</v>
      </c>
      <c r="O288">
        <v>1</v>
      </c>
      <c r="P288">
        <f>IF(Table2[[#This Row],[Exp_Years]]&lt;0,ABS(Table2[[#This Row],[Exp_Years]]),Table2[[#This Row],[Exp_Years]])</f>
        <v>1</v>
      </c>
      <c r="Q288">
        <v>5</v>
      </c>
      <c r="R288">
        <v>20000</v>
      </c>
      <c r="S288">
        <f>IF(Table2[[#This Row],[Performance_Rating]]&gt;=3,Table2[[#This Row],[Monthly_Salary]]*0.3,"")</f>
        <v>7200</v>
      </c>
      <c r="T288">
        <v>95</v>
      </c>
      <c r="U288">
        <v>12</v>
      </c>
      <c r="V288">
        <v>2</v>
      </c>
      <c r="W288" t="s">
        <v>21</v>
      </c>
      <c r="X288" t="s">
        <v>38</v>
      </c>
      <c r="Y288" t="str">
        <f>IF(Table2[[#This Row],[Work_Mode]]&lt;&gt;"",Table2[[#This Row],[Work_Mode]],
IF(ISNUMBER(SEARCH("India",Table2[[#This Row],[Emp_Name]])),"Office",
IF(ISNUMBER(SEARCH("Foreign",Table2[[#This Row],[Emp_Name]])),"Remote","")))</f>
        <v>Hybrid</v>
      </c>
      <c r="Z288">
        <v>10</v>
      </c>
      <c r="AA28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88" t="s">
        <v>58</v>
      </c>
      <c r="AC288" t="str">
        <f>IF(COUNTIF(Table2[Emp_ID],Table2[[#This Row],[Emp_ID]])&gt;1,"Duplicate","Unique")</f>
        <v>Unique</v>
      </c>
      <c r="AE288" s="2"/>
      <c r="AG288" t="str">
        <f>IF(Table2[[#This Row],[Monthly_Salary]]="","Exclude",
IF(Table2[[#This Row],[Row_Status]]="Mismatch","Exclude",
IF(AND(Table2[[#This Row],[Row_Status]]="Exact Duplicate",
COUNTIFS(Table2[Emp_ID],Table2[[#This Row],[Emp_ID]],Table2[Row_Concat],Table2[[#This Row],[Row_Concat]],
Table2[Row_Number],"&lt;"&amp;Table2[[#This Row],[Row_Number]])&gt;=1),"Delete","")))</f>
        <v/>
      </c>
      <c r="AH288" t="str">
        <f>VLOOKUP(Table2[[#This Row],[Department]],Raw_2!A:B,2,0)</f>
        <v>Day</v>
      </c>
      <c r="AI288">
        <f>VLOOKUP(Table2[[#This Row],[Department]],Raw_2!A:C,3,0)</f>
        <v>10</v>
      </c>
    </row>
    <row r="289" spans="1:35">
      <c r="A289" t="s">
        <v>619</v>
      </c>
      <c r="B289" t="s">
        <v>620</v>
      </c>
      <c r="C289">
        <v>25</v>
      </c>
      <c r="D289" t="s">
        <v>16</v>
      </c>
      <c r="E289" t="str">
        <f>IF(OR(Table2[[#This Row],[Gender]]="Male",Table2[[#This Row],[Gender]]="M"),"M",
IF(OR(Table2[[#This Row],[Gender]]="Female",Table2[[#This Row],[Gender]]="F"),"F",""))</f>
        <v>M</v>
      </c>
      <c r="F289" t="s">
        <v>57</v>
      </c>
      <c r="G289" t="s">
        <v>31</v>
      </c>
      <c r="H289" t="s">
        <v>43</v>
      </c>
      <c r="I289" t="s">
        <v>1060</v>
      </c>
      <c r="J289" t="str">
        <f>IF(ISNUMBER(SEARCH("India",Table2[[#This Row],[Emp_Name]])),"INR",
IF(ISNUMBER(SEARCH("Foreign",Table2[[#This Row],[Emp_Name]])),Table2[[#This Row],[Currency]],Table2[[#This Row],[Currency]]))</f>
        <v>INR</v>
      </c>
      <c r="K289">
        <v>24000</v>
      </c>
      <c r="L289">
        <v>12</v>
      </c>
      <c r="M289">
        <f>IF(Table2[[#This Row],[Num_Month]]&lt;&gt;12,12,Table2[[#This Row],[Num_Month]])</f>
        <v>12</v>
      </c>
      <c r="N289">
        <f>IF(Table2[[#This Row],[Monthly_Salary]]="","",Table2[[#This Row],[Monthly_Salary]]*Table2[[#This Row],[Num_Month_Final]])</f>
        <v>288000</v>
      </c>
      <c r="O289">
        <v>1</v>
      </c>
      <c r="P289">
        <f>IF(Table2[[#This Row],[Exp_Years]]&lt;0,ABS(Table2[[#This Row],[Exp_Years]]),Table2[[#This Row],[Exp_Years]])</f>
        <v>1</v>
      </c>
      <c r="Q289">
        <v>2</v>
      </c>
      <c r="S289" t="str">
        <f>IF(Table2[[#This Row],[Performance_Rating]]&gt;=3,Table2[[#This Row],[Monthly_Salary]]*0.3,"")</f>
        <v/>
      </c>
      <c r="T289">
        <v>95</v>
      </c>
      <c r="U289">
        <v>15</v>
      </c>
      <c r="V289">
        <v>10</v>
      </c>
      <c r="W289" t="s">
        <v>37</v>
      </c>
      <c r="X289" t="s">
        <v>38</v>
      </c>
      <c r="Y289" t="str">
        <f>IF(Table2[[#This Row],[Work_Mode]]&lt;&gt;"",Table2[[#This Row],[Work_Mode]],
IF(ISNUMBER(SEARCH("India",Table2[[#This Row],[Emp_Name]])),"Office",
IF(ISNUMBER(SEARCH("Foreign",Table2[[#This Row],[Emp_Name]])),"Remote","")))</f>
        <v>Hybrid</v>
      </c>
      <c r="AA28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89" t="s">
        <v>39</v>
      </c>
      <c r="AC289" t="str">
        <f>IF(COUNTIF(Table2[Emp_ID],Table2[[#This Row],[Emp_ID]])&gt;1,"Duplicate","Unique")</f>
        <v>Unique</v>
      </c>
      <c r="AE289" s="2"/>
      <c r="AG289" t="str">
        <f>IF(Table2[[#This Row],[Monthly_Salary]]="","Exclude",
IF(Table2[[#This Row],[Row_Status]]="Mismatch","Exclude",
IF(AND(Table2[[#This Row],[Row_Status]]="Exact Duplicate",
COUNTIFS(Table2[Emp_ID],Table2[[#This Row],[Emp_ID]],Table2[Row_Concat],Table2[[#This Row],[Row_Concat]],
Table2[Row_Number],"&lt;"&amp;Table2[[#This Row],[Row_Number]])&gt;=1),"Delete","")))</f>
        <v/>
      </c>
      <c r="AH289" t="str">
        <f>VLOOKUP(Table2[[#This Row],[Department]],Raw_2!A:B,2,0)</f>
        <v>Night</v>
      </c>
      <c r="AI289">
        <f>VLOOKUP(Table2[[#This Row],[Department]],Raw_2!A:C,3,0)</f>
        <v>13</v>
      </c>
    </row>
    <row r="290" spans="1:35">
      <c r="A290" t="s">
        <v>621</v>
      </c>
      <c r="B290" t="s">
        <v>622</v>
      </c>
      <c r="C290">
        <v>23</v>
      </c>
      <c r="D290" t="s">
        <v>46</v>
      </c>
      <c r="E290" t="str">
        <f>IF(OR(Table2[[#This Row],[Gender]]="Male",Table2[[#This Row],[Gender]]="M"),"M",
IF(OR(Table2[[#This Row],[Gender]]="Female",Table2[[#This Row],[Gender]]="F"),"F",""))</f>
        <v>M</v>
      </c>
      <c r="F290" t="s">
        <v>61</v>
      </c>
      <c r="G290" t="s">
        <v>66</v>
      </c>
      <c r="H290" t="s">
        <v>43</v>
      </c>
      <c r="I290" t="s">
        <v>1060</v>
      </c>
      <c r="J290" t="str">
        <f>IF(ISNUMBER(SEARCH("India",Table2[[#This Row],[Emp_Name]])),"INR",
IF(ISNUMBER(SEARCH("Foreign",Table2[[#This Row],[Emp_Name]])),Table2[[#This Row],[Currency]],Table2[[#This Row],[Currency]]))</f>
        <v>INR</v>
      </c>
      <c r="K290">
        <v>28000</v>
      </c>
      <c r="L290">
        <v>12</v>
      </c>
      <c r="M290">
        <f>IF(Table2[[#This Row],[Num_Month]]&lt;&gt;12,12,Table2[[#This Row],[Num_Month]])</f>
        <v>12</v>
      </c>
      <c r="N290">
        <f>IF(Table2[[#This Row],[Monthly_Salary]]="","",Table2[[#This Row],[Monthly_Salary]]*Table2[[#This Row],[Num_Month_Final]])</f>
        <v>336000</v>
      </c>
      <c r="O290">
        <v>2</v>
      </c>
      <c r="P290">
        <f>IF(Table2[[#This Row],[Exp_Years]]&lt;0,ABS(Table2[[#This Row],[Exp_Years]]),Table2[[#This Row],[Exp_Years]])</f>
        <v>2</v>
      </c>
      <c r="Q290">
        <v>2</v>
      </c>
      <c r="S290" t="str">
        <f>IF(Table2[[#This Row],[Performance_Rating]]&gt;=3,Table2[[#This Row],[Monthly_Salary]]*0.3,"")</f>
        <v/>
      </c>
      <c r="T290">
        <v>80</v>
      </c>
      <c r="U290">
        <v>12</v>
      </c>
      <c r="V290">
        <v>5</v>
      </c>
      <c r="W290" t="s">
        <v>21</v>
      </c>
      <c r="X290" t="s">
        <v>38</v>
      </c>
      <c r="Y290" t="str">
        <f>IF(Table2[[#This Row],[Work_Mode]]&lt;&gt;"",Table2[[#This Row],[Work_Mode]],
IF(ISNUMBER(SEARCH("India",Table2[[#This Row],[Emp_Name]])),"Office",
IF(ISNUMBER(SEARCH("Foreign",Table2[[#This Row],[Emp_Name]])),"Remote","")))</f>
        <v>Hybrid</v>
      </c>
      <c r="Z290">
        <v>20</v>
      </c>
      <c r="AA29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290" t="s">
        <v>39</v>
      </c>
      <c r="AC290" t="str">
        <f>IF(COUNTIF(Table2[Emp_ID],Table2[[#This Row],[Emp_ID]])&gt;1,"Duplicate","Unique")</f>
        <v>Unique</v>
      </c>
      <c r="AE290" s="2"/>
      <c r="AG290" t="str">
        <f>IF(Table2[[#This Row],[Monthly_Salary]]="","Exclude",
IF(Table2[[#This Row],[Row_Status]]="Mismatch","Exclude",
IF(AND(Table2[[#This Row],[Row_Status]]="Exact Duplicate",
COUNTIFS(Table2[Emp_ID],Table2[[#This Row],[Emp_ID]],Table2[Row_Concat],Table2[[#This Row],[Row_Concat]],
Table2[Row_Number],"&lt;"&amp;Table2[[#This Row],[Row_Number]])&gt;=1),"Delete","")))</f>
        <v/>
      </c>
      <c r="AH290" t="str">
        <f>VLOOKUP(Table2[[#This Row],[Department]],Raw_2!A:B,2,0)</f>
        <v>Night</v>
      </c>
      <c r="AI290">
        <f>VLOOKUP(Table2[[#This Row],[Department]],Raw_2!A:C,3,0)</f>
        <v>20</v>
      </c>
    </row>
    <row r="291" spans="1:35">
      <c r="A291" t="s">
        <v>623</v>
      </c>
      <c r="B291" t="s">
        <v>624</v>
      </c>
      <c r="C291">
        <v>23</v>
      </c>
      <c r="D291" t="s">
        <v>46</v>
      </c>
      <c r="E291" t="str">
        <f>IF(OR(Table2[[#This Row],[Gender]]="Male",Table2[[#This Row],[Gender]]="M"),"M",
IF(OR(Table2[[#This Row],[Gender]]="Female",Table2[[#This Row],[Gender]]="F"),"F",""))</f>
        <v>M</v>
      </c>
      <c r="F291" t="s">
        <v>61</v>
      </c>
      <c r="G291" t="s">
        <v>66</v>
      </c>
      <c r="H291" t="s">
        <v>43</v>
      </c>
      <c r="I291" t="s">
        <v>1060</v>
      </c>
      <c r="J291" t="str">
        <f>IF(ISNUMBER(SEARCH("India",Table2[[#This Row],[Emp_Name]])),"INR",
IF(ISNUMBER(SEARCH("Foreign",Table2[[#This Row],[Emp_Name]])),Table2[[#This Row],[Currency]],Table2[[#This Row],[Currency]]))</f>
        <v>INR</v>
      </c>
      <c r="K291">
        <v>24000</v>
      </c>
      <c r="L291">
        <v>12</v>
      </c>
      <c r="M291">
        <f>IF(Table2[[#This Row],[Num_Month]]&lt;&gt;12,12,Table2[[#This Row],[Num_Month]])</f>
        <v>12</v>
      </c>
      <c r="N291">
        <f>IF(Table2[[#This Row],[Monthly_Salary]]="","",Table2[[#This Row],[Monthly_Salary]]*Table2[[#This Row],[Num_Month_Final]])</f>
        <v>288000</v>
      </c>
      <c r="O291">
        <v>1</v>
      </c>
      <c r="P291">
        <f>IF(Table2[[#This Row],[Exp_Years]]&lt;0,ABS(Table2[[#This Row],[Exp_Years]]),Table2[[#This Row],[Exp_Years]])</f>
        <v>1</v>
      </c>
      <c r="Q291">
        <v>4</v>
      </c>
      <c r="R291">
        <v>16000</v>
      </c>
      <c r="S291">
        <f>IF(Table2[[#This Row],[Performance_Rating]]&gt;=3,Table2[[#This Row],[Monthly_Salary]]*0.3,"")</f>
        <v>7200</v>
      </c>
      <c r="T291">
        <v>95</v>
      </c>
      <c r="U291">
        <v>10</v>
      </c>
      <c r="V291">
        <v>5</v>
      </c>
      <c r="W291" t="s">
        <v>37</v>
      </c>
      <c r="X291" t="s">
        <v>38</v>
      </c>
      <c r="Y291" t="str">
        <f>IF(Table2[[#This Row],[Work_Mode]]&lt;&gt;"",Table2[[#This Row],[Work_Mode]],
IF(ISNUMBER(SEARCH("India",Table2[[#This Row],[Emp_Name]])),"Office",
IF(ISNUMBER(SEARCH("Foreign",Table2[[#This Row],[Emp_Name]])),"Remote","")))</f>
        <v>Hybrid</v>
      </c>
      <c r="AA29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91" t="s">
        <v>22</v>
      </c>
      <c r="AC291" t="str">
        <f>IF(COUNTIF(Table2[Emp_ID],Table2[[#This Row],[Emp_ID]])&gt;1,"Duplicate","Unique")</f>
        <v>Unique</v>
      </c>
      <c r="AE291" s="2"/>
      <c r="AG291" t="str">
        <f>IF(Table2[[#This Row],[Monthly_Salary]]="","Exclude",
IF(Table2[[#This Row],[Row_Status]]="Mismatch","Exclude",
IF(AND(Table2[[#This Row],[Row_Status]]="Exact Duplicate",
COUNTIFS(Table2[Emp_ID],Table2[[#This Row],[Emp_ID]],Table2[Row_Concat],Table2[[#This Row],[Row_Concat]],
Table2[Row_Number],"&lt;"&amp;Table2[[#This Row],[Row_Number]])&gt;=1),"Delete","")))</f>
        <v/>
      </c>
      <c r="AH291" t="str">
        <f>VLOOKUP(Table2[[#This Row],[Department]],Raw_2!A:B,2,0)</f>
        <v>Night</v>
      </c>
      <c r="AI291">
        <f>VLOOKUP(Table2[[#This Row],[Department]],Raw_2!A:C,3,0)</f>
        <v>20</v>
      </c>
    </row>
    <row r="292" spans="1:35">
      <c r="A292" t="s">
        <v>625</v>
      </c>
      <c r="B292" t="s">
        <v>626</v>
      </c>
      <c r="C292">
        <v>24</v>
      </c>
      <c r="D292" t="s">
        <v>34</v>
      </c>
      <c r="E292" t="str">
        <f>IF(OR(Table2[[#This Row],[Gender]]="Male",Table2[[#This Row],[Gender]]="M"),"M",
IF(OR(Table2[[#This Row],[Gender]]="Female",Table2[[#This Row],[Gender]]="F"),"F",""))</f>
        <v>F</v>
      </c>
      <c r="F292" t="s">
        <v>73</v>
      </c>
      <c r="G292" t="s">
        <v>66</v>
      </c>
      <c r="H292" t="s">
        <v>43</v>
      </c>
      <c r="I292" t="s">
        <v>1060</v>
      </c>
      <c r="J292" t="str">
        <f>IF(ISNUMBER(SEARCH("India",Table2[[#This Row],[Emp_Name]])),"INR",
IF(ISNUMBER(SEARCH("Foreign",Table2[[#This Row],[Emp_Name]])),Table2[[#This Row],[Currency]],Table2[[#This Row],[Currency]]))</f>
        <v>INR</v>
      </c>
      <c r="K292">
        <v>24000</v>
      </c>
      <c r="L292">
        <v>12</v>
      </c>
      <c r="M292">
        <f>IF(Table2[[#This Row],[Num_Month]]&lt;&gt;12,12,Table2[[#This Row],[Num_Month]])</f>
        <v>12</v>
      </c>
      <c r="N292">
        <f>IF(Table2[[#This Row],[Monthly_Salary]]="","",Table2[[#This Row],[Monthly_Salary]]*Table2[[#This Row],[Num_Month_Final]])</f>
        <v>288000</v>
      </c>
      <c r="O292">
        <v>1</v>
      </c>
      <c r="P292">
        <f>IF(Table2[[#This Row],[Exp_Years]]&lt;0,ABS(Table2[[#This Row],[Exp_Years]]),Table2[[#This Row],[Exp_Years]])</f>
        <v>1</v>
      </c>
      <c r="Q292">
        <v>3</v>
      </c>
      <c r="R292">
        <v>11400</v>
      </c>
      <c r="S292">
        <f>IF(Table2[[#This Row],[Performance_Rating]]&gt;=3,Table2[[#This Row],[Monthly_Salary]]*0.3,"")</f>
        <v>7200</v>
      </c>
      <c r="T292">
        <v>90</v>
      </c>
      <c r="U292">
        <v>5</v>
      </c>
      <c r="V292">
        <v>2</v>
      </c>
      <c r="W292" t="s">
        <v>37</v>
      </c>
      <c r="X292" t="s">
        <v>19</v>
      </c>
      <c r="Y292" t="str">
        <f>IF(Table2[[#This Row],[Work_Mode]]&lt;&gt;"",Table2[[#This Row],[Work_Mode]],
IF(ISNUMBER(SEARCH("India",Table2[[#This Row],[Emp_Name]])),"Office",
IF(ISNUMBER(SEARCH("Foreign",Table2[[#This Row],[Emp_Name]])),"Remote","")))</f>
        <v>Office</v>
      </c>
      <c r="Z292">
        <v>20</v>
      </c>
      <c r="AA29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292" t="s">
        <v>22</v>
      </c>
      <c r="AC292" t="str">
        <f>IF(COUNTIF(Table2[Emp_ID],Table2[[#This Row],[Emp_ID]])&gt;1,"Duplicate","Unique")</f>
        <v>Unique</v>
      </c>
      <c r="AE292" s="2"/>
      <c r="AG292" t="str">
        <f>IF(Table2[[#This Row],[Monthly_Salary]]="","Exclude",
IF(Table2[[#This Row],[Row_Status]]="Mismatch","Exclude",
IF(AND(Table2[[#This Row],[Row_Status]]="Exact Duplicate",
COUNTIFS(Table2[Emp_ID],Table2[[#This Row],[Emp_ID]],Table2[Row_Concat],Table2[[#This Row],[Row_Concat]],
Table2[Row_Number],"&lt;"&amp;Table2[[#This Row],[Row_Number]])&gt;=1),"Delete","")))</f>
        <v/>
      </c>
      <c r="AH292" t="str">
        <f>VLOOKUP(Table2[[#This Row],[Department]],Raw_2!A:B,2,0)</f>
        <v>Night</v>
      </c>
      <c r="AI292">
        <f>VLOOKUP(Table2[[#This Row],[Department]],Raw_2!A:C,3,0)</f>
        <v>20</v>
      </c>
    </row>
    <row r="293" spans="1:35">
      <c r="A293" t="s">
        <v>627</v>
      </c>
      <c r="B293" t="s">
        <v>628</v>
      </c>
      <c r="C293">
        <v>23</v>
      </c>
      <c r="D293" t="s">
        <v>16</v>
      </c>
      <c r="E293" t="str">
        <f>IF(OR(Table2[[#This Row],[Gender]]="Male",Table2[[#This Row],[Gender]]="M"),"M",
IF(OR(Table2[[#This Row],[Gender]]="Female",Table2[[#This Row],[Gender]]="F"),"F",""))</f>
        <v>M</v>
      </c>
      <c r="F293" t="s">
        <v>65</v>
      </c>
      <c r="G293" t="s">
        <v>18</v>
      </c>
      <c r="H293" t="s">
        <v>43</v>
      </c>
      <c r="I293" t="s">
        <v>1060</v>
      </c>
      <c r="J293" t="str">
        <f>IF(ISNUMBER(SEARCH("India",Table2[[#This Row],[Emp_Name]])),"INR",
IF(ISNUMBER(SEARCH("Foreign",Table2[[#This Row],[Emp_Name]])),Table2[[#This Row],[Currency]],Table2[[#This Row],[Currency]]))</f>
        <v>INR</v>
      </c>
      <c r="K293">
        <v>28000</v>
      </c>
      <c r="L293">
        <v>12</v>
      </c>
      <c r="M293">
        <f>IF(Table2[[#This Row],[Num_Month]]&lt;&gt;12,12,Table2[[#This Row],[Num_Month]])</f>
        <v>12</v>
      </c>
      <c r="N293">
        <f>IF(Table2[[#This Row],[Monthly_Salary]]="","",Table2[[#This Row],[Monthly_Salary]]*Table2[[#This Row],[Num_Month_Final]])</f>
        <v>336000</v>
      </c>
      <c r="O293">
        <v>2</v>
      </c>
      <c r="P293">
        <f>IF(Table2[[#This Row],[Exp_Years]]&lt;0,ABS(Table2[[#This Row],[Exp_Years]]),Table2[[#This Row],[Exp_Years]])</f>
        <v>2</v>
      </c>
      <c r="Q293">
        <v>1</v>
      </c>
      <c r="S293" t="str">
        <f>IF(Table2[[#This Row],[Performance_Rating]]&gt;=3,Table2[[#This Row],[Monthly_Salary]]*0.3,"")</f>
        <v/>
      </c>
      <c r="T293">
        <v>85</v>
      </c>
      <c r="U293">
        <v>5</v>
      </c>
      <c r="V293">
        <v>13</v>
      </c>
      <c r="W293" t="s">
        <v>21</v>
      </c>
      <c r="X293" t="s">
        <v>38</v>
      </c>
      <c r="Y293" t="str">
        <f>IF(Table2[[#This Row],[Work_Mode]]&lt;&gt;"",Table2[[#This Row],[Work_Mode]],
IF(ISNUMBER(SEARCH("India",Table2[[#This Row],[Emp_Name]])),"Office",
IF(ISNUMBER(SEARCH("Foreign",Table2[[#This Row],[Emp_Name]])),"Remote","")))</f>
        <v>Hybrid</v>
      </c>
      <c r="AA29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93" t="s">
        <v>39</v>
      </c>
      <c r="AC293" t="str">
        <f>IF(COUNTIF(Table2[Emp_ID],Table2[[#This Row],[Emp_ID]])&gt;1,"Duplicate","Unique")</f>
        <v>Unique</v>
      </c>
      <c r="AE293" s="2"/>
      <c r="AG293" t="str">
        <f>IF(Table2[[#This Row],[Monthly_Salary]]="","Exclude",
IF(Table2[[#This Row],[Row_Status]]="Mismatch","Exclude",
IF(AND(Table2[[#This Row],[Row_Status]]="Exact Duplicate",
COUNTIFS(Table2[Emp_ID],Table2[[#This Row],[Emp_ID]],Table2[Row_Concat],Table2[[#This Row],[Row_Concat]],
Table2[Row_Number],"&lt;"&amp;Table2[[#This Row],[Row_Number]])&gt;=1),"Delete","")))</f>
        <v/>
      </c>
      <c r="AH293" t="str">
        <f>VLOOKUP(Table2[[#This Row],[Department]],Raw_2!A:B,2,0)</f>
        <v>Day</v>
      </c>
      <c r="AI293">
        <f>VLOOKUP(Table2[[#This Row],[Department]],Raw_2!A:C,3,0)</f>
        <v>10</v>
      </c>
    </row>
    <row r="294" spans="1:35">
      <c r="A294" t="s">
        <v>629</v>
      </c>
      <c r="B294" t="s">
        <v>630</v>
      </c>
      <c r="C294">
        <v>24</v>
      </c>
      <c r="D294" t="s">
        <v>25</v>
      </c>
      <c r="E294" t="str">
        <f>IF(OR(Table2[[#This Row],[Gender]]="Male",Table2[[#This Row],[Gender]]="M"),"M",
IF(OR(Table2[[#This Row],[Gender]]="Female",Table2[[#This Row],[Gender]]="F"),"F",""))</f>
        <v>F</v>
      </c>
      <c r="F294" t="s">
        <v>65</v>
      </c>
      <c r="G294" t="s">
        <v>36</v>
      </c>
      <c r="H294" t="s">
        <v>43</v>
      </c>
      <c r="I294" t="s">
        <v>1060</v>
      </c>
      <c r="J294" t="str">
        <f>IF(ISNUMBER(SEARCH("India",Table2[[#This Row],[Emp_Name]])),"INR",
IF(ISNUMBER(SEARCH("Foreign",Table2[[#This Row],[Emp_Name]])),Table2[[#This Row],[Currency]],Table2[[#This Row],[Currency]]))</f>
        <v>INR</v>
      </c>
      <c r="K294">
        <v>24000</v>
      </c>
      <c r="L294">
        <v>12</v>
      </c>
      <c r="M294">
        <f>IF(Table2[[#This Row],[Num_Month]]&lt;&gt;12,12,Table2[[#This Row],[Num_Month]])</f>
        <v>12</v>
      </c>
      <c r="N294">
        <f>IF(Table2[[#This Row],[Monthly_Salary]]="","",Table2[[#This Row],[Monthly_Salary]]*Table2[[#This Row],[Num_Month_Final]])</f>
        <v>288000</v>
      </c>
      <c r="O294">
        <v>1</v>
      </c>
      <c r="P294">
        <f>IF(Table2[[#This Row],[Exp_Years]]&lt;0,ABS(Table2[[#This Row],[Exp_Years]]),Table2[[#This Row],[Exp_Years]])</f>
        <v>1</v>
      </c>
      <c r="Q294">
        <v>2</v>
      </c>
      <c r="S294" t="str">
        <f>IF(Table2[[#This Row],[Performance_Rating]]&gt;=3,Table2[[#This Row],[Monthly_Salary]]*0.3,"")</f>
        <v/>
      </c>
      <c r="T294">
        <v>88</v>
      </c>
      <c r="U294">
        <v>12</v>
      </c>
      <c r="V294">
        <v>1</v>
      </c>
      <c r="X294" t="s">
        <v>38</v>
      </c>
      <c r="Y294" t="str">
        <f>IF(Table2[[#This Row],[Work_Mode]]&lt;&gt;"",Table2[[#This Row],[Work_Mode]],
IF(ISNUMBER(SEARCH("India",Table2[[#This Row],[Emp_Name]])),"Office",
IF(ISNUMBER(SEARCH("Foreign",Table2[[#This Row],[Emp_Name]])),"Remote","")))</f>
        <v>Hybrid</v>
      </c>
      <c r="Z294">
        <v>10</v>
      </c>
      <c r="AA29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94" t="s">
        <v>39</v>
      </c>
      <c r="AC294" t="str">
        <f>IF(COUNTIF(Table2[Emp_ID],Table2[[#This Row],[Emp_ID]])&gt;1,"Duplicate","Unique")</f>
        <v>Unique</v>
      </c>
      <c r="AE294" s="2"/>
      <c r="AG294" t="str">
        <f>IF(Table2[[#This Row],[Monthly_Salary]]="","Exclude",
IF(Table2[[#This Row],[Row_Status]]="Mismatch","Exclude",
IF(AND(Table2[[#This Row],[Row_Status]]="Exact Duplicate",
COUNTIFS(Table2[Emp_ID],Table2[[#This Row],[Emp_ID]],Table2[Row_Concat],Table2[[#This Row],[Row_Concat]],
Table2[Row_Number],"&lt;"&amp;Table2[[#This Row],[Row_Number]])&gt;=1),"Delete","")))</f>
        <v/>
      </c>
      <c r="AH294" t="str">
        <f>VLOOKUP(Table2[[#This Row],[Department]],Raw_2!A:B,2,0)</f>
        <v>Day</v>
      </c>
      <c r="AI294">
        <f>VLOOKUP(Table2[[#This Row],[Department]],Raw_2!A:C,3,0)</f>
        <v>25</v>
      </c>
    </row>
    <row r="295" spans="1:35">
      <c r="A295" t="s">
        <v>631</v>
      </c>
      <c r="B295" t="s">
        <v>632</v>
      </c>
      <c r="C295">
        <v>23</v>
      </c>
      <c r="E295" t="str">
        <f>IF(OR(Table2[[#This Row],[Gender]]="Male",Table2[[#This Row],[Gender]]="M"),"M",
IF(OR(Table2[[#This Row],[Gender]]="Female",Table2[[#This Row],[Gender]]="F"),"F",""))</f>
        <v/>
      </c>
      <c r="F295" t="s">
        <v>64</v>
      </c>
      <c r="G295" t="s">
        <v>31</v>
      </c>
      <c r="H295" t="s">
        <v>43</v>
      </c>
      <c r="I295" t="s">
        <v>1060</v>
      </c>
      <c r="J295" t="str">
        <f>IF(ISNUMBER(SEARCH("India",Table2[[#This Row],[Emp_Name]])),"INR",
IF(ISNUMBER(SEARCH("Foreign",Table2[[#This Row],[Emp_Name]])),Table2[[#This Row],[Currency]],Table2[[#This Row],[Currency]]))</f>
        <v>INR</v>
      </c>
      <c r="K295">
        <v>24000</v>
      </c>
      <c r="L295">
        <v>12</v>
      </c>
      <c r="M295">
        <f>IF(Table2[[#This Row],[Num_Month]]&lt;&gt;12,12,Table2[[#This Row],[Num_Month]])</f>
        <v>12</v>
      </c>
      <c r="N295">
        <f>IF(Table2[[#This Row],[Monthly_Salary]]="","",Table2[[#This Row],[Monthly_Salary]]*Table2[[#This Row],[Num_Month_Final]])</f>
        <v>288000</v>
      </c>
      <c r="O295">
        <v>1</v>
      </c>
      <c r="P295">
        <f>IF(Table2[[#This Row],[Exp_Years]]&lt;0,ABS(Table2[[#This Row],[Exp_Years]]),Table2[[#This Row],[Exp_Years]])</f>
        <v>1</v>
      </c>
      <c r="Q295">
        <v>1</v>
      </c>
      <c r="S295" t="str">
        <f>IF(Table2[[#This Row],[Performance_Rating]]&gt;=3,Table2[[#This Row],[Monthly_Salary]]*0.3,"")</f>
        <v/>
      </c>
      <c r="T295">
        <v>85</v>
      </c>
      <c r="U295">
        <v>10</v>
      </c>
      <c r="V295">
        <v>2</v>
      </c>
      <c r="X295" t="s">
        <v>19</v>
      </c>
      <c r="Y295" t="str">
        <f>IF(Table2[[#This Row],[Work_Mode]]&lt;&gt;"",Table2[[#This Row],[Work_Mode]],
IF(ISNUMBER(SEARCH("India",Table2[[#This Row],[Emp_Name]])),"Office",
IF(ISNUMBER(SEARCH("Foreign",Table2[[#This Row],[Emp_Name]])),"Remote","")))</f>
        <v>Office</v>
      </c>
      <c r="Z295">
        <v>20</v>
      </c>
      <c r="AA29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295" t="s">
        <v>39</v>
      </c>
      <c r="AC295" t="str">
        <f>IF(COUNTIF(Table2[Emp_ID],Table2[[#This Row],[Emp_ID]])&gt;1,"Duplicate","Unique")</f>
        <v>Unique</v>
      </c>
      <c r="AE295" s="2"/>
      <c r="AG295" t="str">
        <f>IF(Table2[[#This Row],[Monthly_Salary]]="","Exclude",
IF(Table2[[#This Row],[Row_Status]]="Mismatch","Exclude",
IF(AND(Table2[[#This Row],[Row_Status]]="Exact Duplicate",
COUNTIFS(Table2[Emp_ID],Table2[[#This Row],[Emp_ID]],Table2[Row_Concat],Table2[[#This Row],[Row_Concat]],
Table2[Row_Number],"&lt;"&amp;Table2[[#This Row],[Row_Number]])&gt;=1),"Delete","")))</f>
        <v/>
      </c>
      <c r="AH295" t="str">
        <f>VLOOKUP(Table2[[#This Row],[Department]],Raw_2!A:B,2,0)</f>
        <v>Night</v>
      </c>
      <c r="AI295">
        <f>VLOOKUP(Table2[[#This Row],[Department]],Raw_2!A:C,3,0)</f>
        <v>13</v>
      </c>
    </row>
    <row r="296" spans="1:35">
      <c r="A296" t="s">
        <v>633</v>
      </c>
      <c r="B296" t="s">
        <v>634</v>
      </c>
      <c r="C296">
        <v>25</v>
      </c>
      <c r="E296" t="str">
        <f>IF(OR(Table2[[#This Row],[Gender]]="Male",Table2[[#This Row],[Gender]]="M"),"M",
IF(OR(Table2[[#This Row],[Gender]]="Female",Table2[[#This Row],[Gender]]="F"),"F",""))</f>
        <v/>
      </c>
      <c r="F296" t="s">
        <v>73</v>
      </c>
      <c r="G296" t="s">
        <v>36</v>
      </c>
      <c r="H296" t="s">
        <v>43</v>
      </c>
      <c r="I296" t="s">
        <v>1059</v>
      </c>
      <c r="J296" t="str">
        <f>IF(ISNUMBER(SEARCH("India",Table2[[#This Row],[Emp_Name]])),"INR",
IF(ISNUMBER(SEARCH("Foreign",Table2[[#This Row],[Emp_Name]])),Table2[[#This Row],[Currency]],Table2[[#This Row],[Currency]]))</f>
        <v>USD</v>
      </c>
      <c r="K296">
        <v>28000</v>
      </c>
      <c r="L296">
        <v>12</v>
      </c>
      <c r="M296">
        <f>IF(Table2[[#This Row],[Num_Month]]&lt;&gt;12,12,Table2[[#This Row],[Num_Month]])</f>
        <v>12</v>
      </c>
      <c r="N296">
        <f>IF(Table2[[#This Row],[Monthly_Salary]]="","",Table2[[#This Row],[Monthly_Salary]]*Table2[[#This Row],[Num_Month_Final]])</f>
        <v>336000</v>
      </c>
      <c r="O296">
        <v>2</v>
      </c>
      <c r="P296">
        <f>IF(Table2[[#This Row],[Exp_Years]]&lt;0,ABS(Table2[[#This Row],[Exp_Years]]),Table2[[#This Row],[Exp_Years]])</f>
        <v>2</v>
      </c>
      <c r="Q296">
        <v>4</v>
      </c>
      <c r="R296">
        <v>16000</v>
      </c>
      <c r="S296">
        <f>IF(Table2[[#This Row],[Performance_Rating]]&gt;=3,Table2[[#This Row],[Monthly_Salary]]*0.3,"")</f>
        <v>8400</v>
      </c>
      <c r="T296">
        <v>90</v>
      </c>
      <c r="U296">
        <v>12</v>
      </c>
      <c r="V296">
        <v>5</v>
      </c>
      <c r="X296" t="s">
        <v>28</v>
      </c>
      <c r="Y296" t="str">
        <f>IF(Table2[[#This Row],[Work_Mode]]&lt;&gt;"",Table2[[#This Row],[Work_Mode]],
IF(ISNUMBER(SEARCH("India",Table2[[#This Row],[Emp_Name]])),"Office",
IF(ISNUMBER(SEARCH("Foreign",Table2[[#This Row],[Emp_Name]])),"Remote","")))</f>
        <v>Remote</v>
      </c>
      <c r="Z296">
        <v>10</v>
      </c>
      <c r="AA29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96" t="s">
        <v>22</v>
      </c>
      <c r="AC296" t="str">
        <f>IF(COUNTIF(Table2[Emp_ID],Table2[[#This Row],[Emp_ID]])&gt;1,"Duplicate","Unique")</f>
        <v>Unique</v>
      </c>
      <c r="AE296" s="2"/>
      <c r="AG296" t="str">
        <f>IF(Table2[[#This Row],[Monthly_Salary]]="","Exclude",
IF(Table2[[#This Row],[Row_Status]]="Mismatch","Exclude",
IF(AND(Table2[[#This Row],[Row_Status]]="Exact Duplicate",
COUNTIFS(Table2[Emp_ID],Table2[[#This Row],[Emp_ID]],Table2[Row_Concat],Table2[[#This Row],[Row_Concat]],
Table2[Row_Number],"&lt;"&amp;Table2[[#This Row],[Row_Number]])&gt;=1),"Delete","")))</f>
        <v/>
      </c>
      <c r="AH296" t="str">
        <f>VLOOKUP(Table2[[#This Row],[Department]],Raw_2!A:B,2,0)</f>
        <v>Day</v>
      </c>
      <c r="AI296">
        <f>VLOOKUP(Table2[[#This Row],[Department]],Raw_2!A:C,3,0)</f>
        <v>25</v>
      </c>
    </row>
    <row r="297" spans="1:35">
      <c r="A297" t="s">
        <v>635</v>
      </c>
      <c r="B297" t="s">
        <v>636</v>
      </c>
      <c r="C297">
        <v>24</v>
      </c>
      <c r="D297" t="s">
        <v>16</v>
      </c>
      <c r="E297" t="str">
        <f>IF(OR(Table2[[#This Row],[Gender]]="Male",Table2[[#This Row],[Gender]]="M"),"M",
IF(OR(Table2[[#This Row],[Gender]]="Female",Table2[[#This Row],[Gender]]="F"),"F",""))</f>
        <v>M</v>
      </c>
      <c r="F297" t="s">
        <v>73</v>
      </c>
      <c r="G297" t="s">
        <v>18</v>
      </c>
      <c r="H297" t="s">
        <v>43</v>
      </c>
      <c r="I297" t="s">
        <v>1060</v>
      </c>
      <c r="J297" t="str">
        <f>IF(ISNUMBER(SEARCH("India",Table2[[#This Row],[Emp_Name]])),"INR",
IF(ISNUMBER(SEARCH("Foreign",Table2[[#This Row],[Emp_Name]])),Table2[[#This Row],[Currency]],Table2[[#This Row],[Currency]]))</f>
        <v>INR</v>
      </c>
      <c r="K297">
        <v>28000</v>
      </c>
      <c r="L297">
        <v>12</v>
      </c>
      <c r="M297">
        <f>IF(Table2[[#This Row],[Num_Month]]&lt;&gt;12,12,Table2[[#This Row],[Num_Month]])</f>
        <v>12</v>
      </c>
      <c r="N297">
        <f>IF(Table2[[#This Row],[Monthly_Salary]]="","",Table2[[#This Row],[Monthly_Salary]]*Table2[[#This Row],[Num_Month_Final]])</f>
        <v>336000</v>
      </c>
      <c r="O297">
        <v>2</v>
      </c>
      <c r="P297">
        <f>IF(Table2[[#This Row],[Exp_Years]]&lt;0,ABS(Table2[[#This Row],[Exp_Years]]),Table2[[#This Row],[Exp_Years]])</f>
        <v>2</v>
      </c>
      <c r="Q297">
        <v>3</v>
      </c>
      <c r="R297">
        <v>13400</v>
      </c>
      <c r="S297">
        <f>IF(Table2[[#This Row],[Performance_Rating]]&gt;=3,Table2[[#This Row],[Monthly_Salary]]*0.3,"")</f>
        <v>8400</v>
      </c>
      <c r="T297">
        <v>80</v>
      </c>
      <c r="U297">
        <v>10</v>
      </c>
      <c r="V297">
        <v>2</v>
      </c>
      <c r="W297" t="s">
        <v>37</v>
      </c>
      <c r="X297" t="s">
        <v>38</v>
      </c>
      <c r="Y297" t="str">
        <f>IF(Table2[[#This Row],[Work_Mode]]&lt;&gt;"",Table2[[#This Row],[Work_Mode]],
IF(ISNUMBER(SEARCH("India",Table2[[#This Row],[Emp_Name]])),"Office",
IF(ISNUMBER(SEARCH("Foreign",Table2[[#This Row],[Emp_Name]])),"Remote","")))</f>
        <v>Hybrid</v>
      </c>
      <c r="Z297">
        <v>10</v>
      </c>
      <c r="AA29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297" t="s">
        <v>22</v>
      </c>
      <c r="AC297" t="str">
        <f>IF(COUNTIF(Table2[Emp_ID],Table2[[#This Row],[Emp_ID]])&gt;1,"Duplicate","Unique")</f>
        <v>Unique</v>
      </c>
      <c r="AE297" s="2"/>
      <c r="AG297" t="str">
        <f>IF(Table2[[#This Row],[Monthly_Salary]]="","Exclude",
IF(Table2[[#This Row],[Row_Status]]="Mismatch","Exclude",
IF(AND(Table2[[#This Row],[Row_Status]]="Exact Duplicate",
COUNTIFS(Table2[Emp_ID],Table2[[#This Row],[Emp_ID]],Table2[Row_Concat],Table2[[#This Row],[Row_Concat]],
Table2[Row_Number],"&lt;"&amp;Table2[[#This Row],[Row_Number]])&gt;=1),"Delete","")))</f>
        <v/>
      </c>
      <c r="AH297" t="str">
        <f>VLOOKUP(Table2[[#This Row],[Department]],Raw_2!A:B,2,0)</f>
        <v>Day</v>
      </c>
      <c r="AI297">
        <f>VLOOKUP(Table2[[#This Row],[Department]],Raw_2!A:C,3,0)</f>
        <v>10</v>
      </c>
    </row>
    <row r="298" spans="1:35">
      <c r="A298" t="s">
        <v>637</v>
      </c>
      <c r="B298" t="s">
        <v>638</v>
      </c>
      <c r="C298">
        <v>24</v>
      </c>
      <c r="D298" t="s">
        <v>25</v>
      </c>
      <c r="E298" t="str">
        <f>IF(OR(Table2[[#This Row],[Gender]]="Male",Table2[[#This Row],[Gender]]="M"),"M",
IF(OR(Table2[[#This Row],[Gender]]="Female",Table2[[#This Row],[Gender]]="F"),"F",""))</f>
        <v>F</v>
      </c>
      <c r="F298" t="s">
        <v>57</v>
      </c>
      <c r="G298" t="s">
        <v>18</v>
      </c>
      <c r="H298" t="s">
        <v>43</v>
      </c>
      <c r="I298" t="s">
        <v>1060</v>
      </c>
      <c r="J298" t="str">
        <f>IF(ISNUMBER(SEARCH("India",Table2[[#This Row],[Emp_Name]])),"INR",
IF(ISNUMBER(SEARCH("Foreign",Table2[[#This Row],[Emp_Name]])),Table2[[#This Row],[Currency]],Table2[[#This Row],[Currency]]))</f>
        <v>INR</v>
      </c>
      <c r="K298">
        <v>28000</v>
      </c>
      <c r="L298">
        <v>12</v>
      </c>
      <c r="M298">
        <f>IF(Table2[[#This Row],[Num_Month]]&lt;&gt;12,12,Table2[[#This Row],[Num_Month]])</f>
        <v>12</v>
      </c>
      <c r="N298">
        <f>IF(Table2[[#This Row],[Monthly_Salary]]="","",Table2[[#This Row],[Monthly_Salary]]*Table2[[#This Row],[Num_Month_Final]])</f>
        <v>336000</v>
      </c>
      <c r="O298">
        <v>2</v>
      </c>
      <c r="P298">
        <f>IF(Table2[[#This Row],[Exp_Years]]&lt;0,ABS(Table2[[#This Row],[Exp_Years]]),Table2[[#This Row],[Exp_Years]])</f>
        <v>2</v>
      </c>
      <c r="Q298">
        <v>4</v>
      </c>
      <c r="R298">
        <v>16000</v>
      </c>
      <c r="S298">
        <f>IF(Table2[[#This Row],[Performance_Rating]]&gt;=3,Table2[[#This Row],[Monthly_Salary]]*0.3,"")</f>
        <v>8400</v>
      </c>
      <c r="T298">
        <v>88</v>
      </c>
      <c r="U298">
        <v>5</v>
      </c>
      <c r="V298">
        <v>12</v>
      </c>
      <c r="X298" t="s">
        <v>38</v>
      </c>
      <c r="Y298" t="str">
        <f>IF(Table2[[#This Row],[Work_Mode]]&lt;&gt;"",Table2[[#This Row],[Work_Mode]],
IF(ISNUMBER(SEARCH("India",Table2[[#This Row],[Emp_Name]])),"Office",
IF(ISNUMBER(SEARCH("Foreign",Table2[[#This Row],[Emp_Name]])),"Remote","")))</f>
        <v>Hybrid</v>
      </c>
      <c r="AA29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98" t="s">
        <v>22</v>
      </c>
      <c r="AC298" t="str">
        <f>IF(COUNTIF(Table2[Emp_ID],Table2[[#This Row],[Emp_ID]])&gt;1,"Duplicate","Unique")</f>
        <v>Unique</v>
      </c>
      <c r="AE298" s="2"/>
      <c r="AG298" t="str">
        <f>IF(Table2[[#This Row],[Monthly_Salary]]="","Exclude",
IF(Table2[[#This Row],[Row_Status]]="Mismatch","Exclude",
IF(AND(Table2[[#This Row],[Row_Status]]="Exact Duplicate",
COUNTIFS(Table2[Emp_ID],Table2[[#This Row],[Emp_ID]],Table2[Row_Concat],Table2[[#This Row],[Row_Concat]],
Table2[Row_Number],"&lt;"&amp;Table2[[#This Row],[Row_Number]])&gt;=1),"Delete","")))</f>
        <v/>
      </c>
      <c r="AH298" t="str">
        <f>VLOOKUP(Table2[[#This Row],[Department]],Raw_2!A:B,2,0)</f>
        <v>Day</v>
      </c>
      <c r="AI298">
        <f>VLOOKUP(Table2[[#This Row],[Department]],Raw_2!A:C,3,0)</f>
        <v>10</v>
      </c>
    </row>
    <row r="299" spans="1:35">
      <c r="A299" t="s">
        <v>639</v>
      </c>
      <c r="B299" t="s">
        <v>640</v>
      </c>
      <c r="C299">
        <v>24</v>
      </c>
      <c r="E299" t="str">
        <f>IF(OR(Table2[[#This Row],[Gender]]="Male",Table2[[#This Row],[Gender]]="M"),"M",
IF(OR(Table2[[#This Row],[Gender]]="Female",Table2[[#This Row],[Gender]]="F"),"F",""))</f>
        <v/>
      </c>
      <c r="F299" t="s">
        <v>26</v>
      </c>
      <c r="G299" t="s">
        <v>31</v>
      </c>
      <c r="H299" t="s">
        <v>43</v>
      </c>
      <c r="I299" t="s">
        <v>1060</v>
      </c>
      <c r="J299" t="str">
        <f>IF(ISNUMBER(SEARCH("India",Table2[[#This Row],[Emp_Name]])),"INR",
IF(ISNUMBER(SEARCH("Foreign",Table2[[#This Row],[Emp_Name]])),Table2[[#This Row],[Currency]],Table2[[#This Row],[Currency]]))</f>
        <v>INR</v>
      </c>
      <c r="K299">
        <v>24000</v>
      </c>
      <c r="L299">
        <v>12</v>
      </c>
      <c r="M299">
        <f>IF(Table2[[#This Row],[Num_Month]]&lt;&gt;12,12,Table2[[#This Row],[Num_Month]])</f>
        <v>12</v>
      </c>
      <c r="N299">
        <f>IF(Table2[[#This Row],[Monthly_Salary]]="","",Table2[[#This Row],[Monthly_Salary]]*Table2[[#This Row],[Num_Month_Final]])</f>
        <v>288000</v>
      </c>
      <c r="O299">
        <v>1</v>
      </c>
      <c r="P299">
        <f>IF(Table2[[#This Row],[Exp_Years]]&lt;0,ABS(Table2[[#This Row],[Exp_Years]]),Table2[[#This Row],[Exp_Years]])</f>
        <v>1</v>
      </c>
      <c r="Q299">
        <v>1</v>
      </c>
      <c r="S299" t="str">
        <f>IF(Table2[[#This Row],[Performance_Rating]]&gt;=3,Table2[[#This Row],[Monthly_Salary]]*0.3,"")</f>
        <v/>
      </c>
      <c r="T299">
        <v>88</v>
      </c>
      <c r="U299">
        <v>15</v>
      </c>
      <c r="V299">
        <v>2</v>
      </c>
      <c r="X299" t="s">
        <v>38</v>
      </c>
      <c r="Y299" t="str">
        <f>IF(Table2[[#This Row],[Work_Mode]]&lt;&gt;"",Table2[[#This Row],[Work_Mode]],
IF(ISNUMBER(SEARCH("India",Table2[[#This Row],[Emp_Name]])),"Office",
IF(ISNUMBER(SEARCH("Foreign",Table2[[#This Row],[Emp_Name]])),"Remote","")))</f>
        <v>Hybrid</v>
      </c>
      <c r="AA29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299" t="s">
        <v>39</v>
      </c>
      <c r="AC299" t="str">
        <f>IF(COUNTIF(Table2[Emp_ID],Table2[[#This Row],[Emp_ID]])&gt;1,"Duplicate","Unique")</f>
        <v>Unique</v>
      </c>
      <c r="AE299" s="2"/>
      <c r="AG299" t="str">
        <f>IF(Table2[[#This Row],[Monthly_Salary]]="","Exclude",
IF(Table2[[#This Row],[Row_Status]]="Mismatch","Exclude",
IF(AND(Table2[[#This Row],[Row_Status]]="Exact Duplicate",
COUNTIFS(Table2[Emp_ID],Table2[[#This Row],[Emp_ID]],Table2[Row_Concat],Table2[[#This Row],[Row_Concat]],
Table2[Row_Number],"&lt;"&amp;Table2[[#This Row],[Row_Number]])&gt;=1),"Delete","")))</f>
        <v/>
      </c>
      <c r="AH299" t="str">
        <f>VLOOKUP(Table2[[#This Row],[Department]],Raw_2!A:B,2,0)</f>
        <v>Night</v>
      </c>
      <c r="AI299">
        <f>VLOOKUP(Table2[[#This Row],[Department]],Raw_2!A:C,3,0)</f>
        <v>13</v>
      </c>
    </row>
    <row r="300" spans="1:35">
      <c r="A300" t="s">
        <v>641</v>
      </c>
      <c r="B300" t="s">
        <v>642</v>
      </c>
      <c r="C300">
        <v>25</v>
      </c>
      <c r="E300" t="str">
        <f>IF(OR(Table2[[#This Row],[Gender]]="Male",Table2[[#This Row],[Gender]]="M"),"M",
IF(OR(Table2[[#This Row],[Gender]]="Female",Table2[[#This Row],[Gender]]="F"),"F",""))</f>
        <v/>
      </c>
      <c r="F300" t="s">
        <v>50</v>
      </c>
      <c r="G300" t="s">
        <v>36</v>
      </c>
      <c r="H300" t="s">
        <v>43</v>
      </c>
      <c r="I300" t="s">
        <v>1060</v>
      </c>
      <c r="J300" t="str">
        <f>IF(ISNUMBER(SEARCH("India",Table2[[#This Row],[Emp_Name]])),"INR",
IF(ISNUMBER(SEARCH("Foreign",Table2[[#This Row],[Emp_Name]])),Table2[[#This Row],[Currency]],Table2[[#This Row],[Currency]]))</f>
        <v>INR</v>
      </c>
      <c r="K300">
        <v>28000</v>
      </c>
      <c r="L300">
        <v>12</v>
      </c>
      <c r="M300">
        <f>IF(Table2[[#This Row],[Num_Month]]&lt;&gt;12,12,Table2[[#This Row],[Num_Month]])</f>
        <v>12</v>
      </c>
      <c r="N300">
        <f>IF(Table2[[#This Row],[Monthly_Salary]]="","",Table2[[#This Row],[Monthly_Salary]]*Table2[[#This Row],[Num_Month_Final]])</f>
        <v>336000</v>
      </c>
      <c r="O300">
        <v>2</v>
      </c>
      <c r="P300">
        <f>IF(Table2[[#This Row],[Exp_Years]]&lt;0,ABS(Table2[[#This Row],[Exp_Years]]),Table2[[#This Row],[Exp_Years]])</f>
        <v>2</v>
      </c>
      <c r="Q300">
        <v>1</v>
      </c>
      <c r="S300" t="str">
        <f>IF(Table2[[#This Row],[Performance_Rating]]&gt;=3,Table2[[#This Row],[Monthly_Salary]]*0.3,"")</f>
        <v/>
      </c>
      <c r="T300">
        <v>90</v>
      </c>
      <c r="U300">
        <v>10</v>
      </c>
      <c r="V300">
        <v>2</v>
      </c>
      <c r="W300" t="s">
        <v>21</v>
      </c>
      <c r="X300" t="s">
        <v>38</v>
      </c>
      <c r="Y300" t="str">
        <f>IF(Table2[[#This Row],[Work_Mode]]&lt;&gt;"",Table2[[#This Row],[Work_Mode]],
IF(ISNUMBER(SEARCH("India",Table2[[#This Row],[Emp_Name]])),"Office",
IF(ISNUMBER(SEARCH("Foreign",Table2[[#This Row],[Emp_Name]])),"Remote","")))</f>
        <v>Hybrid</v>
      </c>
      <c r="Z300">
        <v>5</v>
      </c>
      <c r="AA30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00" t="s">
        <v>39</v>
      </c>
      <c r="AC300" t="str">
        <f>IF(COUNTIF(Table2[Emp_ID],Table2[[#This Row],[Emp_ID]])&gt;1,"Duplicate","Unique")</f>
        <v>Unique</v>
      </c>
      <c r="AE300" s="2"/>
      <c r="AG300" t="str">
        <f>IF(Table2[[#This Row],[Monthly_Salary]]="","Exclude",
IF(Table2[[#This Row],[Row_Status]]="Mismatch","Exclude",
IF(AND(Table2[[#This Row],[Row_Status]]="Exact Duplicate",
COUNTIFS(Table2[Emp_ID],Table2[[#This Row],[Emp_ID]],Table2[Row_Concat],Table2[[#This Row],[Row_Concat]],
Table2[Row_Number],"&lt;"&amp;Table2[[#This Row],[Row_Number]])&gt;=1),"Delete","")))</f>
        <v/>
      </c>
      <c r="AH300" t="str">
        <f>VLOOKUP(Table2[[#This Row],[Department]],Raw_2!A:B,2,0)</f>
        <v>Day</v>
      </c>
      <c r="AI300">
        <f>VLOOKUP(Table2[[#This Row],[Department]],Raw_2!A:C,3,0)</f>
        <v>25</v>
      </c>
    </row>
    <row r="301" spans="1:35">
      <c r="A301" t="s">
        <v>643</v>
      </c>
      <c r="B301" t="s">
        <v>644</v>
      </c>
      <c r="C301">
        <v>25</v>
      </c>
      <c r="D301" t="s">
        <v>25</v>
      </c>
      <c r="E301" t="str">
        <f>IF(OR(Table2[[#This Row],[Gender]]="Male",Table2[[#This Row],[Gender]]="M"),"M",
IF(OR(Table2[[#This Row],[Gender]]="Female",Table2[[#This Row],[Gender]]="F"),"F",""))</f>
        <v>F</v>
      </c>
      <c r="F301" t="s">
        <v>17</v>
      </c>
      <c r="G301" t="s">
        <v>31</v>
      </c>
      <c r="H301" t="s">
        <v>43</v>
      </c>
      <c r="I301" t="s">
        <v>1060</v>
      </c>
      <c r="J301" t="str">
        <f>IF(ISNUMBER(SEARCH("India",Table2[[#This Row],[Emp_Name]])),"INR",
IF(ISNUMBER(SEARCH("Foreign",Table2[[#This Row],[Emp_Name]])),Table2[[#This Row],[Currency]],Table2[[#This Row],[Currency]]))</f>
        <v>INR</v>
      </c>
      <c r="K301">
        <v>24000</v>
      </c>
      <c r="L301">
        <v>12</v>
      </c>
      <c r="M301">
        <f>IF(Table2[[#This Row],[Num_Month]]&lt;&gt;12,12,Table2[[#This Row],[Num_Month]])</f>
        <v>12</v>
      </c>
      <c r="N301">
        <f>IF(Table2[[#This Row],[Monthly_Salary]]="","",Table2[[#This Row],[Monthly_Salary]]*Table2[[#This Row],[Num_Month_Final]])</f>
        <v>288000</v>
      </c>
      <c r="O301">
        <v>1</v>
      </c>
      <c r="P301">
        <f>IF(Table2[[#This Row],[Exp_Years]]&lt;0,ABS(Table2[[#This Row],[Exp_Years]]),Table2[[#This Row],[Exp_Years]])</f>
        <v>1</v>
      </c>
      <c r="Q301">
        <v>3</v>
      </c>
      <c r="R301">
        <v>11481</v>
      </c>
      <c r="S301">
        <f>IF(Table2[[#This Row],[Performance_Rating]]&gt;=3,Table2[[#This Row],[Monthly_Salary]]*0.3,"")</f>
        <v>7200</v>
      </c>
      <c r="T301">
        <v>88</v>
      </c>
      <c r="U301">
        <v>5</v>
      </c>
      <c r="V301">
        <v>2</v>
      </c>
      <c r="X301" t="s">
        <v>38</v>
      </c>
      <c r="Y301" t="str">
        <f>IF(Table2[[#This Row],[Work_Mode]]&lt;&gt;"",Table2[[#This Row],[Work_Mode]],
IF(ISNUMBER(SEARCH("India",Table2[[#This Row],[Emp_Name]])),"Office",
IF(ISNUMBER(SEARCH("Foreign",Table2[[#This Row],[Emp_Name]])),"Remote","")))</f>
        <v>Hybrid</v>
      </c>
      <c r="AA30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01" t="s">
        <v>22</v>
      </c>
      <c r="AC301" t="str">
        <f>IF(COUNTIF(Table2[Emp_ID],Table2[[#This Row],[Emp_ID]])&gt;1,"Duplicate","Unique")</f>
        <v>Unique</v>
      </c>
      <c r="AE301" s="2"/>
      <c r="AG301" t="str">
        <f>IF(Table2[[#This Row],[Monthly_Salary]]="","Exclude",
IF(Table2[[#This Row],[Row_Status]]="Mismatch","Exclude",
IF(AND(Table2[[#This Row],[Row_Status]]="Exact Duplicate",
COUNTIFS(Table2[Emp_ID],Table2[[#This Row],[Emp_ID]],Table2[Row_Concat],Table2[[#This Row],[Row_Concat]],
Table2[Row_Number],"&lt;"&amp;Table2[[#This Row],[Row_Number]])&gt;=1),"Delete","")))</f>
        <v/>
      </c>
      <c r="AH301" t="str">
        <f>VLOOKUP(Table2[[#This Row],[Department]],Raw_2!A:B,2,0)</f>
        <v>Night</v>
      </c>
      <c r="AI301">
        <f>VLOOKUP(Table2[[#This Row],[Department]],Raw_2!A:C,3,0)</f>
        <v>13</v>
      </c>
    </row>
    <row r="302" spans="1:35">
      <c r="A302" t="s">
        <v>645</v>
      </c>
      <c r="B302" t="s">
        <v>646</v>
      </c>
      <c r="C302">
        <v>28</v>
      </c>
      <c r="E302" t="str">
        <f>IF(OR(Table2[[#This Row],[Gender]]="Male",Table2[[#This Row],[Gender]]="M"),"M",
IF(OR(Table2[[#This Row],[Gender]]="Female",Table2[[#This Row],[Gender]]="F"),"F",""))</f>
        <v/>
      </c>
      <c r="F302" t="s">
        <v>26</v>
      </c>
      <c r="G302" t="s">
        <v>42</v>
      </c>
      <c r="H302" t="s">
        <v>1045</v>
      </c>
      <c r="I302" t="s">
        <v>1060</v>
      </c>
      <c r="J302" t="str">
        <f>IF(ISNUMBER(SEARCH("India",Table2[[#This Row],[Emp_Name]])),"INR",
IF(ISNUMBER(SEARCH("Foreign",Table2[[#This Row],[Emp_Name]])),Table2[[#This Row],[Currency]],Table2[[#This Row],[Currency]]))</f>
        <v>INR</v>
      </c>
      <c r="K302">
        <v>78000</v>
      </c>
      <c r="L302">
        <v>12</v>
      </c>
      <c r="M302">
        <f>IF(Table2[[#This Row],[Num_Month]]&lt;&gt;12,12,Table2[[#This Row],[Num_Month]])</f>
        <v>12</v>
      </c>
      <c r="N302">
        <f>IF(Table2[[#This Row],[Monthly_Salary]]="","",Table2[[#This Row],[Monthly_Salary]]*Table2[[#This Row],[Num_Month_Final]])</f>
        <v>936000</v>
      </c>
      <c r="O302">
        <v>7</v>
      </c>
      <c r="P302">
        <f>IF(Table2[[#This Row],[Exp_Years]]&lt;0,ABS(Table2[[#This Row],[Exp_Years]]),Table2[[#This Row],[Exp_Years]])</f>
        <v>7</v>
      </c>
      <c r="Q302">
        <v>4</v>
      </c>
      <c r="R302">
        <v>10871</v>
      </c>
      <c r="S302">
        <f>IF(Table2[[#This Row],[Performance_Rating]]&gt;=3,Table2[[#This Row],[Monthly_Salary]]*0.3,"")</f>
        <v>23400</v>
      </c>
      <c r="T302">
        <v>95</v>
      </c>
      <c r="U302">
        <v>10</v>
      </c>
      <c r="V302">
        <v>9</v>
      </c>
      <c r="W302" t="s">
        <v>37</v>
      </c>
      <c r="X302" t="s">
        <v>38</v>
      </c>
      <c r="Y302" t="str">
        <f>IF(Table2[[#This Row],[Work_Mode]]&lt;&gt;"",Table2[[#This Row],[Work_Mode]],
IF(ISNUMBER(SEARCH("India",Table2[[#This Row],[Emp_Name]])),"Office",
IF(ISNUMBER(SEARCH("Foreign",Table2[[#This Row],[Emp_Name]])),"Remote","")))</f>
        <v>Hybrid</v>
      </c>
      <c r="Z302">
        <v>20</v>
      </c>
      <c r="AA30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302" t="s">
        <v>58</v>
      </c>
      <c r="AC302" t="str">
        <f>IF(COUNTIF(Table2[Emp_ID],Table2[[#This Row],[Emp_ID]])&gt;1,"Duplicate","Unique")</f>
        <v>Unique</v>
      </c>
      <c r="AE302" s="2"/>
      <c r="AG302" t="str">
        <f>IF(Table2[[#This Row],[Monthly_Salary]]="","Exclude",
IF(Table2[[#This Row],[Row_Status]]="Mismatch","Exclude",
IF(AND(Table2[[#This Row],[Row_Status]]="Exact Duplicate",
COUNTIFS(Table2[Emp_ID],Table2[[#This Row],[Emp_ID]],Table2[Row_Concat],Table2[[#This Row],[Row_Concat]],
Table2[Row_Number],"&lt;"&amp;Table2[[#This Row],[Row_Number]])&gt;=1),"Delete","")))</f>
        <v/>
      </c>
      <c r="AH302" t="str">
        <f>VLOOKUP(Table2[[#This Row],[Department]],Raw_2!A:B,2,0)</f>
        <v>Day</v>
      </c>
      <c r="AI302">
        <f>VLOOKUP(Table2[[#This Row],[Department]],Raw_2!A:C,3,0)</f>
        <v>14</v>
      </c>
    </row>
    <row r="303" spans="1:35">
      <c r="A303" t="s">
        <v>647</v>
      </c>
      <c r="B303" t="s">
        <v>648</v>
      </c>
      <c r="C303">
        <v>29</v>
      </c>
      <c r="E303" t="str">
        <f>IF(OR(Table2[[#This Row],[Gender]]="Male",Table2[[#This Row],[Gender]]="M"),"M",
IF(OR(Table2[[#This Row],[Gender]]="Female",Table2[[#This Row],[Gender]]="F"),"F",""))</f>
        <v/>
      </c>
      <c r="F303" t="s">
        <v>26</v>
      </c>
      <c r="G303" t="s">
        <v>31</v>
      </c>
      <c r="H303" t="s">
        <v>1045</v>
      </c>
      <c r="I303" t="s">
        <v>1060</v>
      </c>
      <c r="J303" t="str">
        <f>IF(ISNUMBER(SEARCH("India",Table2[[#This Row],[Emp_Name]])),"INR",
IF(ISNUMBER(SEARCH("Foreign",Table2[[#This Row],[Emp_Name]])),Table2[[#This Row],[Currency]],Table2[[#This Row],[Currency]]))</f>
        <v>INR</v>
      </c>
      <c r="K303">
        <v>81000</v>
      </c>
      <c r="L303">
        <v>12</v>
      </c>
      <c r="M303">
        <f>IF(Table2[[#This Row],[Num_Month]]&lt;&gt;12,12,Table2[[#This Row],[Num_Month]])</f>
        <v>12</v>
      </c>
      <c r="N303">
        <f>IF(Table2[[#This Row],[Monthly_Salary]]="","",Table2[[#This Row],[Monthly_Salary]]*Table2[[#This Row],[Num_Month_Final]])</f>
        <v>972000</v>
      </c>
      <c r="O303">
        <v>6</v>
      </c>
      <c r="P303">
        <f>IF(Table2[[#This Row],[Exp_Years]]&lt;0,ABS(Table2[[#This Row],[Exp_Years]]),Table2[[#This Row],[Exp_Years]])</f>
        <v>6</v>
      </c>
      <c r="Q303">
        <v>4</v>
      </c>
      <c r="R303">
        <v>10871</v>
      </c>
      <c r="S303">
        <f>IF(Table2[[#This Row],[Performance_Rating]]&gt;=3,Table2[[#This Row],[Monthly_Salary]]*0.3,"")</f>
        <v>24300</v>
      </c>
      <c r="T303">
        <v>88</v>
      </c>
      <c r="U303">
        <v>5</v>
      </c>
      <c r="V303">
        <v>4</v>
      </c>
      <c r="W303" t="s">
        <v>37</v>
      </c>
      <c r="X303" t="s">
        <v>38</v>
      </c>
      <c r="Y303" t="str">
        <f>IF(Table2[[#This Row],[Work_Mode]]&lt;&gt;"",Table2[[#This Row],[Work_Mode]],
IF(ISNUMBER(SEARCH("India",Table2[[#This Row],[Emp_Name]])),"Office",
IF(ISNUMBER(SEARCH("Foreign",Table2[[#This Row],[Emp_Name]])),"Remote","")))</f>
        <v>Hybrid</v>
      </c>
      <c r="Z303">
        <v>10</v>
      </c>
      <c r="AA30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303" t="s">
        <v>22</v>
      </c>
      <c r="AC303" t="str">
        <f>IF(COUNTIF(Table2[Emp_ID],Table2[[#This Row],[Emp_ID]])&gt;1,"Duplicate","Unique")</f>
        <v>Unique</v>
      </c>
      <c r="AE303" s="2"/>
      <c r="AG303" t="str">
        <f>IF(Table2[[#This Row],[Monthly_Salary]]="","Exclude",
IF(Table2[[#This Row],[Row_Status]]="Mismatch","Exclude",
IF(AND(Table2[[#This Row],[Row_Status]]="Exact Duplicate",
COUNTIFS(Table2[Emp_ID],Table2[[#This Row],[Emp_ID]],Table2[Row_Concat],Table2[[#This Row],[Row_Concat]],
Table2[Row_Number],"&lt;"&amp;Table2[[#This Row],[Row_Number]])&gt;=1),"Delete","")))</f>
        <v/>
      </c>
      <c r="AH303" t="str">
        <f>VLOOKUP(Table2[[#This Row],[Department]],Raw_2!A:B,2,0)</f>
        <v>Night</v>
      </c>
      <c r="AI303">
        <f>VLOOKUP(Table2[[#This Row],[Department]],Raw_2!A:C,3,0)</f>
        <v>13</v>
      </c>
    </row>
    <row r="304" spans="1:35">
      <c r="A304" t="s">
        <v>649</v>
      </c>
      <c r="B304" t="s">
        <v>650</v>
      </c>
      <c r="C304">
        <v>23</v>
      </c>
      <c r="D304" t="s">
        <v>25</v>
      </c>
      <c r="E304" t="str">
        <f>IF(OR(Table2[[#This Row],[Gender]]="Male",Table2[[#This Row],[Gender]]="M"),"M",
IF(OR(Table2[[#This Row],[Gender]]="Female",Table2[[#This Row],[Gender]]="F"),"F",""))</f>
        <v>F</v>
      </c>
      <c r="F304" t="s">
        <v>64</v>
      </c>
      <c r="G304" t="s">
        <v>42</v>
      </c>
      <c r="H304" t="s">
        <v>43</v>
      </c>
      <c r="I304" t="s">
        <v>1060</v>
      </c>
      <c r="J304" t="str">
        <f>IF(ISNUMBER(SEARCH("India",Table2[[#This Row],[Emp_Name]])),"INR",
IF(ISNUMBER(SEARCH("Foreign",Table2[[#This Row],[Emp_Name]])),Table2[[#This Row],[Currency]],Table2[[#This Row],[Currency]]))</f>
        <v>INR</v>
      </c>
      <c r="K304">
        <v>28000</v>
      </c>
      <c r="L304">
        <v>12</v>
      </c>
      <c r="M304">
        <f>IF(Table2[[#This Row],[Num_Month]]&lt;&gt;12,12,Table2[[#This Row],[Num_Month]])</f>
        <v>12</v>
      </c>
      <c r="N304">
        <f>IF(Table2[[#This Row],[Monthly_Salary]]="","",Table2[[#This Row],[Monthly_Salary]]*Table2[[#This Row],[Num_Month_Final]])</f>
        <v>336000</v>
      </c>
      <c r="O304">
        <v>2</v>
      </c>
      <c r="P304">
        <f>IF(Table2[[#This Row],[Exp_Years]]&lt;0,ABS(Table2[[#This Row],[Exp_Years]]),Table2[[#This Row],[Exp_Years]])</f>
        <v>2</v>
      </c>
      <c r="Q304">
        <v>2</v>
      </c>
      <c r="S304" t="str">
        <f>IF(Table2[[#This Row],[Performance_Rating]]&gt;=3,Table2[[#This Row],[Monthly_Salary]]*0.3,"")</f>
        <v/>
      </c>
      <c r="T304">
        <v>90</v>
      </c>
      <c r="U304">
        <v>12</v>
      </c>
      <c r="V304">
        <v>2</v>
      </c>
      <c r="W304" t="s">
        <v>37</v>
      </c>
      <c r="X304" t="s">
        <v>38</v>
      </c>
      <c r="Y304" t="str">
        <f>IF(Table2[[#This Row],[Work_Mode]]&lt;&gt;"",Table2[[#This Row],[Work_Mode]],
IF(ISNUMBER(SEARCH("India",Table2[[#This Row],[Emp_Name]])),"Office",
IF(ISNUMBER(SEARCH("Foreign",Table2[[#This Row],[Emp_Name]])),"Remote","")))</f>
        <v>Hybrid</v>
      </c>
      <c r="Z304">
        <v>5</v>
      </c>
      <c r="AA30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04" t="s">
        <v>39</v>
      </c>
      <c r="AC304" t="str">
        <f>IF(COUNTIF(Table2[Emp_ID],Table2[[#This Row],[Emp_ID]])&gt;1,"Duplicate","Unique")</f>
        <v>Unique</v>
      </c>
      <c r="AE304" s="2"/>
      <c r="AG304" t="str">
        <f>IF(Table2[[#This Row],[Monthly_Salary]]="","Exclude",
IF(Table2[[#This Row],[Row_Status]]="Mismatch","Exclude",
IF(AND(Table2[[#This Row],[Row_Status]]="Exact Duplicate",
COUNTIFS(Table2[Emp_ID],Table2[[#This Row],[Emp_ID]],Table2[Row_Concat],Table2[[#This Row],[Row_Concat]],
Table2[Row_Number],"&lt;"&amp;Table2[[#This Row],[Row_Number]])&gt;=1),"Delete","")))</f>
        <v/>
      </c>
      <c r="AH304" t="str">
        <f>VLOOKUP(Table2[[#This Row],[Department]],Raw_2!A:B,2,0)</f>
        <v>Day</v>
      </c>
      <c r="AI304">
        <f>VLOOKUP(Table2[[#This Row],[Department]],Raw_2!A:C,3,0)</f>
        <v>14</v>
      </c>
    </row>
    <row r="305" spans="1:35">
      <c r="A305" t="s">
        <v>651</v>
      </c>
      <c r="B305" t="s">
        <v>652</v>
      </c>
      <c r="C305">
        <v>25</v>
      </c>
      <c r="D305" t="s">
        <v>34</v>
      </c>
      <c r="E305" t="str">
        <f>IF(OR(Table2[[#This Row],[Gender]]="Male",Table2[[#This Row],[Gender]]="M"),"M",
IF(OR(Table2[[#This Row],[Gender]]="Female",Table2[[#This Row],[Gender]]="F"),"F",""))</f>
        <v>F</v>
      </c>
      <c r="F305" t="s">
        <v>65</v>
      </c>
      <c r="G305" t="s">
        <v>31</v>
      </c>
      <c r="H305" t="s">
        <v>43</v>
      </c>
      <c r="I305" t="s">
        <v>1059</v>
      </c>
      <c r="J305" t="str">
        <f>IF(ISNUMBER(SEARCH("India",Table2[[#This Row],[Emp_Name]])),"INR",
IF(ISNUMBER(SEARCH("Foreign",Table2[[#This Row],[Emp_Name]])),Table2[[#This Row],[Currency]],Table2[[#This Row],[Currency]]))</f>
        <v>USD</v>
      </c>
      <c r="K305">
        <v>24000</v>
      </c>
      <c r="L305">
        <v>12</v>
      </c>
      <c r="M305">
        <f>IF(Table2[[#This Row],[Num_Month]]&lt;&gt;12,12,Table2[[#This Row],[Num_Month]])</f>
        <v>12</v>
      </c>
      <c r="N305">
        <f>IF(Table2[[#This Row],[Monthly_Salary]]="","",Table2[[#This Row],[Monthly_Salary]]*Table2[[#This Row],[Num_Month_Final]])</f>
        <v>288000</v>
      </c>
      <c r="O305">
        <v>1</v>
      </c>
      <c r="P305">
        <f>IF(Table2[[#This Row],[Exp_Years]]&lt;0,ABS(Table2[[#This Row],[Exp_Years]]),Table2[[#This Row],[Exp_Years]])</f>
        <v>1</v>
      </c>
      <c r="Q305">
        <v>1</v>
      </c>
      <c r="S305" t="str">
        <f>IF(Table2[[#This Row],[Performance_Rating]]&gt;=3,Table2[[#This Row],[Monthly_Salary]]*0.3,"")</f>
        <v/>
      </c>
      <c r="T305">
        <v>95</v>
      </c>
      <c r="U305">
        <v>10</v>
      </c>
      <c r="V305">
        <v>10</v>
      </c>
      <c r="W305" t="s">
        <v>37</v>
      </c>
      <c r="X305" t="s">
        <v>28</v>
      </c>
      <c r="Y305" t="str">
        <f>IF(Table2[[#This Row],[Work_Mode]]&lt;&gt;"",Table2[[#This Row],[Work_Mode]],
IF(ISNUMBER(SEARCH("India",Table2[[#This Row],[Emp_Name]])),"Office",
IF(ISNUMBER(SEARCH("Foreign",Table2[[#This Row],[Emp_Name]])),"Remote","")))</f>
        <v>Remote</v>
      </c>
      <c r="Z305">
        <v>5</v>
      </c>
      <c r="AA30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05" t="s">
        <v>39</v>
      </c>
      <c r="AC305" t="str">
        <f>IF(COUNTIF(Table2[Emp_ID],Table2[[#This Row],[Emp_ID]])&gt;1,"Duplicate","Unique")</f>
        <v>Unique</v>
      </c>
      <c r="AE305" s="2"/>
      <c r="AG305" t="str">
        <f>IF(Table2[[#This Row],[Monthly_Salary]]="","Exclude",
IF(Table2[[#This Row],[Row_Status]]="Mismatch","Exclude",
IF(AND(Table2[[#This Row],[Row_Status]]="Exact Duplicate",
COUNTIFS(Table2[Emp_ID],Table2[[#This Row],[Emp_ID]],Table2[Row_Concat],Table2[[#This Row],[Row_Concat]],
Table2[Row_Number],"&lt;"&amp;Table2[[#This Row],[Row_Number]])&gt;=1),"Delete","")))</f>
        <v/>
      </c>
      <c r="AH305" t="str">
        <f>VLOOKUP(Table2[[#This Row],[Department]],Raw_2!A:B,2,0)</f>
        <v>Night</v>
      </c>
      <c r="AI305">
        <f>VLOOKUP(Table2[[#This Row],[Department]],Raw_2!A:C,3,0)</f>
        <v>13</v>
      </c>
    </row>
    <row r="306" spans="1:35">
      <c r="A306" t="s">
        <v>653</v>
      </c>
      <c r="B306" t="s">
        <v>654</v>
      </c>
      <c r="C306">
        <v>24</v>
      </c>
      <c r="D306" t="s">
        <v>25</v>
      </c>
      <c r="E306" t="str">
        <f>IF(OR(Table2[[#This Row],[Gender]]="Male",Table2[[#This Row],[Gender]]="M"),"M",
IF(OR(Table2[[#This Row],[Gender]]="Female",Table2[[#This Row],[Gender]]="F"),"F",""))</f>
        <v>F</v>
      </c>
      <c r="F306" t="s">
        <v>65</v>
      </c>
      <c r="G306" t="s">
        <v>31</v>
      </c>
      <c r="H306" t="s">
        <v>43</v>
      </c>
      <c r="I306" t="s">
        <v>1060</v>
      </c>
      <c r="J306" t="str">
        <f>IF(ISNUMBER(SEARCH("India",Table2[[#This Row],[Emp_Name]])),"INR",
IF(ISNUMBER(SEARCH("Foreign",Table2[[#This Row],[Emp_Name]])),Table2[[#This Row],[Currency]],Table2[[#This Row],[Currency]]))</f>
        <v>INR</v>
      </c>
      <c r="K306">
        <v>24000</v>
      </c>
      <c r="L306">
        <v>12</v>
      </c>
      <c r="M306">
        <f>IF(Table2[[#This Row],[Num_Month]]&lt;&gt;12,12,Table2[[#This Row],[Num_Month]])</f>
        <v>12</v>
      </c>
      <c r="N306">
        <f>IF(Table2[[#This Row],[Monthly_Salary]]="","",Table2[[#This Row],[Monthly_Salary]]*Table2[[#This Row],[Num_Month_Final]])</f>
        <v>288000</v>
      </c>
      <c r="O306">
        <v>1</v>
      </c>
      <c r="P306">
        <f>IF(Table2[[#This Row],[Exp_Years]]&lt;0,ABS(Table2[[#This Row],[Exp_Years]]),Table2[[#This Row],[Exp_Years]])</f>
        <v>1</v>
      </c>
      <c r="Q306">
        <v>3</v>
      </c>
      <c r="R306">
        <v>11400</v>
      </c>
      <c r="S306">
        <f>IF(Table2[[#This Row],[Performance_Rating]]&gt;=3,Table2[[#This Row],[Monthly_Salary]]*0.3,"")</f>
        <v>7200</v>
      </c>
      <c r="T306">
        <v>85</v>
      </c>
      <c r="U306">
        <v>5</v>
      </c>
      <c r="V306">
        <v>10</v>
      </c>
      <c r="W306" t="s">
        <v>21</v>
      </c>
      <c r="X306" t="s">
        <v>38</v>
      </c>
      <c r="Y306" t="str">
        <f>IF(Table2[[#This Row],[Work_Mode]]&lt;&gt;"",Table2[[#This Row],[Work_Mode]],
IF(ISNUMBER(SEARCH("India",Table2[[#This Row],[Emp_Name]])),"Office",
IF(ISNUMBER(SEARCH("Foreign",Table2[[#This Row],[Emp_Name]])),"Remote","")))</f>
        <v>Hybrid</v>
      </c>
      <c r="Z306">
        <v>10</v>
      </c>
      <c r="AA30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306" t="s">
        <v>22</v>
      </c>
      <c r="AC306" t="str">
        <f>IF(COUNTIF(Table2[Emp_ID],Table2[[#This Row],[Emp_ID]])&gt;1,"Duplicate","Unique")</f>
        <v>Unique</v>
      </c>
      <c r="AE306" s="2"/>
      <c r="AG306" t="str">
        <f>IF(Table2[[#This Row],[Monthly_Salary]]="","Exclude",
IF(Table2[[#This Row],[Row_Status]]="Mismatch","Exclude",
IF(AND(Table2[[#This Row],[Row_Status]]="Exact Duplicate",
COUNTIFS(Table2[Emp_ID],Table2[[#This Row],[Emp_ID]],Table2[Row_Concat],Table2[[#This Row],[Row_Concat]],
Table2[Row_Number],"&lt;"&amp;Table2[[#This Row],[Row_Number]])&gt;=1),"Delete","")))</f>
        <v/>
      </c>
      <c r="AH306" t="str">
        <f>VLOOKUP(Table2[[#This Row],[Department]],Raw_2!A:B,2,0)</f>
        <v>Night</v>
      </c>
      <c r="AI306">
        <f>VLOOKUP(Table2[[#This Row],[Department]],Raw_2!A:C,3,0)</f>
        <v>13</v>
      </c>
    </row>
    <row r="307" spans="1:35">
      <c r="A307" t="s">
        <v>655</v>
      </c>
      <c r="B307" t="s">
        <v>656</v>
      </c>
      <c r="C307">
        <v>25</v>
      </c>
      <c r="D307" t="s">
        <v>16</v>
      </c>
      <c r="E307" t="str">
        <f>IF(OR(Table2[[#This Row],[Gender]]="Male",Table2[[#This Row],[Gender]]="M"),"M",
IF(OR(Table2[[#This Row],[Gender]]="Female",Table2[[#This Row],[Gender]]="F"),"F",""))</f>
        <v>M</v>
      </c>
      <c r="F307" t="s">
        <v>57</v>
      </c>
      <c r="G307" t="s">
        <v>18</v>
      </c>
      <c r="H307" t="s">
        <v>43</v>
      </c>
      <c r="I307" t="s">
        <v>1060</v>
      </c>
      <c r="J307" t="str">
        <f>IF(ISNUMBER(SEARCH("India",Table2[[#This Row],[Emp_Name]])),"INR",
IF(ISNUMBER(SEARCH("Foreign",Table2[[#This Row],[Emp_Name]])),Table2[[#This Row],[Currency]],Table2[[#This Row],[Currency]]))</f>
        <v>INR</v>
      </c>
      <c r="K307">
        <v>24000</v>
      </c>
      <c r="L307">
        <v>12</v>
      </c>
      <c r="M307">
        <f>IF(Table2[[#This Row],[Num_Month]]&lt;&gt;12,12,Table2[[#This Row],[Num_Month]])</f>
        <v>12</v>
      </c>
      <c r="N307">
        <f>IF(Table2[[#This Row],[Monthly_Salary]]="","",Table2[[#This Row],[Monthly_Salary]]*Table2[[#This Row],[Num_Month_Final]])</f>
        <v>288000</v>
      </c>
      <c r="O307">
        <v>1</v>
      </c>
      <c r="P307">
        <f>IF(Table2[[#This Row],[Exp_Years]]&lt;0,ABS(Table2[[#This Row],[Exp_Years]]),Table2[[#This Row],[Exp_Years]])</f>
        <v>1</v>
      </c>
      <c r="Q307">
        <v>2</v>
      </c>
      <c r="S307" t="str">
        <f>IF(Table2[[#This Row],[Performance_Rating]]&gt;=3,Table2[[#This Row],[Monthly_Salary]]*0.3,"")</f>
        <v/>
      </c>
      <c r="T307">
        <v>85</v>
      </c>
      <c r="U307">
        <v>10</v>
      </c>
      <c r="V307">
        <v>1</v>
      </c>
      <c r="W307" t="s">
        <v>37</v>
      </c>
      <c r="X307" t="s">
        <v>38</v>
      </c>
      <c r="Y307" t="str">
        <f>IF(Table2[[#This Row],[Work_Mode]]&lt;&gt;"",Table2[[#This Row],[Work_Mode]],
IF(ISNUMBER(SEARCH("India",Table2[[#This Row],[Emp_Name]])),"Office",
IF(ISNUMBER(SEARCH("Foreign",Table2[[#This Row],[Emp_Name]])),"Remote","")))</f>
        <v>Hybrid</v>
      </c>
      <c r="Z307">
        <v>20</v>
      </c>
      <c r="AA30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307" t="s">
        <v>39</v>
      </c>
      <c r="AC307" t="str">
        <f>IF(COUNTIF(Table2[Emp_ID],Table2[[#This Row],[Emp_ID]])&gt;1,"Duplicate","Unique")</f>
        <v>Unique</v>
      </c>
      <c r="AE307" s="2"/>
      <c r="AG307" t="str">
        <f>IF(Table2[[#This Row],[Monthly_Salary]]="","Exclude",
IF(Table2[[#This Row],[Row_Status]]="Mismatch","Exclude",
IF(AND(Table2[[#This Row],[Row_Status]]="Exact Duplicate",
COUNTIFS(Table2[Emp_ID],Table2[[#This Row],[Emp_ID]],Table2[Row_Concat],Table2[[#This Row],[Row_Concat]],
Table2[Row_Number],"&lt;"&amp;Table2[[#This Row],[Row_Number]])&gt;=1),"Delete","")))</f>
        <v/>
      </c>
      <c r="AH307" t="str">
        <f>VLOOKUP(Table2[[#This Row],[Department]],Raw_2!A:B,2,0)</f>
        <v>Day</v>
      </c>
      <c r="AI307">
        <f>VLOOKUP(Table2[[#This Row],[Department]],Raw_2!A:C,3,0)</f>
        <v>10</v>
      </c>
    </row>
    <row r="308" spans="1:35">
      <c r="A308" t="s">
        <v>657</v>
      </c>
      <c r="B308" t="s">
        <v>658</v>
      </c>
      <c r="C308">
        <v>24</v>
      </c>
      <c r="D308" t="s">
        <v>46</v>
      </c>
      <c r="E308" t="str">
        <f>IF(OR(Table2[[#This Row],[Gender]]="Male",Table2[[#This Row],[Gender]]="M"),"M",
IF(OR(Table2[[#This Row],[Gender]]="Female",Table2[[#This Row],[Gender]]="F"),"F",""))</f>
        <v>M</v>
      </c>
      <c r="F308" t="s">
        <v>17</v>
      </c>
      <c r="G308" t="s">
        <v>31</v>
      </c>
      <c r="H308" t="s">
        <v>43</v>
      </c>
      <c r="I308" t="s">
        <v>1060</v>
      </c>
      <c r="J308" t="str">
        <f>IF(ISNUMBER(SEARCH("India",Table2[[#This Row],[Emp_Name]])),"INR",
IF(ISNUMBER(SEARCH("Foreign",Table2[[#This Row],[Emp_Name]])),Table2[[#This Row],[Currency]],Table2[[#This Row],[Currency]]))</f>
        <v>INR</v>
      </c>
      <c r="K308">
        <v>28000</v>
      </c>
      <c r="L308">
        <v>12</v>
      </c>
      <c r="M308">
        <f>IF(Table2[[#This Row],[Num_Month]]&lt;&gt;12,12,Table2[[#This Row],[Num_Month]])</f>
        <v>12</v>
      </c>
      <c r="N308">
        <f>IF(Table2[[#This Row],[Monthly_Salary]]="","",Table2[[#This Row],[Monthly_Salary]]*Table2[[#This Row],[Num_Month_Final]])</f>
        <v>336000</v>
      </c>
      <c r="O308">
        <v>2</v>
      </c>
      <c r="P308">
        <f>IF(Table2[[#This Row],[Exp_Years]]&lt;0,ABS(Table2[[#This Row],[Exp_Years]]),Table2[[#This Row],[Exp_Years]])</f>
        <v>2</v>
      </c>
      <c r="Q308">
        <v>2</v>
      </c>
      <c r="S308" t="str">
        <f>IF(Table2[[#This Row],[Performance_Rating]]&gt;=3,Table2[[#This Row],[Monthly_Salary]]*0.3,"")</f>
        <v/>
      </c>
      <c r="T308">
        <v>85</v>
      </c>
      <c r="U308">
        <v>15</v>
      </c>
      <c r="V308">
        <v>3</v>
      </c>
      <c r="W308" t="s">
        <v>37</v>
      </c>
      <c r="X308" t="s">
        <v>38</v>
      </c>
      <c r="Y308" t="str">
        <f>IF(Table2[[#This Row],[Work_Mode]]&lt;&gt;"",Table2[[#This Row],[Work_Mode]],
IF(ISNUMBER(SEARCH("India",Table2[[#This Row],[Emp_Name]])),"Office",
IF(ISNUMBER(SEARCH("Foreign",Table2[[#This Row],[Emp_Name]])),"Remote","")))</f>
        <v>Hybrid</v>
      </c>
      <c r="AA30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08" t="s">
        <v>39</v>
      </c>
      <c r="AC308" t="str">
        <f>IF(COUNTIF(Table2[Emp_ID],Table2[[#This Row],[Emp_ID]])&gt;1,"Duplicate","Unique")</f>
        <v>Unique</v>
      </c>
      <c r="AE308" s="2"/>
      <c r="AG308" t="str">
        <f>IF(Table2[[#This Row],[Monthly_Salary]]="","Exclude",
IF(Table2[[#This Row],[Row_Status]]="Mismatch","Exclude",
IF(AND(Table2[[#This Row],[Row_Status]]="Exact Duplicate",
COUNTIFS(Table2[Emp_ID],Table2[[#This Row],[Emp_ID]],Table2[Row_Concat],Table2[[#This Row],[Row_Concat]],
Table2[Row_Number],"&lt;"&amp;Table2[[#This Row],[Row_Number]])&gt;=1),"Delete","")))</f>
        <v/>
      </c>
      <c r="AH308" t="str">
        <f>VLOOKUP(Table2[[#This Row],[Department]],Raw_2!A:B,2,0)</f>
        <v>Night</v>
      </c>
      <c r="AI308">
        <f>VLOOKUP(Table2[[#This Row],[Department]],Raw_2!A:C,3,0)</f>
        <v>13</v>
      </c>
    </row>
    <row r="309" spans="1:35">
      <c r="A309" t="s">
        <v>659</v>
      </c>
      <c r="B309" t="s">
        <v>660</v>
      </c>
      <c r="C309">
        <v>24</v>
      </c>
      <c r="D309" t="s">
        <v>25</v>
      </c>
      <c r="E309" t="str">
        <f>IF(OR(Table2[[#This Row],[Gender]]="Male",Table2[[#This Row],[Gender]]="M"),"M",
IF(OR(Table2[[#This Row],[Gender]]="Female",Table2[[#This Row],[Gender]]="F"),"F",""))</f>
        <v>F</v>
      </c>
      <c r="F309" t="s">
        <v>65</v>
      </c>
      <c r="G309" t="s">
        <v>36</v>
      </c>
      <c r="H309" t="s">
        <v>43</v>
      </c>
      <c r="I309" t="s">
        <v>1060</v>
      </c>
      <c r="J309" t="str">
        <f>IF(ISNUMBER(SEARCH("India",Table2[[#This Row],[Emp_Name]])),"INR",
IF(ISNUMBER(SEARCH("Foreign",Table2[[#This Row],[Emp_Name]])),Table2[[#This Row],[Currency]],Table2[[#This Row],[Currency]]))</f>
        <v>INR</v>
      </c>
      <c r="K309">
        <v>28000</v>
      </c>
      <c r="L309">
        <v>12</v>
      </c>
      <c r="M309">
        <f>IF(Table2[[#This Row],[Num_Month]]&lt;&gt;12,12,Table2[[#This Row],[Num_Month]])</f>
        <v>12</v>
      </c>
      <c r="N309">
        <f>IF(Table2[[#This Row],[Monthly_Salary]]="","",Table2[[#This Row],[Monthly_Salary]]*Table2[[#This Row],[Num_Month_Final]])</f>
        <v>336000</v>
      </c>
      <c r="O309">
        <v>2</v>
      </c>
      <c r="P309">
        <f>IF(Table2[[#This Row],[Exp_Years]]&lt;0,ABS(Table2[[#This Row],[Exp_Years]]),Table2[[#This Row],[Exp_Years]])</f>
        <v>2</v>
      </c>
      <c r="Q309">
        <v>2</v>
      </c>
      <c r="S309" t="str">
        <f>IF(Table2[[#This Row],[Performance_Rating]]&gt;=3,Table2[[#This Row],[Monthly_Salary]]*0.3,"")</f>
        <v/>
      </c>
      <c r="T309">
        <v>85</v>
      </c>
      <c r="U309">
        <v>15</v>
      </c>
      <c r="V309">
        <v>1</v>
      </c>
      <c r="W309" t="s">
        <v>21</v>
      </c>
      <c r="X309" t="s">
        <v>38</v>
      </c>
      <c r="Y309" t="str">
        <f>IF(Table2[[#This Row],[Work_Mode]]&lt;&gt;"",Table2[[#This Row],[Work_Mode]],
IF(ISNUMBER(SEARCH("India",Table2[[#This Row],[Emp_Name]])),"Office",
IF(ISNUMBER(SEARCH("Foreign",Table2[[#This Row],[Emp_Name]])),"Remote","")))</f>
        <v>Hybrid</v>
      </c>
      <c r="Z309">
        <v>5</v>
      </c>
      <c r="AA30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09" t="s">
        <v>39</v>
      </c>
      <c r="AC309" t="str">
        <f>IF(COUNTIF(Table2[Emp_ID],Table2[[#This Row],[Emp_ID]])&gt;1,"Duplicate","Unique")</f>
        <v>Unique</v>
      </c>
      <c r="AE309" s="2"/>
      <c r="AG309" t="str">
        <f>IF(Table2[[#This Row],[Monthly_Salary]]="","Exclude",
IF(Table2[[#This Row],[Row_Status]]="Mismatch","Exclude",
IF(AND(Table2[[#This Row],[Row_Status]]="Exact Duplicate",
COUNTIFS(Table2[Emp_ID],Table2[[#This Row],[Emp_ID]],Table2[Row_Concat],Table2[[#This Row],[Row_Concat]],
Table2[Row_Number],"&lt;"&amp;Table2[[#This Row],[Row_Number]])&gt;=1),"Delete","")))</f>
        <v/>
      </c>
      <c r="AH309" t="str">
        <f>VLOOKUP(Table2[[#This Row],[Department]],Raw_2!A:B,2,0)</f>
        <v>Day</v>
      </c>
      <c r="AI309">
        <f>VLOOKUP(Table2[[#This Row],[Department]],Raw_2!A:C,3,0)</f>
        <v>25</v>
      </c>
    </row>
    <row r="310" spans="1:35">
      <c r="A310" t="s">
        <v>661</v>
      </c>
      <c r="B310" t="s">
        <v>662</v>
      </c>
      <c r="C310">
        <v>23</v>
      </c>
      <c r="D310" t="s">
        <v>34</v>
      </c>
      <c r="E310" t="str">
        <f>IF(OR(Table2[[#This Row],[Gender]]="Male",Table2[[#This Row],[Gender]]="M"),"M",
IF(OR(Table2[[#This Row],[Gender]]="Female",Table2[[#This Row],[Gender]]="F"),"F",""))</f>
        <v>F</v>
      </c>
      <c r="F310" t="s">
        <v>73</v>
      </c>
      <c r="G310" t="s">
        <v>42</v>
      </c>
      <c r="H310" t="s">
        <v>43</v>
      </c>
      <c r="I310" t="s">
        <v>1060</v>
      </c>
      <c r="J310" t="str">
        <f>IF(ISNUMBER(SEARCH("India",Table2[[#This Row],[Emp_Name]])),"INR",
IF(ISNUMBER(SEARCH("Foreign",Table2[[#This Row],[Emp_Name]])),Table2[[#This Row],[Currency]],Table2[[#This Row],[Currency]]))</f>
        <v>INR</v>
      </c>
      <c r="K310">
        <v>28000</v>
      </c>
      <c r="L310">
        <v>12</v>
      </c>
      <c r="M310">
        <f>IF(Table2[[#This Row],[Num_Month]]&lt;&gt;12,12,Table2[[#This Row],[Num_Month]])</f>
        <v>12</v>
      </c>
      <c r="N310">
        <f>IF(Table2[[#This Row],[Monthly_Salary]]="","",Table2[[#This Row],[Monthly_Salary]]*Table2[[#This Row],[Num_Month_Final]])</f>
        <v>336000</v>
      </c>
      <c r="O310">
        <v>2</v>
      </c>
      <c r="P310">
        <f>IF(Table2[[#This Row],[Exp_Years]]&lt;0,ABS(Table2[[#This Row],[Exp_Years]]),Table2[[#This Row],[Exp_Years]])</f>
        <v>2</v>
      </c>
      <c r="Q310">
        <v>1</v>
      </c>
      <c r="S310" t="str">
        <f>IF(Table2[[#This Row],[Performance_Rating]]&gt;=3,Table2[[#This Row],[Monthly_Salary]]*0.3,"")</f>
        <v/>
      </c>
      <c r="T310">
        <v>95</v>
      </c>
      <c r="U310">
        <v>10</v>
      </c>
      <c r="V310">
        <v>11</v>
      </c>
      <c r="X310" t="s">
        <v>38</v>
      </c>
      <c r="Y310" t="str">
        <f>IF(Table2[[#This Row],[Work_Mode]]&lt;&gt;"",Table2[[#This Row],[Work_Mode]],
IF(ISNUMBER(SEARCH("India",Table2[[#This Row],[Emp_Name]])),"Office",
IF(ISNUMBER(SEARCH("Foreign",Table2[[#This Row],[Emp_Name]])),"Remote","")))</f>
        <v>Hybrid</v>
      </c>
      <c r="Z310">
        <v>5</v>
      </c>
      <c r="AA31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10" t="s">
        <v>39</v>
      </c>
      <c r="AC310" t="str">
        <f>IF(COUNTIF(Table2[Emp_ID],Table2[[#This Row],[Emp_ID]])&gt;1,"Duplicate","Unique")</f>
        <v>Unique</v>
      </c>
      <c r="AE310" s="2"/>
      <c r="AG310" t="str">
        <f>IF(Table2[[#This Row],[Monthly_Salary]]="","Exclude",
IF(Table2[[#This Row],[Row_Status]]="Mismatch","Exclude",
IF(AND(Table2[[#This Row],[Row_Status]]="Exact Duplicate",
COUNTIFS(Table2[Emp_ID],Table2[[#This Row],[Emp_ID]],Table2[Row_Concat],Table2[[#This Row],[Row_Concat]],
Table2[Row_Number],"&lt;"&amp;Table2[[#This Row],[Row_Number]])&gt;=1),"Delete","")))</f>
        <v/>
      </c>
      <c r="AH310" t="str">
        <f>VLOOKUP(Table2[[#This Row],[Department]],Raw_2!A:B,2,0)</f>
        <v>Day</v>
      </c>
      <c r="AI310">
        <f>VLOOKUP(Table2[[#This Row],[Department]],Raw_2!A:C,3,0)</f>
        <v>14</v>
      </c>
    </row>
    <row r="311" spans="1:35">
      <c r="A311" t="s">
        <v>663</v>
      </c>
      <c r="B311" t="s">
        <v>664</v>
      </c>
      <c r="C311">
        <v>33</v>
      </c>
      <c r="D311" t="s">
        <v>25</v>
      </c>
      <c r="E311" t="str">
        <f>IF(OR(Table2[[#This Row],[Gender]]="Male",Table2[[#This Row],[Gender]]="M"),"M",
IF(OR(Table2[[#This Row],[Gender]]="Female",Table2[[#This Row],[Gender]]="F"),"F",""))</f>
        <v>F</v>
      </c>
      <c r="F311" t="s">
        <v>35</v>
      </c>
      <c r="G311" t="s">
        <v>27</v>
      </c>
      <c r="H311" t="s">
        <v>82</v>
      </c>
      <c r="I311" t="s">
        <v>1060</v>
      </c>
      <c r="J311" t="str">
        <f>IF(ISNUMBER(SEARCH("India",Table2[[#This Row],[Emp_Name]])),"INR",
IF(ISNUMBER(SEARCH("Foreign",Table2[[#This Row],[Emp_Name]])),Table2[[#This Row],[Currency]],Table2[[#This Row],[Currency]]))</f>
        <v>INR</v>
      </c>
      <c r="K311">
        <v>89000</v>
      </c>
      <c r="L311">
        <v>12</v>
      </c>
      <c r="M311">
        <f>IF(Table2[[#This Row],[Num_Month]]&lt;&gt;12,12,Table2[[#This Row],[Num_Month]])</f>
        <v>12</v>
      </c>
      <c r="N311">
        <f>IF(Table2[[#This Row],[Monthly_Salary]]="","",Table2[[#This Row],[Monthly_Salary]]*Table2[[#This Row],[Num_Month_Final]])</f>
        <v>1068000</v>
      </c>
      <c r="O311">
        <v>8</v>
      </c>
      <c r="P311">
        <f>IF(Table2[[#This Row],[Exp_Years]]&lt;0,ABS(Table2[[#This Row],[Exp_Years]]),Table2[[#This Row],[Exp_Years]])</f>
        <v>8</v>
      </c>
      <c r="Q311">
        <v>1</v>
      </c>
      <c r="S311" t="str">
        <f>IF(Table2[[#This Row],[Performance_Rating]]&gt;=3,Table2[[#This Row],[Monthly_Salary]]*0.3,"")</f>
        <v/>
      </c>
      <c r="T311">
        <v>88</v>
      </c>
      <c r="U311">
        <v>5</v>
      </c>
      <c r="V311">
        <v>11</v>
      </c>
      <c r="X311" t="s">
        <v>38</v>
      </c>
      <c r="Y311" t="str">
        <f>IF(Table2[[#This Row],[Work_Mode]]&lt;&gt;"",Table2[[#This Row],[Work_Mode]],
IF(ISNUMBER(SEARCH("India",Table2[[#This Row],[Emp_Name]])),"Office",
IF(ISNUMBER(SEARCH("Foreign",Table2[[#This Row],[Emp_Name]])),"Remote","")))</f>
        <v>Hybrid</v>
      </c>
      <c r="Z311">
        <v>5</v>
      </c>
      <c r="AA31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1750</v>
      </c>
      <c r="AB311" t="s">
        <v>39</v>
      </c>
      <c r="AC311" t="str">
        <f>IF(COUNTIF(Table2[Emp_ID],Table2[[#This Row],[Emp_ID]])&gt;1,"Duplicate","Unique")</f>
        <v>Unique</v>
      </c>
      <c r="AE311" s="2"/>
      <c r="AG311" t="str">
        <f>IF(Table2[[#This Row],[Monthly_Salary]]="","Exclude",
IF(Table2[[#This Row],[Row_Status]]="Mismatch","Exclude",
IF(AND(Table2[[#This Row],[Row_Status]]="Exact Duplicate",
COUNTIFS(Table2[Emp_ID],Table2[[#This Row],[Emp_ID]],Table2[Row_Concat],Table2[[#This Row],[Row_Concat]],
Table2[Row_Number],"&lt;"&amp;Table2[[#This Row],[Row_Number]])&gt;=1),"Delete","")))</f>
        <v/>
      </c>
      <c r="AH311" t="str">
        <f>VLOOKUP(Table2[[#This Row],[Department]],Raw_2!A:B,2,0)</f>
        <v>Day</v>
      </c>
      <c r="AI311">
        <f>VLOOKUP(Table2[[#This Row],[Department]],Raw_2!A:C,3,0)</f>
        <v>12</v>
      </c>
    </row>
    <row r="312" spans="1:35">
      <c r="A312" t="s">
        <v>665</v>
      </c>
      <c r="B312" t="s">
        <v>666</v>
      </c>
      <c r="C312">
        <v>23</v>
      </c>
      <c r="D312" t="s">
        <v>16</v>
      </c>
      <c r="E312" t="str">
        <f>IF(OR(Table2[[#This Row],[Gender]]="Male",Table2[[#This Row],[Gender]]="M"),"M",
IF(OR(Table2[[#This Row],[Gender]]="Female",Table2[[#This Row],[Gender]]="F"),"F",""))</f>
        <v>M</v>
      </c>
      <c r="F312" t="s">
        <v>64</v>
      </c>
      <c r="G312" t="s">
        <v>31</v>
      </c>
      <c r="H312" t="s">
        <v>43</v>
      </c>
      <c r="I312" t="s">
        <v>1060</v>
      </c>
      <c r="J312" t="str">
        <f>IF(ISNUMBER(SEARCH("India",Table2[[#This Row],[Emp_Name]])),"INR",
IF(ISNUMBER(SEARCH("Foreign",Table2[[#This Row],[Emp_Name]])),Table2[[#This Row],[Currency]],Table2[[#This Row],[Currency]]))</f>
        <v>INR</v>
      </c>
      <c r="K312">
        <v>24000</v>
      </c>
      <c r="L312">
        <v>12</v>
      </c>
      <c r="M312">
        <f>IF(Table2[[#This Row],[Num_Month]]&lt;&gt;12,12,Table2[[#This Row],[Num_Month]])</f>
        <v>12</v>
      </c>
      <c r="N312">
        <f>IF(Table2[[#This Row],[Monthly_Salary]]="","",Table2[[#This Row],[Monthly_Salary]]*Table2[[#This Row],[Num_Month_Final]])</f>
        <v>288000</v>
      </c>
      <c r="O312">
        <v>1</v>
      </c>
      <c r="P312">
        <f>IF(Table2[[#This Row],[Exp_Years]]&lt;0,ABS(Table2[[#This Row],[Exp_Years]]),Table2[[#This Row],[Exp_Years]])</f>
        <v>1</v>
      </c>
      <c r="Q312">
        <v>3</v>
      </c>
      <c r="R312">
        <v>13400</v>
      </c>
      <c r="S312">
        <f>IF(Table2[[#This Row],[Performance_Rating]]&gt;=3,Table2[[#This Row],[Monthly_Salary]]*0.3,"")</f>
        <v>7200</v>
      </c>
      <c r="T312">
        <v>88</v>
      </c>
      <c r="U312">
        <v>5</v>
      </c>
      <c r="V312">
        <v>9</v>
      </c>
      <c r="X312" t="s">
        <v>38</v>
      </c>
      <c r="Y312" t="str">
        <f>IF(Table2[[#This Row],[Work_Mode]]&lt;&gt;"",Table2[[#This Row],[Work_Mode]],
IF(ISNUMBER(SEARCH("India",Table2[[#This Row],[Emp_Name]])),"Office",
IF(ISNUMBER(SEARCH("Foreign",Table2[[#This Row],[Emp_Name]])),"Remote","")))</f>
        <v>Hybrid</v>
      </c>
      <c r="Z312">
        <v>10</v>
      </c>
      <c r="AA31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312" t="s">
        <v>22</v>
      </c>
      <c r="AC312" t="str">
        <f>IF(COUNTIF(Table2[Emp_ID],Table2[[#This Row],[Emp_ID]])&gt;1,"Duplicate","Unique")</f>
        <v>Unique</v>
      </c>
      <c r="AE312" s="2"/>
      <c r="AG312" t="str">
        <f>IF(Table2[[#This Row],[Monthly_Salary]]="","Exclude",
IF(Table2[[#This Row],[Row_Status]]="Mismatch","Exclude",
IF(AND(Table2[[#This Row],[Row_Status]]="Exact Duplicate",
COUNTIFS(Table2[Emp_ID],Table2[[#This Row],[Emp_ID]],Table2[Row_Concat],Table2[[#This Row],[Row_Concat]],
Table2[Row_Number],"&lt;"&amp;Table2[[#This Row],[Row_Number]])&gt;=1),"Delete","")))</f>
        <v/>
      </c>
      <c r="AH312" t="str">
        <f>VLOOKUP(Table2[[#This Row],[Department]],Raw_2!A:B,2,0)</f>
        <v>Night</v>
      </c>
      <c r="AI312">
        <f>VLOOKUP(Table2[[#This Row],[Department]],Raw_2!A:C,3,0)</f>
        <v>13</v>
      </c>
    </row>
    <row r="313" spans="1:35">
      <c r="A313" t="s">
        <v>667</v>
      </c>
      <c r="B313" t="s">
        <v>668</v>
      </c>
      <c r="C313">
        <v>24</v>
      </c>
      <c r="D313" t="s">
        <v>34</v>
      </c>
      <c r="E313" t="str">
        <f>IF(OR(Table2[[#This Row],[Gender]]="Male",Table2[[#This Row],[Gender]]="M"),"M",
IF(OR(Table2[[#This Row],[Gender]]="Female",Table2[[#This Row],[Gender]]="F"),"F",""))</f>
        <v>F</v>
      </c>
      <c r="F313" t="s">
        <v>73</v>
      </c>
      <c r="G313" t="s">
        <v>31</v>
      </c>
      <c r="H313" t="s">
        <v>43</v>
      </c>
      <c r="I313" t="s">
        <v>1060</v>
      </c>
      <c r="J313" t="str">
        <f>IF(ISNUMBER(SEARCH("India",Table2[[#This Row],[Emp_Name]])),"INR",
IF(ISNUMBER(SEARCH("Foreign",Table2[[#This Row],[Emp_Name]])),Table2[[#This Row],[Currency]],Table2[[#This Row],[Currency]]))</f>
        <v>INR</v>
      </c>
      <c r="K313">
        <v>24000</v>
      </c>
      <c r="L313">
        <v>12</v>
      </c>
      <c r="M313">
        <f>IF(Table2[[#This Row],[Num_Month]]&lt;&gt;12,12,Table2[[#This Row],[Num_Month]])</f>
        <v>12</v>
      </c>
      <c r="N313">
        <f>IF(Table2[[#This Row],[Monthly_Salary]]="","",Table2[[#This Row],[Monthly_Salary]]*Table2[[#This Row],[Num_Month_Final]])</f>
        <v>288000</v>
      </c>
      <c r="O313">
        <v>1</v>
      </c>
      <c r="P313">
        <f>IF(Table2[[#This Row],[Exp_Years]]&lt;0,ABS(Table2[[#This Row],[Exp_Years]]),Table2[[#This Row],[Exp_Years]])</f>
        <v>1</v>
      </c>
      <c r="Q313">
        <v>5</v>
      </c>
      <c r="R313">
        <v>20000</v>
      </c>
      <c r="S313">
        <f>IF(Table2[[#This Row],[Performance_Rating]]&gt;=3,Table2[[#This Row],[Monthly_Salary]]*0.3,"")</f>
        <v>7200</v>
      </c>
      <c r="T313">
        <v>90</v>
      </c>
      <c r="U313">
        <v>15</v>
      </c>
      <c r="V313">
        <v>5</v>
      </c>
      <c r="X313" t="s">
        <v>38</v>
      </c>
      <c r="Y313" t="str">
        <f>IF(Table2[[#This Row],[Work_Mode]]&lt;&gt;"",Table2[[#This Row],[Work_Mode]],
IF(ISNUMBER(SEARCH("India",Table2[[#This Row],[Emp_Name]])),"Office",
IF(ISNUMBER(SEARCH("Foreign",Table2[[#This Row],[Emp_Name]])),"Remote","")))</f>
        <v>Hybrid</v>
      </c>
      <c r="Z313">
        <v>20</v>
      </c>
      <c r="AA31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313" t="s">
        <v>58</v>
      </c>
      <c r="AC313" t="str">
        <f>IF(COUNTIF(Table2[Emp_ID],Table2[[#This Row],[Emp_ID]])&gt;1,"Duplicate","Unique")</f>
        <v>Unique</v>
      </c>
      <c r="AE313" s="2"/>
      <c r="AG313" t="str">
        <f>IF(Table2[[#This Row],[Monthly_Salary]]="","Exclude",
IF(Table2[[#This Row],[Row_Status]]="Mismatch","Exclude",
IF(AND(Table2[[#This Row],[Row_Status]]="Exact Duplicate",
COUNTIFS(Table2[Emp_ID],Table2[[#This Row],[Emp_ID]],Table2[Row_Concat],Table2[[#This Row],[Row_Concat]],
Table2[Row_Number],"&lt;"&amp;Table2[[#This Row],[Row_Number]])&gt;=1),"Delete","")))</f>
        <v/>
      </c>
      <c r="AH313" t="str">
        <f>VLOOKUP(Table2[[#This Row],[Department]],Raw_2!A:B,2,0)</f>
        <v>Night</v>
      </c>
      <c r="AI313">
        <f>VLOOKUP(Table2[[#This Row],[Department]],Raw_2!A:C,3,0)</f>
        <v>13</v>
      </c>
    </row>
    <row r="314" spans="1:35">
      <c r="A314" t="s">
        <v>669</v>
      </c>
      <c r="B314" t="s">
        <v>670</v>
      </c>
      <c r="C314">
        <v>23</v>
      </c>
      <c r="D314" t="s">
        <v>46</v>
      </c>
      <c r="E314" t="str">
        <f>IF(OR(Table2[[#This Row],[Gender]]="Male",Table2[[#This Row],[Gender]]="M"),"M",
IF(OR(Table2[[#This Row],[Gender]]="Female",Table2[[#This Row],[Gender]]="F"),"F",""))</f>
        <v>M</v>
      </c>
      <c r="F314" t="s">
        <v>61</v>
      </c>
      <c r="G314" t="s">
        <v>36</v>
      </c>
      <c r="H314" t="s">
        <v>43</v>
      </c>
      <c r="I314" t="s">
        <v>1059</v>
      </c>
      <c r="J314" t="str">
        <f>IF(ISNUMBER(SEARCH("India",Table2[[#This Row],[Emp_Name]])),"INR",
IF(ISNUMBER(SEARCH("Foreign",Table2[[#This Row],[Emp_Name]])),Table2[[#This Row],[Currency]],Table2[[#This Row],[Currency]]))</f>
        <v>USD</v>
      </c>
      <c r="K314">
        <v>24000</v>
      </c>
      <c r="L314">
        <v>12</v>
      </c>
      <c r="M314">
        <f>IF(Table2[[#This Row],[Num_Month]]&lt;&gt;12,12,Table2[[#This Row],[Num_Month]])</f>
        <v>12</v>
      </c>
      <c r="N314">
        <f>IF(Table2[[#This Row],[Monthly_Salary]]="","",Table2[[#This Row],[Monthly_Salary]]*Table2[[#This Row],[Num_Month_Final]])</f>
        <v>288000</v>
      </c>
      <c r="O314">
        <v>1</v>
      </c>
      <c r="P314">
        <f>IF(Table2[[#This Row],[Exp_Years]]&lt;0,ABS(Table2[[#This Row],[Exp_Years]]),Table2[[#This Row],[Exp_Years]])</f>
        <v>1</v>
      </c>
      <c r="Q314">
        <v>1</v>
      </c>
      <c r="S314" t="str">
        <f>IF(Table2[[#This Row],[Performance_Rating]]&gt;=3,Table2[[#This Row],[Monthly_Salary]]*0.3,"")</f>
        <v/>
      </c>
      <c r="T314">
        <v>95</v>
      </c>
      <c r="U314">
        <v>10</v>
      </c>
      <c r="V314">
        <v>8</v>
      </c>
      <c r="X314" t="s">
        <v>28</v>
      </c>
      <c r="Y314" t="str">
        <f>IF(Table2[[#This Row],[Work_Mode]]&lt;&gt;"",Table2[[#This Row],[Work_Mode]],
IF(ISNUMBER(SEARCH("India",Table2[[#This Row],[Emp_Name]])),"Office",
IF(ISNUMBER(SEARCH("Foreign",Table2[[#This Row],[Emp_Name]])),"Remote","")))</f>
        <v>Remote</v>
      </c>
      <c r="Z314">
        <v>10</v>
      </c>
      <c r="AA31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314" t="s">
        <v>39</v>
      </c>
      <c r="AC314" t="str">
        <f>IF(COUNTIF(Table2[Emp_ID],Table2[[#This Row],[Emp_ID]])&gt;1,"Duplicate","Unique")</f>
        <v>Unique</v>
      </c>
      <c r="AE314" s="2"/>
      <c r="AG314" t="str">
        <f>IF(Table2[[#This Row],[Monthly_Salary]]="","Exclude",
IF(Table2[[#This Row],[Row_Status]]="Mismatch","Exclude",
IF(AND(Table2[[#This Row],[Row_Status]]="Exact Duplicate",
COUNTIFS(Table2[Emp_ID],Table2[[#This Row],[Emp_ID]],Table2[Row_Concat],Table2[[#This Row],[Row_Concat]],
Table2[Row_Number],"&lt;"&amp;Table2[[#This Row],[Row_Number]])&gt;=1),"Delete","")))</f>
        <v/>
      </c>
      <c r="AH314" t="str">
        <f>VLOOKUP(Table2[[#This Row],[Department]],Raw_2!A:B,2,0)</f>
        <v>Day</v>
      </c>
      <c r="AI314">
        <f>VLOOKUP(Table2[[#This Row],[Department]],Raw_2!A:C,3,0)</f>
        <v>25</v>
      </c>
    </row>
    <row r="315" spans="1:35">
      <c r="A315" t="s">
        <v>671</v>
      </c>
      <c r="B315" t="s">
        <v>672</v>
      </c>
      <c r="C315">
        <v>25</v>
      </c>
      <c r="D315" t="s">
        <v>25</v>
      </c>
      <c r="E315" t="str">
        <f>IF(OR(Table2[[#This Row],[Gender]]="Male",Table2[[#This Row],[Gender]]="M"),"M",
IF(OR(Table2[[#This Row],[Gender]]="Female",Table2[[#This Row],[Gender]]="F"),"F",""))</f>
        <v>F</v>
      </c>
      <c r="F315" t="s">
        <v>65</v>
      </c>
      <c r="G315" t="s">
        <v>31</v>
      </c>
      <c r="H315" t="s">
        <v>43</v>
      </c>
      <c r="I315" t="s">
        <v>1060</v>
      </c>
      <c r="J315" t="str">
        <f>IF(ISNUMBER(SEARCH("India",Table2[[#This Row],[Emp_Name]])),"INR",
IF(ISNUMBER(SEARCH("Foreign",Table2[[#This Row],[Emp_Name]])),Table2[[#This Row],[Currency]],Table2[[#This Row],[Currency]]))</f>
        <v>INR</v>
      </c>
      <c r="K315">
        <v>28000</v>
      </c>
      <c r="L315">
        <v>12</v>
      </c>
      <c r="M315">
        <f>IF(Table2[[#This Row],[Num_Month]]&lt;&gt;12,12,Table2[[#This Row],[Num_Month]])</f>
        <v>12</v>
      </c>
      <c r="N315">
        <f>IF(Table2[[#This Row],[Monthly_Salary]]="","",Table2[[#This Row],[Monthly_Salary]]*Table2[[#This Row],[Num_Month_Final]])</f>
        <v>336000</v>
      </c>
      <c r="O315">
        <v>2</v>
      </c>
      <c r="P315">
        <f>IF(Table2[[#This Row],[Exp_Years]]&lt;0,ABS(Table2[[#This Row],[Exp_Years]]),Table2[[#This Row],[Exp_Years]])</f>
        <v>2</v>
      </c>
      <c r="Q315">
        <v>1</v>
      </c>
      <c r="S315" t="str">
        <f>IF(Table2[[#This Row],[Performance_Rating]]&gt;=3,Table2[[#This Row],[Monthly_Salary]]*0.3,"")</f>
        <v/>
      </c>
      <c r="T315">
        <v>90</v>
      </c>
      <c r="U315">
        <v>12</v>
      </c>
      <c r="V315">
        <v>3</v>
      </c>
      <c r="W315" t="s">
        <v>37</v>
      </c>
      <c r="X315" t="s">
        <v>38</v>
      </c>
      <c r="Y315" t="str">
        <f>IF(Table2[[#This Row],[Work_Mode]]&lt;&gt;"",Table2[[#This Row],[Work_Mode]],
IF(ISNUMBER(SEARCH("India",Table2[[#This Row],[Emp_Name]])),"Office",
IF(ISNUMBER(SEARCH("Foreign",Table2[[#This Row],[Emp_Name]])),"Remote","")))</f>
        <v>Hybrid</v>
      </c>
      <c r="Z315">
        <v>5</v>
      </c>
      <c r="AA31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15" t="s">
        <v>39</v>
      </c>
      <c r="AC315" t="str">
        <f>IF(COUNTIF(Table2[Emp_ID],Table2[[#This Row],[Emp_ID]])&gt;1,"Duplicate","Unique")</f>
        <v>Unique</v>
      </c>
      <c r="AE315" s="2"/>
      <c r="AG315" t="str">
        <f>IF(Table2[[#This Row],[Monthly_Salary]]="","Exclude",
IF(Table2[[#This Row],[Row_Status]]="Mismatch","Exclude",
IF(AND(Table2[[#This Row],[Row_Status]]="Exact Duplicate",
COUNTIFS(Table2[Emp_ID],Table2[[#This Row],[Emp_ID]],Table2[Row_Concat],Table2[[#This Row],[Row_Concat]],
Table2[Row_Number],"&lt;"&amp;Table2[[#This Row],[Row_Number]])&gt;=1),"Delete","")))</f>
        <v/>
      </c>
      <c r="AH315" t="str">
        <f>VLOOKUP(Table2[[#This Row],[Department]],Raw_2!A:B,2,0)</f>
        <v>Night</v>
      </c>
      <c r="AI315">
        <f>VLOOKUP(Table2[[#This Row],[Department]],Raw_2!A:C,3,0)</f>
        <v>13</v>
      </c>
    </row>
    <row r="316" spans="1:35">
      <c r="A316" t="s">
        <v>673</v>
      </c>
      <c r="B316" t="s">
        <v>674</v>
      </c>
      <c r="C316">
        <v>23</v>
      </c>
      <c r="D316" t="s">
        <v>25</v>
      </c>
      <c r="E316" t="str">
        <f>IF(OR(Table2[[#This Row],[Gender]]="Male",Table2[[#This Row],[Gender]]="M"),"M",
IF(OR(Table2[[#This Row],[Gender]]="Female",Table2[[#This Row],[Gender]]="F"),"F",""))</f>
        <v>F</v>
      </c>
      <c r="F316" t="s">
        <v>50</v>
      </c>
      <c r="G316" t="s">
        <v>42</v>
      </c>
      <c r="H316" t="s">
        <v>43</v>
      </c>
      <c r="I316" t="s">
        <v>1060</v>
      </c>
      <c r="J316" t="str">
        <f>IF(ISNUMBER(SEARCH("India",Table2[[#This Row],[Emp_Name]])),"INR",
IF(ISNUMBER(SEARCH("Foreign",Table2[[#This Row],[Emp_Name]])),Table2[[#This Row],[Currency]],Table2[[#This Row],[Currency]]))</f>
        <v>INR</v>
      </c>
      <c r="K316">
        <v>24000</v>
      </c>
      <c r="L316">
        <v>12</v>
      </c>
      <c r="M316">
        <f>IF(Table2[[#This Row],[Num_Month]]&lt;&gt;12,12,Table2[[#This Row],[Num_Month]])</f>
        <v>12</v>
      </c>
      <c r="N316">
        <f>IF(Table2[[#This Row],[Monthly_Salary]]="","",Table2[[#This Row],[Monthly_Salary]]*Table2[[#This Row],[Num_Month_Final]])</f>
        <v>288000</v>
      </c>
      <c r="O316">
        <v>1</v>
      </c>
      <c r="P316">
        <f>IF(Table2[[#This Row],[Exp_Years]]&lt;0,ABS(Table2[[#This Row],[Exp_Years]]),Table2[[#This Row],[Exp_Years]])</f>
        <v>1</v>
      </c>
      <c r="Q316">
        <v>2</v>
      </c>
      <c r="S316" t="str">
        <f>IF(Table2[[#This Row],[Performance_Rating]]&gt;=3,Table2[[#This Row],[Monthly_Salary]]*0.3,"")</f>
        <v/>
      </c>
      <c r="T316">
        <v>90</v>
      </c>
      <c r="U316">
        <v>5</v>
      </c>
      <c r="V316">
        <v>1</v>
      </c>
      <c r="W316" t="s">
        <v>37</v>
      </c>
      <c r="X316" t="s">
        <v>19</v>
      </c>
      <c r="Y316" t="str">
        <f>IF(Table2[[#This Row],[Work_Mode]]&lt;&gt;"",Table2[[#This Row],[Work_Mode]],
IF(ISNUMBER(SEARCH("India",Table2[[#This Row],[Emp_Name]])),"Office",
IF(ISNUMBER(SEARCH("Foreign",Table2[[#This Row],[Emp_Name]])),"Remote","")))</f>
        <v>Office</v>
      </c>
      <c r="Z316">
        <v>20</v>
      </c>
      <c r="AA31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316" t="s">
        <v>39</v>
      </c>
      <c r="AC316" t="str">
        <f>IF(COUNTIF(Table2[Emp_ID],Table2[[#This Row],[Emp_ID]])&gt;1,"Duplicate","Unique")</f>
        <v>Unique</v>
      </c>
      <c r="AE316" s="2"/>
      <c r="AG316" t="str">
        <f>IF(Table2[[#This Row],[Monthly_Salary]]="","Exclude",
IF(Table2[[#This Row],[Row_Status]]="Mismatch","Exclude",
IF(AND(Table2[[#This Row],[Row_Status]]="Exact Duplicate",
COUNTIFS(Table2[Emp_ID],Table2[[#This Row],[Emp_ID]],Table2[Row_Concat],Table2[[#This Row],[Row_Concat]],
Table2[Row_Number],"&lt;"&amp;Table2[[#This Row],[Row_Number]])&gt;=1),"Delete","")))</f>
        <v/>
      </c>
      <c r="AH316" t="str">
        <f>VLOOKUP(Table2[[#This Row],[Department]],Raw_2!A:B,2,0)</f>
        <v>Day</v>
      </c>
      <c r="AI316">
        <f>VLOOKUP(Table2[[#This Row],[Department]],Raw_2!A:C,3,0)</f>
        <v>14</v>
      </c>
    </row>
    <row r="317" spans="1:35">
      <c r="A317" t="s">
        <v>675</v>
      </c>
      <c r="B317" t="s">
        <v>676</v>
      </c>
      <c r="C317">
        <v>25</v>
      </c>
      <c r="D317" t="s">
        <v>16</v>
      </c>
      <c r="E317" t="str">
        <f>IF(OR(Table2[[#This Row],[Gender]]="Male",Table2[[#This Row],[Gender]]="M"),"M",
IF(OR(Table2[[#This Row],[Gender]]="Female",Table2[[#This Row],[Gender]]="F"),"F",""))</f>
        <v>M</v>
      </c>
      <c r="F317" t="s">
        <v>64</v>
      </c>
      <c r="G317" t="s">
        <v>31</v>
      </c>
      <c r="H317" t="s">
        <v>43</v>
      </c>
      <c r="I317" t="s">
        <v>1060</v>
      </c>
      <c r="J317" t="str">
        <f>IF(ISNUMBER(SEARCH("India",Table2[[#This Row],[Emp_Name]])),"INR",
IF(ISNUMBER(SEARCH("Foreign",Table2[[#This Row],[Emp_Name]])),Table2[[#This Row],[Currency]],Table2[[#This Row],[Currency]]))</f>
        <v>INR</v>
      </c>
      <c r="K317">
        <v>24000</v>
      </c>
      <c r="L317">
        <v>12</v>
      </c>
      <c r="M317">
        <f>IF(Table2[[#This Row],[Num_Month]]&lt;&gt;12,12,Table2[[#This Row],[Num_Month]])</f>
        <v>12</v>
      </c>
      <c r="N317">
        <f>IF(Table2[[#This Row],[Monthly_Salary]]="","",Table2[[#This Row],[Monthly_Salary]]*Table2[[#This Row],[Num_Month_Final]])</f>
        <v>288000</v>
      </c>
      <c r="O317">
        <v>1</v>
      </c>
      <c r="P317">
        <f>IF(Table2[[#This Row],[Exp_Years]]&lt;0,ABS(Table2[[#This Row],[Exp_Years]]),Table2[[#This Row],[Exp_Years]])</f>
        <v>1</v>
      </c>
      <c r="Q317">
        <v>4</v>
      </c>
      <c r="S317">
        <f>IF(Table2[[#This Row],[Performance_Rating]]&gt;=3,Table2[[#This Row],[Monthly_Salary]]*0.3,"")</f>
        <v>7200</v>
      </c>
      <c r="T317">
        <v>80</v>
      </c>
      <c r="U317">
        <v>15</v>
      </c>
      <c r="V317">
        <v>3</v>
      </c>
      <c r="X317" t="s">
        <v>19</v>
      </c>
      <c r="Y317" t="str">
        <f>IF(Table2[[#This Row],[Work_Mode]]&lt;&gt;"",Table2[[#This Row],[Work_Mode]],
IF(ISNUMBER(SEARCH("India",Table2[[#This Row],[Emp_Name]])),"Office",
IF(ISNUMBER(SEARCH("Foreign",Table2[[#This Row],[Emp_Name]])),"Remote","")))</f>
        <v>Office</v>
      </c>
      <c r="Z317">
        <v>5</v>
      </c>
      <c r="AA31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17" t="s">
        <v>22</v>
      </c>
      <c r="AC317" t="str">
        <f>IF(COUNTIF(Table2[Emp_ID],Table2[[#This Row],[Emp_ID]])&gt;1,"Duplicate","Unique")</f>
        <v>Unique</v>
      </c>
      <c r="AE317" s="2"/>
      <c r="AG317" t="str">
        <f>IF(Table2[[#This Row],[Monthly_Salary]]="","Exclude",
IF(Table2[[#This Row],[Row_Status]]="Mismatch","Exclude",
IF(AND(Table2[[#This Row],[Row_Status]]="Exact Duplicate",
COUNTIFS(Table2[Emp_ID],Table2[[#This Row],[Emp_ID]],Table2[Row_Concat],Table2[[#This Row],[Row_Concat]],
Table2[Row_Number],"&lt;"&amp;Table2[[#This Row],[Row_Number]])&gt;=1),"Delete","")))</f>
        <v/>
      </c>
      <c r="AH317" t="str">
        <f>VLOOKUP(Table2[[#This Row],[Department]],Raw_2!A:B,2,0)</f>
        <v>Night</v>
      </c>
      <c r="AI317">
        <f>VLOOKUP(Table2[[#This Row],[Department]],Raw_2!A:C,3,0)</f>
        <v>13</v>
      </c>
    </row>
    <row r="318" spans="1:35">
      <c r="A318" t="s">
        <v>677</v>
      </c>
      <c r="B318" t="s">
        <v>678</v>
      </c>
      <c r="C318">
        <v>25</v>
      </c>
      <c r="D318" t="s">
        <v>46</v>
      </c>
      <c r="E318" t="str">
        <f>IF(OR(Table2[[#This Row],[Gender]]="Male",Table2[[#This Row],[Gender]]="M"),"M",
IF(OR(Table2[[#This Row],[Gender]]="Female",Table2[[#This Row],[Gender]]="F"),"F",""))</f>
        <v>M</v>
      </c>
      <c r="F318" t="s">
        <v>47</v>
      </c>
      <c r="G318" t="s">
        <v>31</v>
      </c>
      <c r="H318" t="s">
        <v>43</v>
      </c>
      <c r="I318" t="s">
        <v>1060</v>
      </c>
      <c r="J318" t="str">
        <f>IF(ISNUMBER(SEARCH("India",Table2[[#This Row],[Emp_Name]])),"INR",
IF(ISNUMBER(SEARCH("Foreign",Table2[[#This Row],[Emp_Name]])),Table2[[#This Row],[Currency]],Table2[[#This Row],[Currency]]))</f>
        <v>INR</v>
      </c>
      <c r="K318">
        <v>24000</v>
      </c>
      <c r="L318">
        <v>12</v>
      </c>
      <c r="M318">
        <f>IF(Table2[[#This Row],[Num_Month]]&lt;&gt;12,12,Table2[[#This Row],[Num_Month]])</f>
        <v>12</v>
      </c>
      <c r="N318">
        <f>IF(Table2[[#This Row],[Monthly_Salary]]="","",Table2[[#This Row],[Monthly_Salary]]*Table2[[#This Row],[Num_Month_Final]])</f>
        <v>288000</v>
      </c>
      <c r="O318">
        <v>1</v>
      </c>
      <c r="P318">
        <f>IF(Table2[[#This Row],[Exp_Years]]&lt;0,ABS(Table2[[#This Row],[Exp_Years]]),Table2[[#This Row],[Exp_Years]])</f>
        <v>1</v>
      </c>
      <c r="Q318">
        <v>2</v>
      </c>
      <c r="S318" t="str">
        <f>IF(Table2[[#This Row],[Performance_Rating]]&gt;=3,Table2[[#This Row],[Monthly_Salary]]*0.3,"")</f>
        <v/>
      </c>
      <c r="T318">
        <v>88</v>
      </c>
      <c r="U318">
        <v>15</v>
      </c>
      <c r="V318">
        <v>3</v>
      </c>
      <c r="X318" t="s">
        <v>38</v>
      </c>
      <c r="Y318" t="str">
        <f>IF(Table2[[#This Row],[Work_Mode]]&lt;&gt;"",Table2[[#This Row],[Work_Mode]],
IF(ISNUMBER(SEARCH("India",Table2[[#This Row],[Emp_Name]])),"Office",
IF(ISNUMBER(SEARCH("Foreign",Table2[[#This Row],[Emp_Name]])),"Remote","")))</f>
        <v>Hybrid</v>
      </c>
      <c r="Z318">
        <v>5</v>
      </c>
      <c r="AA31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18" t="s">
        <v>39</v>
      </c>
      <c r="AC318" t="str">
        <f>IF(COUNTIF(Table2[Emp_ID],Table2[[#This Row],[Emp_ID]])&gt;1,"Duplicate","Unique")</f>
        <v>Unique</v>
      </c>
      <c r="AE318" s="2"/>
      <c r="AG318" t="str">
        <f>IF(Table2[[#This Row],[Monthly_Salary]]="","Exclude",
IF(Table2[[#This Row],[Row_Status]]="Mismatch","Exclude",
IF(AND(Table2[[#This Row],[Row_Status]]="Exact Duplicate",
COUNTIFS(Table2[Emp_ID],Table2[[#This Row],[Emp_ID]],Table2[Row_Concat],Table2[[#This Row],[Row_Concat]],
Table2[Row_Number],"&lt;"&amp;Table2[[#This Row],[Row_Number]])&gt;=1),"Delete","")))</f>
        <v/>
      </c>
      <c r="AH318" t="str">
        <f>VLOOKUP(Table2[[#This Row],[Department]],Raw_2!A:B,2,0)</f>
        <v>Night</v>
      </c>
      <c r="AI318">
        <f>VLOOKUP(Table2[[#This Row],[Department]],Raw_2!A:C,3,0)</f>
        <v>13</v>
      </c>
    </row>
    <row r="319" spans="1:35">
      <c r="A319" t="s">
        <v>679</v>
      </c>
      <c r="B319" t="s">
        <v>680</v>
      </c>
      <c r="C319">
        <v>25</v>
      </c>
      <c r="E319" t="str">
        <f>IF(OR(Table2[[#This Row],[Gender]]="Male",Table2[[#This Row],[Gender]]="M"),"M",
IF(OR(Table2[[#This Row],[Gender]]="Female",Table2[[#This Row],[Gender]]="F"),"F",""))</f>
        <v/>
      </c>
      <c r="F319" t="s">
        <v>64</v>
      </c>
      <c r="G319" t="s">
        <v>18</v>
      </c>
      <c r="H319" t="s">
        <v>43</v>
      </c>
      <c r="I319" t="s">
        <v>1060</v>
      </c>
      <c r="J319" t="str">
        <f>IF(ISNUMBER(SEARCH("India",Table2[[#This Row],[Emp_Name]])),"INR",
IF(ISNUMBER(SEARCH("Foreign",Table2[[#This Row],[Emp_Name]])),Table2[[#This Row],[Currency]],Table2[[#This Row],[Currency]]))</f>
        <v>INR</v>
      </c>
      <c r="K319">
        <v>28000</v>
      </c>
      <c r="L319">
        <v>12</v>
      </c>
      <c r="M319">
        <f>IF(Table2[[#This Row],[Num_Month]]&lt;&gt;12,12,Table2[[#This Row],[Num_Month]])</f>
        <v>12</v>
      </c>
      <c r="N319">
        <f>IF(Table2[[#This Row],[Monthly_Salary]]="","",Table2[[#This Row],[Monthly_Salary]]*Table2[[#This Row],[Num_Month_Final]])</f>
        <v>336000</v>
      </c>
      <c r="O319">
        <v>2</v>
      </c>
      <c r="P319">
        <f>IF(Table2[[#This Row],[Exp_Years]]&lt;0,ABS(Table2[[#This Row],[Exp_Years]]),Table2[[#This Row],[Exp_Years]])</f>
        <v>2</v>
      </c>
      <c r="Q319">
        <v>5</v>
      </c>
      <c r="R319">
        <v>20000</v>
      </c>
      <c r="S319">
        <f>IF(Table2[[#This Row],[Performance_Rating]]&gt;=3,Table2[[#This Row],[Monthly_Salary]]*0.3,"")</f>
        <v>8400</v>
      </c>
      <c r="T319">
        <v>90</v>
      </c>
      <c r="U319">
        <v>10</v>
      </c>
      <c r="V319">
        <v>5</v>
      </c>
      <c r="X319" t="s">
        <v>38</v>
      </c>
      <c r="Y319" t="str">
        <f>IF(Table2[[#This Row],[Work_Mode]]&lt;&gt;"",Table2[[#This Row],[Work_Mode]],
IF(ISNUMBER(SEARCH("India",Table2[[#This Row],[Emp_Name]])),"Office",
IF(ISNUMBER(SEARCH("Foreign",Table2[[#This Row],[Emp_Name]])),"Remote","")))</f>
        <v>Hybrid</v>
      </c>
      <c r="Z319">
        <v>10</v>
      </c>
      <c r="AA31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319" t="s">
        <v>58</v>
      </c>
      <c r="AC319" t="str">
        <f>IF(COUNTIF(Table2[Emp_ID],Table2[[#This Row],[Emp_ID]])&gt;1,"Duplicate","Unique")</f>
        <v>Unique</v>
      </c>
      <c r="AE319" s="2"/>
      <c r="AG319" t="str">
        <f>IF(Table2[[#This Row],[Monthly_Salary]]="","Exclude",
IF(Table2[[#This Row],[Row_Status]]="Mismatch","Exclude",
IF(AND(Table2[[#This Row],[Row_Status]]="Exact Duplicate",
COUNTIFS(Table2[Emp_ID],Table2[[#This Row],[Emp_ID]],Table2[Row_Concat],Table2[[#This Row],[Row_Concat]],
Table2[Row_Number],"&lt;"&amp;Table2[[#This Row],[Row_Number]])&gt;=1),"Delete","")))</f>
        <v/>
      </c>
      <c r="AH319" t="str">
        <f>VLOOKUP(Table2[[#This Row],[Department]],Raw_2!A:B,2,0)</f>
        <v>Day</v>
      </c>
      <c r="AI319">
        <f>VLOOKUP(Table2[[#This Row],[Department]],Raw_2!A:C,3,0)</f>
        <v>10</v>
      </c>
    </row>
    <row r="320" spans="1:35">
      <c r="A320" t="s">
        <v>681</v>
      </c>
      <c r="B320" t="s">
        <v>682</v>
      </c>
      <c r="C320">
        <v>29</v>
      </c>
      <c r="E320" t="str">
        <f>IF(OR(Table2[[#This Row],[Gender]]="Male",Table2[[#This Row],[Gender]]="M"),"M",
IF(OR(Table2[[#This Row],[Gender]]="Female",Table2[[#This Row],[Gender]]="F"),"F",""))</f>
        <v/>
      </c>
      <c r="F320" t="s">
        <v>35</v>
      </c>
      <c r="G320" t="s">
        <v>31</v>
      </c>
      <c r="H320" t="s">
        <v>1045</v>
      </c>
      <c r="I320" t="s">
        <v>1060</v>
      </c>
      <c r="J320" t="str">
        <f>IF(ISNUMBER(SEARCH("India",Table2[[#This Row],[Emp_Name]])),"INR",
IF(ISNUMBER(SEARCH("Foreign",Table2[[#This Row],[Emp_Name]])),Table2[[#This Row],[Currency]],Table2[[#This Row],[Currency]]))</f>
        <v>INR</v>
      </c>
      <c r="K320">
        <v>78000</v>
      </c>
      <c r="L320">
        <v>12</v>
      </c>
      <c r="M320">
        <f>IF(Table2[[#This Row],[Num_Month]]&lt;&gt;12,12,Table2[[#This Row],[Num_Month]])</f>
        <v>12</v>
      </c>
      <c r="N320">
        <f>IF(Table2[[#This Row],[Monthly_Salary]]="","",Table2[[#This Row],[Monthly_Salary]]*Table2[[#This Row],[Num_Month_Final]])</f>
        <v>936000</v>
      </c>
      <c r="O320">
        <v>7</v>
      </c>
      <c r="P320">
        <f>IF(Table2[[#This Row],[Exp_Years]]&lt;0,ABS(Table2[[#This Row],[Exp_Years]]),Table2[[#This Row],[Exp_Years]])</f>
        <v>7</v>
      </c>
      <c r="Q320">
        <v>3</v>
      </c>
      <c r="R320">
        <v>7000</v>
      </c>
      <c r="S320">
        <f>IF(Table2[[#This Row],[Performance_Rating]]&gt;=3,Table2[[#This Row],[Monthly_Salary]]*0.3,"")</f>
        <v>23400</v>
      </c>
      <c r="T320">
        <v>80</v>
      </c>
      <c r="U320">
        <v>12</v>
      </c>
      <c r="V320">
        <v>5</v>
      </c>
      <c r="W320" t="s">
        <v>21</v>
      </c>
      <c r="X320" t="s">
        <v>38</v>
      </c>
      <c r="Y320" t="str">
        <f>IF(Table2[[#This Row],[Work_Mode]]&lt;&gt;"",Table2[[#This Row],[Work_Mode]],
IF(ISNUMBER(SEARCH("India",Table2[[#This Row],[Emp_Name]])),"Office",
IF(ISNUMBER(SEARCH("Foreign",Table2[[#This Row],[Emp_Name]])),"Remote","")))</f>
        <v>Hybrid</v>
      </c>
      <c r="Z320">
        <v>20</v>
      </c>
      <c r="AA32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320" t="s">
        <v>22</v>
      </c>
      <c r="AC320" t="str">
        <f>IF(COUNTIF(Table2[Emp_ID],Table2[[#This Row],[Emp_ID]])&gt;1,"Duplicate","Unique")</f>
        <v>Unique</v>
      </c>
      <c r="AE320" s="2"/>
      <c r="AG320" t="str">
        <f>IF(Table2[[#This Row],[Monthly_Salary]]="","Exclude",
IF(Table2[[#This Row],[Row_Status]]="Mismatch","Exclude",
IF(AND(Table2[[#This Row],[Row_Status]]="Exact Duplicate",
COUNTIFS(Table2[Emp_ID],Table2[[#This Row],[Emp_ID]],Table2[Row_Concat],Table2[[#This Row],[Row_Concat]],
Table2[Row_Number],"&lt;"&amp;Table2[[#This Row],[Row_Number]])&gt;=1),"Delete","")))</f>
        <v/>
      </c>
      <c r="AH320" t="str">
        <f>VLOOKUP(Table2[[#This Row],[Department]],Raw_2!A:B,2,0)</f>
        <v>Night</v>
      </c>
      <c r="AI320">
        <f>VLOOKUP(Table2[[#This Row],[Department]],Raw_2!A:C,3,0)</f>
        <v>13</v>
      </c>
    </row>
    <row r="321" spans="1:35">
      <c r="A321" t="s">
        <v>683</v>
      </c>
      <c r="B321" t="s">
        <v>684</v>
      </c>
      <c r="C321">
        <v>25</v>
      </c>
      <c r="D321" t="s">
        <v>46</v>
      </c>
      <c r="E321" t="str">
        <f>IF(OR(Table2[[#This Row],[Gender]]="Male",Table2[[#This Row],[Gender]]="M"),"M",
IF(OR(Table2[[#This Row],[Gender]]="Female",Table2[[#This Row],[Gender]]="F"),"F",""))</f>
        <v>M</v>
      </c>
      <c r="F321" t="s">
        <v>17</v>
      </c>
      <c r="G321" t="s">
        <v>66</v>
      </c>
      <c r="H321" t="s">
        <v>43</v>
      </c>
      <c r="I321" t="s">
        <v>1060</v>
      </c>
      <c r="J321" t="str">
        <f>IF(ISNUMBER(SEARCH("India",Table2[[#This Row],[Emp_Name]])),"INR",
IF(ISNUMBER(SEARCH("Foreign",Table2[[#This Row],[Emp_Name]])),Table2[[#This Row],[Currency]],Table2[[#This Row],[Currency]]))</f>
        <v>INR</v>
      </c>
      <c r="K321">
        <v>24000</v>
      </c>
      <c r="L321">
        <v>12</v>
      </c>
      <c r="M321">
        <f>IF(Table2[[#This Row],[Num_Month]]&lt;&gt;12,12,Table2[[#This Row],[Num_Month]])</f>
        <v>12</v>
      </c>
      <c r="N321">
        <f>IF(Table2[[#This Row],[Monthly_Salary]]="","",Table2[[#This Row],[Monthly_Salary]]*Table2[[#This Row],[Num_Month_Final]])</f>
        <v>288000</v>
      </c>
      <c r="O321">
        <v>1</v>
      </c>
      <c r="P321">
        <f>IF(Table2[[#This Row],[Exp_Years]]&lt;0,ABS(Table2[[#This Row],[Exp_Years]]),Table2[[#This Row],[Exp_Years]])</f>
        <v>1</v>
      </c>
      <c r="Q321">
        <v>3</v>
      </c>
      <c r="R321">
        <v>11400</v>
      </c>
      <c r="S321">
        <f>IF(Table2[[#This Row],[Performance_Rating]]&gt;=3,Table2[[#This Row],[Monthly_Salary]]*0.3,"")</f>
        <v>7200</v>
      </c>
      <c r="T321">
        <v>85</v>
      </c>
      <c r="U321">
        <v>10</v>
      </c>
      <c r="V321">
        <v>10</v>
      </c>
      <c r="W321" t="s">
        <v>21</v>
      </c>
      <c r="X321" t="s">
        <v>38</v>
      </c>
      <c r="Y321" t="str">
        <f>IF(Table2[[#This Row],[Work_Mode]]&lt;&gt;"",Table2[[#This Row],[Work_Mode]],
IF(ISNUMBER(SEARCH("India",Table2[[#This Row],[Emp_Name]])),"Office",
IF(ISNUMBER(SEARCH("Foreign",Table2[[#This Row],[Emp_Name]])),"Remote","")))</f>
        <v>Hybrid</v>
      </c>
      <c r="AA32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21" t="s">
        <v>22</v>
      </c>
      <c r="AC321" t="str">
        <f>IF(COUNTIF(Table2[Emp_ID],Table2[[#This Row],[Emp_ID]])&gt;1,"Duplicate","Unique")</f>
        <v>Unique</v>
      </c>
      <c r="AE321" s="2"/>
      <c r="AG321" t="str">
        <f>IF(Table2[[#This Row],[Monthly_Salary]]="","Exclude",
IF(Table2[[#This Row],[Row_Status]]="Mismatch","Exclude",
IF(AND(Table2[[#This Row],[Row_Status]]="Exact Duplicate",
COUNTIFS(Table2[Emp_ID],Table2[[#This Row],[Emp_ID]],Table2[Row_Concat],Table2[[#This Row],[Row_Concat]],
Table2[Row_Number],"&lt;"&amp;Table2[[#This Row],[Row_Number]])&gt;=1),"Delete","")))</f>
        <v/>
      </c>
      <c r="AH321" t="str">
        <f>VLOOKUP(Table2[[#This Row],[Department]],Raw_2!A:B,2,0)</f>
        <v>Night</v>
      </c>
      <c r="AI321">
        <f>VLOOKUP(Table2[[#This Row],[Department]],Raw_2!A:C,3,0)</f>
        <v>20</v>
      </c>
    </row>
    <row r="322" spans="1:35">
      <c r="A322" t="s">
        <v>685</v>
      </c>
      <c r="B322" t="s">
        <v>686</v>
      </c>
      <c r="C322">
        <v>36</v>
      </c>
      <c r="D322" t="s">
        <v>25</v>
      </c>
      <c r="E322" t="str">
        <f>IF(OR(Table2[[#This Row],[Gender]]="Male",Table2[[#This Row],[Gender]]="M"),"M",
IF(OR(Table2[[#This Row],[Gender]]="Female",Table2[[#This Row],[Gender]]="F"),"F",""))</f>
        <v>F</v>
      </c>
      <c r="F322" t="s">
        <v>50</v>
      </c>
      <c r="G322" t="s">
        <v>66</v>
      </c>
      <c r="H322" t="s">
        <v>82</v>
      </c>
      <c r="I322" t="s">
        <v>1059</v>
      </c>
      <c r="J322" t="str">
        <f>IF(ISNUMBER(SEARCH("India",Table2[[#This Row],[Emp_Name]])),"INR",
IF(ISNUMBER(SEARCH("Foreign",Table2[[#This Row],[Emp_Name]])),Table2[[#This Row],[Currency]],Table2[[#This Row],[Currency]]))</f>
        <v>USD</v>
      </c>
      <c r="K322">
        <v>89000</v>
      </c>
      <c r="L322">
        <v>12</v>
      </c>
      <c r="M322">
        <f>IF(Table2[[#This Row],[Num_Month]]&lt;&gt;12,12,Table2[[#This Row],[Num_Month]])</f>
        <v>12</v>
      </c>
      <c r="N322">
        <f>IF(Table2[[#This Row],[Monthly_Salary]]="","",Table2[[#This Row],[Monthly_Salary]]*Table2[[#This Row],[Num_Month_Final]])</f>
        <v>1068000</v>
      </c>
      <c r="O322">
        <v>6</v>
      </c>
      <c r="P322">
        <f>IF(Table2[[#This Row],[Exp_Years]]&lt;0,ABS(Table2[[#This Row],[Exp_Years]]),Table2[[#This Row],[Exp_Years]])</f>
        <v>6</v>
      </c>
      <c r="Q322">
        <v>2</v>
      </c>
      <c r="S322" t="str">
        <f>IF(Table2[[#This Row],[Performance_Rating]]&gt;=3,Table2[[#This Row],[Monthly_Salary]]*0.3,"")</f>
        <v/>
      </c>
      <c r="T322">
        <v>90</v>
      </c>
      <c r="U322">
        <v>15</v>
      </c>
      <c r="V322">
        <v>2</v>
      </c>
      <c r="W322" t="s">
        <v>21</v>
      </c>
      <c r="X322" t="s">
        <v>28</v>
      </c>
      <c r="Y322" t="str">
        <f>IF(Table2[[#This Row],[Work_Mode]]&lt;&gt;"",Table2[[#This Row],[Work_Mode]],
IF(ISNUMBER(SEARCH("India",Table2[[#This Row],[Emp_Name]])),"Office",
IF(ISNUMBER(SEARCH("Foreign",Table2[[#This Row],[Emp_Name]])),"Remote","")))</f>
        <v>Remote</v>
      </c>
      <c r="Z322">
        <v>10</v>
      </c>
      <c r="AA32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3500</v>
      </c>
      <c r="AB322" t="s">
        <v>39</v>
      </c>
      <c r="AC322" t="str">
        <f>IF(COUNTIF(Table2[Emp_ID],Table2[[#This Row],[Emp_ID]])&gt;1,"Duplicate","Unique")</f>
        <v>Unique</v>
      </c>
      <c r="AE322" s="2"/>
      <c r="AG322" t="str">
        <f>IF(Table2[[#This Row],[Monthly_Salary]]="","Exclude",
IF(Table2[[#This Row],[Row_Status]]="Mismatch","Exclude",
IF(AND(Table2[[#This Row],[Row_Status]]="Exact Duplicate",
COUNTIFS(Table2[Emp_ID],Table2[[#This Row],[Emp_ID]],Table2[Row_Concat],Table2[[#This Row],[Row_Concat]],
Table2[Row_Number],"&lt;"&amp;Table2[[#This Row],[Row_Number]])&gt;=1),"Delete","")))</f>
        <v/>
      </c>
      <c r="AH322" t="str">
        <f>VLOOKUP(Table2[[#This Row],[Department]],Raw_2!A:B,2,0)</f>
        <v>Night</v>
      </c>
      <c r="AI322">
        <f>VLOOKUP(Table2[[#This Row],[Department]],Raw_2!A:C,3,0)</f>
        <v>20</v>
      </c>
    </row>
    <row r="323" spans="1:35">
      <c r="A323" t="s">
        <v>687</v>
      </c>
      <c r="B323" t="s">
        <v>688</v>
      </c>
      <c r="C323">
        <v>23</v>
      </c>
      <c r="D323" t="s">
        <v>16</v>
      </c>
      <c r="E323" t="str">
        <f>IF(OR(Table2[[#This Row],[Gender]]="Male",Table2[[#This Row],[Gender]]="M"),"M",
IF(OR(Table2[[#This Row],[Gender]]="Female",Table2[[#This Row],[Gender]]="F"),"F",""))</f>
        <v>M</v>
      </c>
      <c r="F323" t="s">
        <v>26</v>
      </c>
      <c r="G323" t="s">
        <v>42</v>
      </c>
      <c r="H323" t="s">
        <v>43</v>
      </c>
      <c r="I323" t="s">
        <v>1060</v>
      </c>
      <c r="J323" t="str">
        <f>IF(ISNUMBER(SEARCH("India",Table2[[#This Row],[Emp_Name]])),"INR",
IF(ISNUMBER(SEARCH("Foreign",Table2[[#This Row],[Emp_Name]])),Table2[[#This Row],[Currency]],Table2[[#This Row],[Currency]]))</f>
        <v>INR</v>
      </c>
      <c r="K323">
        <v>28000</v>
      </c>
      <c r="L323">
        <v>12</v>
      </c>
      <c r="M323">
        <f>IF(Table2[[#This Row],[Num_Month]]&lt;&gt;12,12,Table2[[#This Row],[Num_Month]])</f>
        <v>12</v>
      </c>
      <c r="N323">
        <f>IF(Table2[[#This Row],[Monthly_Salary]]="","",Table2[[#This Row],[Monthly_Salary]]*Table2[[#This Row],[Num_Month_Final]])</f>
        <v>336000</v>
      </c>
      <c r="O323">
        <v>2</v>
      </c>
      <c r="P323">
        <f>IF(Table2[[#This Row],[Exp_Years]]&lt;0,ABS(Table2[[#This Row],[Exp_Years]]),Table2[[#This Row],[Exp_Years]])</f>
        <v>2</v>
      </c>
      <c r="Q323">
        <v>2</v>
      </c>
      <c r="S323" t="str">
        <f>IF(Table2[[#This Row],[Performance_Rating]]&gt;=3,Table2[[#This Row],[Monthly_Salary]]*0.3,"")</f>
        <v/>
      </c>
      <c r="T323">
        <v>85</v>
      </c>
      <c r="U323">
        <v>10</v>
      </c>
      <c r="V323">
        <v>1</v>
      </c>
      <c r="W323" t="s">
        <v>37</v>
      </c>
      <c r="X323" t="s">
        <v>38</v>
      </c>
      <c r="Y323" t="str">
        <f>IF(Table2[[#This Row],[Work_Mode]]&lt;&gt;"",Table2[[#This Row],[Work_Mode]],
IF(ISNUMBER(SEARCH("India",Table2[[#This Row],[Emp_Name]])),"Office",
IF(ISNUMBER(SEARCH("Foreign",Table2[[#This Row],[Emp_Name]])),"Remote","")))</f>
        <v>Hybrid</v>
      </c>
      <c r="AA32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23" t="s">
        <v>39</v>
      </c>
      <c r="AC323" t="str">
        <f>IF(COUNTIF(Table2[Emp_ID],Table2[[#This Row],[Emp_ID]])&gt;1,"Duplicate","Unique")</f>
        <v>Unique</v>
      </c>
      <c r="AE323" s="2"/>
      <c r="AG323" t="str">
        <f>IF(Table2[[#This Row],[Monthly_Salary]]="","Exclude",
IF(Table2[[#This Row],[Row_Status]]="Mismatch","Exclude",
IF(AND(Table2[[#This Row],[Row_Status]]="Exact Duplicate",
COUNTIFS(Table2[Emp_ID],Table2[[#This Row],[Emp_ID]],Table2[Row_Concat],Table2[[#This Row],[Row_Concat]],
Table2[Row_Number],"&lt;"&amp;Table2[[#This Row],[Row_Number]])&gt;=1),"Delete","")))</f>
        <v/>
      </c>
      <c r="AH323" t="str">
        <f>VLOOKUP(Table2[[#This Row],[Department]],Raw_2!A:B,2,0)</f>
        <v>Day</v>
      </c>
      <c r="AI323">
        <f>VLOOKUP(Table2[[#This Row],[Department]],Raw_2!A:C,3,0)</f>
        <v>14</v>
      </c>
    </row>
    <row r="324" spans="1:35">
      <c r="A324" t="s">
        <v>689</v>
      </c>
      <c r="B324" t="s">
        <v>690</v>
      </c>
      <c r="C324">
        <v>33</v>
      </c>
      <c r="D324" t="s">
        <v>46</v>
      </c>
      <c r="E324" t="str">
        <f>IF(OR(Table2[[#This Row],[Gender]]="Male",Table2[[#This Row],[Gender]]="M"),"M",
IF(OR(Table2[[#This Row],[Gender]]="Female",Table2[[#This Row],[Gender]]="F"),"F",""))</f>
        <v>M</v>
      </c>
      <c r="F324" t="s">
        <v>73</v>
      </c>
      <c r="G324" t="s">
        <v>66</v>
      </c>
      <c r="H324" t="s">
        <v>82</v>
      </c>
      <c r="I324" t="s">
        <v>1060</v>
      </c>
      <c r="J324" t="str">
        <f>IF(ISNUMBER(SEARCH("India",Table2[[#This Row],[Emp_Name]])),"INR",
IF(ISNUMBER(SEARCH("Foreign",Table2[[#This Row],[Emp_Name]])),Table2[[#This Row],[Currency]],Table2[[#This Row],[Currency]]))</f>
        <v>INR</v>
      </c>
      <c r="K324">
        <v>89000</v>
      </c>
      <c r="L324">
        <v>12</v>
      </c>
      <c r="M324">
        <f>IF(Table2[[#This Row],[Num_Month]]&lt;&gt;12,12,Table2[[#This Row],[Num_Month]])</f>
        <v>12</v>
      </c>
      <c r="N324">
        <f>IF(Table2[[#This Row],[Monthly_Salary]]="","",Table2[[#This Row],[Monthly_Salary]]*Table2[[#This Row],[Num_Month_Final]])</f>
        <v>1068000</v>
      </c>
      <c r="O324">
        <v>9</v>
      </c>
      <c r="P324">
        <f>IF(Table2[[#This Row],[Exp_Years]]&lt;0,ABS(Table2[[#This Row],[Exp_Years]]),Table2[[#This Row],[Exp_Years]])</f>
        <v>9</v>
      </c>
      <c r="Q324">
        <v>2</v>
      </c>
      <c r="S324" t="str">
        <f>IF(Table2[[#This Row],[Performance_Rating]]&gt;=3,Table2[[#This Row],[Monthly_Salary]]*0.3,"")</f>
        <v/>
      </c>
      <c r="T324">
        <v>95</v>
      </c>
      <c r="U324">
        <v>5</v>
      </c>
      <c r="V324">
        <v>3</v>
      </c>
      <c r="W324" t="s">
        <v>37</v>
      </c>
      <c r="X324" t="s">
        <v>38</v>
      </c>
      <c r="Y324" t="str">
        <f>IF(Table2[[#This Row],[Work_Mode]]&lt;&gt;"",Table2[[#This Row],[Work_Mode]],
IF(ISNUMBER(SEARCH("India",Table2[[#This Row],[Emp_Name]])),"Office",
IF(ISNUMBER(SEARCH("Foreign",Table2[[#This Row],[Emp_Name]])),"Remote","")))</f>
        <v>Hybrid</v>
      </c>
      <c r="Z324">
        <v>5</v>
      </c>
      <c r="AA32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1750</v>
      </c>
      <c r="AB324" t="s">
        <v>39</v>
      </c>
      <c r="AC324" t="str">
        <f>IF(COUNTIF(Table2[Emp_ID],Table2[[#This Row],[Emp_ID]])&gt;1,"Duplicate","Unique")</f>
        <v>Unique</v>
      </c>
      <c r="AE324" s="2"/>
      <c r="AG324" t="str">
        <f>IF(Table2[[#This Row],[Monthly_Salary]]="","Exclude",
IF(Table2[[#This Row],[Row_Status]]="Mismatch","Exclude",
IF(AND(Table2[[#This Row],[Row_Status]]="Exact Duplicate",
COUNTIFS(Table2[Emp_ID],Table2[[#This Row],[Emp_ID]],Table2[Row_Concat],Table2[[#This Row],[Row_Concat]],
Table2[Row_Number],"&lt;"&amp;Table2[[#This Row],[Row_Number]])&gt;=1),"Delete","")))</f>
        <v/>
      </c>
      <c r="AH324" t="str">
        <f>VLOOKUP(Table2[[#This Row],[Department]],Raw_2!A:B,2,0)</f>
        <v>Night</v>
      </c>
      <c r="AI324">
        <f>VLOOKUP(Table2[[#This Row],[Department]],Raw_2!A:C,3,0)</f>
        <v>20</v>
      </c>
    </row>
    <row r="325" spans="1:35">
      <c r="A325" t="s">
        <v>113</v>
      </c>
      <c r="B325" t="s">
        <v>114</v>
      </c>
      <c r="C325">
        <v>33</v>
      </c>
      <c r="D325" t="s">
        <v>25</v>
      </c>
      <c r="E325" t="str">
        <f>IF(OR(Table2[[#This Row],[Gender]]="Male",Table2[[#This Row],[Gender]]="M"),"M",
IF(OR(Table2[[#This Row],[Gender]]="Female",Table2[[#This Row],[Gender]]="F"),"F",""))</f>
        <v>F</v>
      </c>
      <c r="F325" t="s">
        <v>64</v>
      </c>
      <c r="G325" t="s">
        <v>66</v>
      </c>
      <c r="H325" t="s">
        <v>82</v>
      </c>
      <c r="I325" t="s">
        <v>1059</v>
      </c>
      <c r="J325" t="str">
        <f>IF(ISNUMBER(SEARCH("India",Table2[[#This Row],[Emp_Name]])),"INR",
IF(ISNUMBER(SEARCH("Foreign",Table2[[#This Row],[Emp_Name]])),Table2[[#This Row],[Currency]],Table2[[#This Row],[Currency]]))</f>
        <v>USD</v>
      </c>
      <c r="K325">
        <v>90000</v>
      </c>
      <c r="L325">
        <v>12</v>
      </c>
      <c r="M325">
        <f>IF(Table2[[#This Row],[Num_Month]]&lt;&gt;12,12,Table2[[#This Row],[Num_Month]])</f>
        <v>12</v>
      </c>
      <c r="N325">
        <f>IF(Table2[[#This Row],[Monthly_Salary]]="","",Table2[[#This Row],[Monthly_Salary]]*Table2[[#This Row],[Num_Month_Final]])</f>
        <v>1080000</v>
      </c>
      <c r="O325">
        <v>9</v>
      </c>
      <c r="P325">
        <f>IF(Table2[[#This Row],[Exp_Years]]&lt;0,ABS(Table2[[#This Row],[Exp_Years]]),Table2[[#This Row],[Exp_Years]])</f>
        <v>9</v>
      </c>
      <c r="Q325">
        <v>3</v>
      </c>
      <c r="R325">
        <v>28000</v>
      </c>
      <c r="S325">
        <f>IF(Table2[[#This Row],[Performance_Rating]]&gt;=3,Table2[[#This Row],[Monthly_Salary]]*0.3,"")</f>
        <v>27000</v>
      </c>
      <c r="T325">
        <v>85</v>
      </c>
      <c r="U325">
        <v>12</v>
      </c>
      <c r="V325">
        <v>3</v>
      </c>
      <c r="W325" t="s">
        <v>37</v>
      </c>
      <c r="X325" t="s">
        <v>28</v>
      </c>
      <c r="Y325" t="str">
        <f>IF(Table2[[#This Row],[Work_Mode]]&lt;&gt;"",Table2[[#This Row],[Work_Mode]],
IF(ISNUMBER(SEARCH("India",Table2[[#This Row],[Emp_Name]])),"Office",
IF(ISNUMBER(SEARCH("Foreign",Table2[[#This Row],[Emp_Name]])),"Remote","")))</f>
        <v>Remote</v>
      </c>
      <c r="AA32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25" t="s">
        <v>22</v>
      </c>
      <c r="AC325" t="str">
        <f>IF(COUNTIF(Table2[Emp_ID],Table2[[#This Row],[Emp_ID]])&gt;1,"Duplicate","Unique")</f>
        <v>Unique</v>
      </c>
      <c r="AE325" s="2"/>
      <c r="AG325" t="str">
        <f>IF(Table2[[#This Row],[Monthly_Salary]]="","Exclude",
IF(Table2[[#This Row],[Row_Status]]="Mismatch","Exclude",
IF(AND(Table2[[#This Row],[Row_Status]]="Exact Duplicate",
COUNTIFS(Table2[Emp_ID],Table2[[#This Row],[Emp_ID]],Table2[Row_Concat],Table2[[#This Row],[Row_Concat]],
Table2[Row_Number],"&lt;"&amp;Table2[[#This Row],[Row_Number]])&gt;=1),"Delete","")))</f>
        <v/>
      </c>
      <c r="AH325" t="str">
        <f>VLOOKUP(Table2[[#This Row],[Department]],Raw_2!A:B,2,0)</f>
        <v>Night</v>
      </c>
      <c r="AI325">
        <f>VLOOKUP(Table2[[#This Row],[Department]],Raw_2!A:C,3,0)</f>
        <v>20</v>
      </c>
    </row>
    <row r="326" spans="1:35">
      <c r="A326" t="s">
        <v>691</v>
      </c>
      <c r="B326" t="s">
        <v>692</v>
      </c>
      <c r="C326">
        <v>25</v>
      </c>
      <c r="D326" t="s">
        <v>25</v>
      </c>
      <c r="E326" t="str">
        <f>IF(OR(Table2[[#This Row],[Gender]]="Male",Table2[[#This Row],[Gender]]="M"),"M",
IF(OR(Table2[[#This Row],[Gender]]="Female",Table2[[#This Row],[Gender]]="F"),"F",""))</f>
        <v>F</v>
      </c>
      <c r="F326" t="s">
        <v>73</v>
      </c>
      <c r="G326" t="s">
        <v>18</v>
      </c>
      <c r="H326" t="s">
        <v>43</v>
      </c>
      <c r="I326" t="s">
        <v>1060</v>
      </c>
      <c r="J326" t="str">
        <f>IF(ISNUMBER(SEARCH("India",Table2[[#This Row],[Emp_Name]])),"INR",
IF(ISNUMBER(SEARCH("Foreign",Table2[[#This Row],[Emp_Name]])),Table2[[#This Row],[Currency]],Table2[[#This Row],[Currency]]))</f>
        <v>INR</v>
      </c>
      <c r="K326">
        <v>28000</v>
      </c>
      <c r="L326">
        <v>12</v>
      </c>
      <c r="M326">
        <f>IF(Table2[[#This Row],[Num_Month]]&lt;&gt;12,12,Table2[[#This Row],[Num_Month]])</f>
        <v>12</v>
      </c>
      <c r="N326">
        <f>IF(Table2[[#This Row],[Monthly_Salary]]="","",Table2[[#This Row],[Monthly_Salary]]*Table2[[#This Row],[Num_Month_Final]])</f>
        <v>336000</v>
      </c>
      <c r="O326">
        <v>2</v>
      </c>
      <c r="P326">
        <f>IF(Table2[[#This Row],[Exp_Years]]&lt;0,ABS(Table2[[#This Row],[Exp_Years]]),Table2[[#This Row],[Exp_Years]])</f>
        <v>2</v>
      </c>
      <c r="Q326">
        <v>3</v>
      </c>
      <c r="R326">
        <v>11400</v>
      </c>
      <c r="S326">
        <f>IF(Table2[[#This Row],[Performance_Rating]]&gt;=3,Table2[[#This Row],[Monthly_Salary]]*0.3,"")</f>
        <v>8400</v>
      </c>
      <c r="T326">
        <v>80</v>
      </c>
      <c r="U326">
        <v>10</v>
      </c>
      <c r="V326">
        <v>3</v>
      </c>
      <c r="W326" t="s">
        <v>21</v>
      </c>
      <c r="X326" t="s">
        <v>38</v>
      </c>
      <c r="Y326" t="str">
        <f>IF(Table2[[#This Row],[Work_Mode]]&lt;&gt;"",Table2[[#This Row],[Work_Mode]],
IF(ISNUMBER(SEARCH("India",Table2[[#This Row],[Emp_Name]])),"Office",
IF(ISNUMBER(SEARCH("Foreign",Table2[[#This Row],[Emp_Name]])),"Remote","")))</f>
        <v>Hybrid</v>
      </c>
      <c r="Z326">
        <v>5</v>
      </c>
      <c r="AA32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26" t="s">
        <v>22</v>
      </c>
      <c r="AC326" t="str">
        <f>IF(COUNTIF(Table2[Emp_ID],Table2[[#This Row],[Emp_ID]])&gt;1,"Duplicate","Unique")</f>
        <v>Unique</v>
      </c>
      <c r="AE326" s="2"/>
      <c r="AG326" t="str">
        <f>IF(Table2[[#This Row],[Monthly_Salary]]="","Exclude",
IF(Table2[[#This Row],[Row_Status]]="Mismatch","Exclude",
IF(AND(Table2[[#This Row],[Row_Status]]="Exact Duplicate",
COUNTIFS(Table2[Emp_ID],Table2[[#This Row],[Emp_ID]],Table2[Row_Concat],Table2[[#This Row],[Row_Concat]],
Table2[Row_Number],"&lt;"&amp;Table2[[#This Row],[Row_Number]])&gt;=1),"Delete","")))</f>
        <v/>
      </c>
      <c r="AH326" t="str">
        <f>VLOOKUP(Table2[[#This Row],[Department]],Raw_2!A:B,2,0)</f>
        <v>Day</v>
      </c>
      <c r="AI326">
        <f>VLOOKUP(Table2[[#This Row],[Department]],Raw_2!A:C,3,0)</f>
        <v>10</v>
      </c>
    </row>
    <row r="327" spans="1:35">
      <c r="A327" t="s">
        <v>693</v>
      </c>
      <c r="B327" t="s">
        <v>694</v>
      </c>
      <c r="C327">
        <v>24</v>
      </c>
      <c r="E327" t="str">
        <f>IF(OR(Table2[[#This Row],[Gender]]="Male",Table2[[#This Row],[Gender]]="M"),"M",
IF(OR(Table2[[#This Row],[Gender]]="Female",Table2[[#This Row],[Gender]]="F"),"F",""))</f>
        <v/>
      </c>
      <c r="F327" t="s">
        <v>64</v>
      </c>
      <c r="G327" t="s">
        <v>27</v>
      </c>
      <c r="H327" t="s">
        <v>43</v>
      </c>
      <c r="I327" t="s">
        <v>1060</v>
      </c>
      <c r="J327" t="str">
        <f>IF(ISNUMBER(SEARCH("India",Table2[[#This Row],[Emp_Name]])),"INR",
IF(ISNUMBER(SEARCH("Foreign",Table2[[#This Row],[Emp_Name]])),Table2[[#This Row],[Currency]],Table2[[#This Row],[Currency]]))</f>
        <v>INR</v>
      </c>
      <c r="K327">
        <v>28000</v>
      </c>
      <c r="L327">
        <v>12</v>
      </c>
      <c r="M327">
        <f>IF(Table2[[#This Row],[Num_Month]]&lt;&gt;12,12,Table2[[#This Row],[Num_Month]])</f>
        <v>12</v>
      </c>
      <c r="N327">
        <f>IF(Table2[[#This Row],[Monthly_Salary]]="","",Table2[[#This Row],[Monthly_Salary]]*Table2[[#This Row],[Num_Month_Final]])</f>
        <v>336000</v>
      </c>
      <c r="O327">
        <v>2</v>
      </c>
      <c r="P327">
        <f>IF(Table2[[#This Row],[Exp_Years]]&lt;0,ABS(Table2[[#This Row],[Exp_Years]]),Table2[[#This Row],[Exp_Years]])</f>
        <v>2</v>
      </c>
      <c r="Q327">
        <v>2</v>
      </c>
      <c r="S327" t="str">
        <f>IF(Table2[[#This Row],[Performance_Rating]]&gt;=3,Table2[[#This Row],[Monthly_Salary]]*0.3,"")</f>
        <v/>
      </c>
      <c r="T327">
        <v>85</v>
      </c>
      <c r="U327">
        <v>15</v>
      </c>
      <c r="V327">
        <v>2</v>
      </c>
      <c r="X327" t="s">
        <v>38</v>
      </c>
      <c r="Y327" t="str">
        <f>IF(Table2[[#This Row],[Work_Mode]]&lt;&gt;"",Table2[[#This Row],[Work_Mode]],
IF(ISNUMBER(SEARCH("India",Table2[[#This Row],[Emp_Name]])),"Office",
IF(ISNUMBER(SEARCH("Foreign",Table2[[#This Row],[Emp_Name]])),"Remote","")))</f>
        <v>Hybrid</v>
      </c>
      <c r="Z327">
        <v>20</v>
      </c>
      <c r="AA32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327" t="s">
        <v>39</v>
      </c>
      <c r="AC327" t="str">
        <f>IF(COUNTIF(Table2[Emp_ID],Table2[[#This Row],[Emp_ID]])&gt;1,"Duplicate","Unique")</f>
        <v>Unique</v>
      </c>
      <c r="AE327" s="2"/>
      <c r="AG327" t="str">
        <f>IF(Table2[[#This Row],[Monthly_Salary]]="","Exclude",
IF(Table2[[#This Row],[Row_Status]]="Mismatch","Exclude",
IF(AND(Table2[[#This Row],[Row_Status]]="Exact Duplicate",
COUNTIFS(Table2[Emp_ID],Table2[[#This Row],[Emp_ID]],Table2[Row_Concat],Table2[[#This Row],[Row_Concat]],
Table2[Row_Number],"&lt;"&amp;Table2[[#This Row],[Row_Number]])&gt;=1),"Delete","")))</f>
        <v/>
      </c>
      <c r="AH327" t="str">
        <f>VLOOKUP(Table2[[#This Row],[Department]],Raw_2!A:B,2,0)</f>
        <v>Day</v>
      </c>
      <c r="AI327">
        <f>VLOOKUP(Table2[[#This Row],[Department]],Raw_2!A:C,3,0)</f>
        <v>12</v>
      </c>
    </row>
    <row r="328" spans="1:35">
      <c r="A328" t="s">
        <v>695</v>
      </c>
      <c r="B328" t="s">
        <v>696</v>
      </c>
      <c r="C328">
        <v>24</v>
      </c>
      <c r="D328" t="s">
        <v>25</v>
      </c>
      <c r="E328" t="str">
        <f>IF(OR(Table2[[#This Row],[Gender]]="Male",Table2[[#This Row],[Gender]]="M"),"M",
IF(OR(Table2[[#This Row],[Gender]]="Female",Table2[[#This Row],[Gender]]="F"),"F",""))</f>
        <v>F</v>
      </c>
      <c r="F328" t="s">
        <v>73</v>
      </c>
      <c r="G328" t="s">
        <v>66</v>
      </c>
      <c r="H328" t="s">
        <v>1048</v>
      </c>
      <c r="I328" t="s">
        <v>1060</v>
      </c>
      <c r="J328" t="str">
        <f>IF(ISNUMBER(SEARCH("India",Table2[[#This Row],[Emp_Name]])),"INR",
IF(ISNUMBER(SEARCH("Foreign",Table2[[#This Row],[Emp_Name]])),Table2[[#This Row],[Currency]],Table2[[#This Row],[Currency]]))</f>
        <v>INR</v>
      </c>
      <c r="K328">
        <v>65000</v>
      </c>
      <c r="L328">
        <v>12</v>
      </c>
      <c r="M328">
        <f>IF(Table2[[#This Row],[Num_Month]]&lt;&gt;12,12,Table2[[#This Row],[Num_Month]])</f>
        <v>12</v>
      </c>
      <c r="N328">
        <f>IF(Table2[[#This Row],[Monthly_Salary]]="","",Table2[[#This Row],[Monthly_Salary]]*Table2[[#This Row],[Num_Month_Final]])</f>
        <v>780000</v>
      </c>
      <c r="O328">
        <v>5</v>
      </c>
      <c r="P328">
        <f>IF(Table2[[#This Row],[Exp_Years]]&lt;0,ABS(Table2[[#This Row],[Exp_Years]]),Table2[[#This Row],[Exp_Years]])</f>
        <v>5</v>
      </c>
      <c r="Q328">
        <v>1</v>
      </c>
      <c r="S328" t="str">
        <f>IF(Table2[[#This Row],[Performance_Rating]]&gt;=3,Table2[[#This Row],[Monthly_Salary]]*0.3,"")</f>
        <v/>
      </c>
      <c r="T328">
        <v>88</v>
      </c>
      <c r="U328">
        <v>15</v>
      </c>
      <c r="V328">
        <v>1</v>
      </c>
      <c r="W328" t="s">
        <v>37</v>
      </c>
      <c r="X328" t="s">
        <v>38</v>
      </c>
      <c r="Y328" t="str">
        <f>IF(Table2[[#This Row],[Work_Mode]]&lt;&gt;"",Table2[[#This Row],[Work_Mode]],
IF(ISNUMBER(SEARCH("India",Table2[[#This Row],[Emp_Name]])),"Office",
IF(ISNUMBER(SEARCH("Foreign",Table2[[#This Row],[Emp_Name]])),"Remote","")))</f>
        <v>Hybrid</v>
      </c>
      <c r="Z328">
        <v>5</v>
      </c>
      <c r="AA32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328" t="s">
        <v>39</v>
      </c>
      <c r="AC328" t="str">
        <f>IF(COUNTIF(Table2[Emp_ID],Table2[[#This Row],[Emp_ID]])&gt;1,"Duplicate","Unique")</f>
        <v>Unique</v>
      </c>
      <c r="AE328" s="2"/>
      <c r="AG328" t="str">
        <f>IF(Table2[[#This Row],[Monthly_Salary]]="","Exclude",
IF(Table2[[#This Row],[Row_Status]]="Mismatch","Exclude",
IF(AND(Table2[[#This Row],[Row_Status]]="Exact Duplicate",
COUNTIFS(Table2[Emp_ID],Table2[[#This Row],[Emp_ID]],Table2[Row_Concat],Table2[[#This Row],[Row_Concat]],
Table2[Row_Number],"&lt;"&amp;Table2[[#This Row],[Row_Number]])&gt;=1),"Delete","")))</f>
        <v/>
      </c>
      <c r="AH328" t="str">
        <f>VLOOKUP(Table2[[#This Row],[Department]],Raw_2!A:B,2,0)</f>
        <v>Night</v>
      </c>
      <c r="AI328">
        <f>VLOOKUP(Table2[[#This Row],[Department]],Raw_2!A:C,3,0)</f>
        <v>20</v>
      </c>
    </row>
    <row r="329" spans="1:35">
      <c r="A329" t="s">
        <v>697</v>
      </c>
      <c r="B329" t="s">
        <v>698</v>
      </c>
      <c r="C329">
        <v>23</v>
      </c>
      <c r="D329" t="s">
        <v>25</v>
      </c>
      <c r="E329" t="str">
        <f>IF(OR(Table2[[#This Row],[Gender]]="Male",Table2[[#This Row],[Gender]]="M"),"M",
IF(OR(Table2[[#This Row],[Gender]]="Female",Table2[[#This Row],[Gender]]="F"),"F",""))</f>
        <v>F</v>
      </c>
      <c r="F329" t="s">
        <v>47</v>
      </c>
      <c r="G329" t="s">
        <v>18</v>
      </c>
      <c r="H329" t="s">
        <v>43</v>
      </c>
      <c r="I329" t="s">
        <v>1060</v>
      </c>
      <c r="J329" t="str">
        <f>IF(ISNUMBER(SEARCH("India",Table2[[#This Row],[Emp_Name]])),"INR",
IF(ISNUMBER(SEARCH("Foreign",Table2[[#This Row],[Emp_Name]])),Table2[[#This Row],[Currency]],Table2[[#This Row],[Currency]]))</f>
        <v>INR</v>
      </c>
      <c r="K329">
        <v>28000</v>
      </c>
      <c r="L329">
        <v>12</v>
      </c>
      <c r="M329">
        <f>IF(Table2[[#This Row],[Num_Month]]&lt;&gt;12,12,Table2[[#This Row],[Num_Month]])</f>
        <v>12</v>
      </c>
      <c r="N329">
        <f>IF(Table2[[#This Row],[Monthly_Salary]]="","",Table2[[#This Row],[Monthly_Salary]]*Table2[[#This Row],[Num_Month_Final]])</f>
        <v>336000</v>
      </c>
      <c r="O329">
        <v>2</v>
      </c>
      <c r="P329">
        <f>IF(Table2[[#This Row],[Exp_Years]]&lt;0,ABS(Table2[[#This Row],[Exp_Years]]),Table2[[#This Row],[Exp_Years]])</f>
        <v>2</v>
      </c>
      <c r="Q329">
        <v>4</v>
      </c>
      <c r="R329">
        <v>16000</v>
      </c>
      <c r="S329">
        <f>IF(Table2[[#This Row],[Performance_Rating]]&gt;=3,Table2[[#This Row],[Monthly_Salary]]*0.3,"")</f>
        <v>8400</v>
      </c>
      <c r="T329">
        <v>95</v>
      </c>
      <c r="U329">
        <v>5</v>
      </c>
      <c r="V329">
        <v>5</v>
      </c>
      <c r="W329" t="s">
        <v>37</v>
      </c>
      <c r="X329" t="s">
        <v>38</v>
      </c>
      <c r="Y329" t="str">
        <f>IF(Table2[[#This Row],[Work_Mode]]&lt;&gt;"",Table2[[#This Row],[Work_Mode]],
IF(ISNUMBER(SEARCH("India",Table2[[#This Row],[Emp_Name]])),"Office",
IF(ISNUMBER(SEARCH("Foreign",Table2[[#This Row],[Emp_Name]])),"Remote","")))</f>
        <v>Hybrid</v>
      </c>
      <c r="Z329">
        <v>10</v>
      </c>
      <c r="AA32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329" t="s">
        <v>22</v>
      </c>
      <c r="AC329" t="str">
        <f>IF(COUNTIF(Table2[Emp_ID],Table2[[#This Row],[Emp_ID]])&gt;1,"Duplicate","Unique")</f>
        <v>Unique</v>
      </c>
      <c r="AE329" s="2"/>
      <c r="AG329" t="str">
        <f>IF(Table2[[#This Row],[Monthly_Salary]]="","Exclude",
IF(Table2[[#This Row],[Row_Status]]="Mismatch","Exclude",
IF(AND(Table2[[#This Row],[Row_Status]]="Exact Duplicate",
COUNTIFS(Table2[Emp_ID],Table2[[#This Row],[Emp_ID]],Table2[Row_Concat],Table2[[#This Row],[Row_Concat]],
Table2[Row_Number],"&lt;"&amp;Table2[[#This Row],[Row_Number]])&gt;=1),"Delete","")))</f>
        <v/>
      </c>
      <c r="AH329" t="str">
        <f>VLOOKUP(Table2[[#This Row],[Department]],Raw_2!A:B,2,0)</f>
        <v>Day</v>
      </c>
      <c r="AI329">
        <f>VLOOKUP(Table2[[#This Row],[Department]],Raw_2!A:C,3,0)</f>
        <v>10</v>
      </c>
    </row>
    <row r="330" spans="1:35">
      <c r="A330" t="s">
        <v>699</v>
      </c>
      <c r="B330" t="s">
        <v>700</v>
      </c>
      <c r="C330">
        <v>24</v>
      </c>
      <c r="D330" t="s">
        <v>34</v>
      </c>
      <c r="E330" t="str">
        <f>IF(OR(Table2[[#This Row],[Gender]]="Male",Table2[[#This Row],[Gender]]="M"),"M",
IF(OR(Table2[[#This Row],[Gender]]="Female",Table2[[#This Row],[Gender]]="F"),"F",""))</f>
        <v>F</v>
      </c>
      <c r="F330" t="s">
        <v>64</v>
      </c>
      <c r="G330" t="s">
        <v>31</v>
      </c>
      <c r="H330" t="s">
        <v>43</v>
      </c>
      <c r="I330" t="s">
        <v>1060</v>
      </c>
      <c r="J330" t="str">
        <f>IF(ISNUMBER(SEARCH("India",Table2[[#This Row],[Emp_Name]])),"INR",
IF(ISNUMBER(SEARCH("Foreign",Table2[[#This Row],[Emp_Name]])),Table2[[#This Row],[Currency]],Table2[[#This Row],[Currency]]))</f>
        <v>INR</v>
      </c>
      <c r="K330">
        <v>24000</v>
      </c>
      <c r="L330">
        <v>12</v>
      </c>
      <c r="M330">
        <f>IF(Table2[[#This Row],[Num_Month]]&lt;&gt;12,12,Table2[[#This Row],[Num_Month]])</f>
        <v>12</v>
      </c>
      <c r="N330">
        <f>IF(Table2[[#This Row],[Monthly_Salary]]="","",Table2[[#This Row],[Monthly_Salary]]*Table2[[#This Row],[Num_Month_Final]])</f>
        <v>288000</v>
      </c>
      <c r="O330">
        <v>1</v>
      </c>
      <c r="P330">
        <f>IF(Table2[[#This Row],[Exp_Years]]&lt;0,ABS(Table2[[#This Row],[Exp_Years]]),Table2[[#This Row],[Exp_Years]])</f>
        <v>1</v>
      </c>
      <c r="Q330">
        <v>1</v>
      </c>
      <c r="S330" t="str">
        <f>IF(Table2[[#This Row],[Performance_Rating]]&gt;=3,Table2[[#This Row],[Monthly_Salary]]*0.3,"")</f>
        <v/>
      </c>
      <c r="T330">
        <v>80</v>
      </c>
      <c r="U330">
        <v>10</v>
      </c>
      <c r="V330">
        <v>3</v>
      </c>
      <c r="W330" t="s">
        <v>21</v>
      </c>
      <c r="X330" t="s">
        <v>38</v>
      </c>
      <c r="Y330" t="str">
        <f>IF(Table2[[#This Row],[Work_Mode]]&lt;&gt;"",Table2[[#This Row],[Work_Mode]],
IF(ISNUMBER(SEARCH("India",Table2[[#This Row],[Emp_Name]])),"Office",
IF(ISNUMBER(SEARCH("Foreign",Table2[[#This Row],[Emp_Name]])),"Remote","")))</f>
        <v>Hybrid</v>
      </c>
      <c r="Z330">
        <v>20</v>
      </c>
      <c r="AA33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330" t="s">
        <v>39</v>
      </c>
      <c r="AC330" t="str">
        <f>IF(COUNTIF(Table2[Emp_ID],Table2[[#This Row],[Emp_ID]])&gt;1,"Duplicate","Unique")</f>
        <v>Unique</v>
      </c>
      <c r="AE330" s="2"/>
      <c r="AG330" t="str">
        <f>IF(Table2[[#This Row],[Monthly_Salary]]="","Exclude",
IF(Table2[[#This Row],[Row_Status]]="Mismatch","Exclude",
IF(AND(Table2[[#This Row],[Row_Status]]="Exact Duplicate",
COUNTIFS(Table2[Emp_ID],Table2[[#This Row],[Emp_ID]],Table2[Row_Concat],Table2[[#This Row],[Row_Concat]],
Table2[Row_Number],"&lt;"&amp;Table2[[#This Row],[Row_Number]])&gt;=1),"Delete","")))</f>
        <v/>
      </c>
      <c r="AH330" t="str">
        <f>VLOOKUP(Table2[[#This Row],[Department]],Raw_2!A:B,2,0)</f>
        <v>Night</v>
      </c>
      <c r="AI330">
        <f>VLOOKUP(Table2[[#This Row],[Department]],Raw_2!A:C,3,0)</f>
        <v>13</v>
      </c>
    </row>
    <row r="331" spans="1:35">
      <c r="A331" t="s">
        <v>701</v>
      </c>
      <c r="B331" t="s">
        <v>702</v>
      </c>
      <c r="C331">
        <v>24</v>
      </c>
      <c r="E331" t="str">
        <f>IF(OR(Table2[[#This Row],[Gender]]="Male",Table2[[#This Row],[Gender]]="M"),"M",
IF(OR(Table2[[#This Row],[Gender]]="Female",Table2[[#This Row],[Gender]]="F"),"F",""))</f>
        <v/>
      </c>
      <c r="F331" t="s">
        <v>47</v>
      </c>
      <c r="G331" t="s">
        <v>42</v>
      </c>
      <c r="H331" t="s">
        <v>1045</v>
      </c>
      <c r="I331" t="s">
        <v>1060</v>
      </c>
      <c r="J331" t="str">
        <f>IF(ISNUMBER(SEARCH("India",Table2[[#This Row],[Emp_Name]])),"INR",
IF(ISNUMBER(SEARCH("Foreign",Table2[[#This Row],[Emp_Name]])),Table2[[#This Row],[Currency]],Table2[[#This Row],[Currency]]))</f>
        <v>INR</v>
      </c>
      <c r="K331">
        <v>78000</v>
      </c>
      <c r="L331">
        <v>12</v>
      </c>
      <c r="M331">
        <f>IF(Table2[[#This Row],[Num_Month]]&lt;&gt;12,12,Table2[[#This Row],[Num_Month]])</f>
        <v>12</v>
      </c>
      <c r="N331">
        <f>IF(Table2[[#This Row],[Monthly_Salary]]="","",Table2[[#This Row],[Monthly_Salary]]*Table2[[#This Row],[Num_Month_Final]])</f>
        <v>936000</v>
      </c>
      <c r="O331">
        <v>7</v>
      </c>
      <c r="P331">
        <f>IF(Table2[[#This Row],[Exp_Years]]&lt;0,ABS(Table2[[#This Row],[Exp_Years]]),Table2[[#This Row],[Exp_Years]])</f>
        <v>7</v>
      </c>
      <c r="Q331">
        <v>1</v>
      </c>
      <c r="S331" t="str">
        <f>IF(Table2[[#This Row],[Performance_Rating]]&gt;=3,Table2[[#This Row],[Monthly_Salary]]*0.3,"")</f>
        <v/>
      </c>
      <c r="T331">
        <v>85</v>
      </c>
      <c r="U331">
        <v>10</v>
      </c>
      <c r="V331">
        <v>5</v>
      </c>
      <c r="W331" t="s">
        <v>37</v>
      </c>
      <c r="X331" t="s">
        <v>19</v>
      </c>
      <c r="Y331" t="str">
        <f>IF(Table2[[#This Row],[Work_Mode]]&lt;&gt;"",Table2[[#This Row],[Work_Mode]],
IF(ISNUMBER(SEARCH("India",Table2[[#This Row],[Emp_Name]])),"Office",
IF(ISNUMBER(SEARCH("Foreign",Table2[[#This Row],[Emp_Name]])),"Remote","")))</f>
        <v>Office</v>
      </c>
      <c r="AA33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31" t="s">
        <v>39</v>
      </c>
      <c r="AC331" t="str">
        <f>IF(COUNTIF(Table2[Emp_ID],Table2[[#This Row],[Emp_ID]])&gt;1,"Duplicate","Unique")</f>
        <v>Unique</v>
      </c>
      <c r="AE331" s="2"/>
      <c r="AG331" t="str">
        <f>IF(Table2[[#This Row],[Monthly_Salary]]="","Exclude",
IF(Table2[[#This Row],[Row_Status]]="Mismatch","Exclude",
IF(AND(Table2[[#This Row],[Row_Status]]="Exact Duplicate",
COUNTIFS(Table2[Emp_ID],Table2[[#This Row],[Emp_ID]],Table2[Row_Concat],Table2[[#This Row],[Row_Concat]],
Table2[Row_Number],"&lt;"&amp;Table2[[#This Row],[Row_Number]])&gt;=1),"Delete","")))</f>
        <v/>
      </c>
      <c r="AH331" t="str">
        <f>VLOOKUP(Table2[[#This Row],[Department]],Raw_2!A:B,2,0)</f>
        <v>Day</v>
      </c>
      <c r="AI331">
        <f>VLOOKUP(Table2[[#This Row],[Department]],Raw_2!A:C,3,0)</f>
        <v>14</v>
      </c>
    </row>
    <row r="332" spans="1:35">
      <c r="A332" t="s">
        <v>703</v>
      </c>
      <c r="B332" t="s">
        <v>704</v>
      </c>
      <c r="C332">
        <v>23</v>
      </c>
      <c r="D332" t="s">
        <v>25</v>
      </c>
      <c r="E332" t="str">
        <f>IF(OR(Table2[[#This Row],[Gender]]="Male",Table2[[#This Row],[Gender]]="M"),"M",
IF(OR(Table2[[#This Row],[Gender]]="Female",Table2[[#This Row],[Gender]]="F"),"F",""))</f>
        <v>F</v>
      </c>
      <c r="F332" t="s">
        <v>73</v>
      </c>
      <c r="G332" t="s">
        <v>36</v>
      </c>
      <c r="H332" t="s">
        <v>43</v>
      </c>
      <c r="I332" t="s">
        <v>1060</v>
      </c>
      <c r="J332" t="str">
        <f>IF(ISNUMBER(SEARCH("India",Table2[[#This Row],[Emp_Name]])),"INR",
IF(ISNUMBER(SEARCH("Foreign",Table2[[#This Row],[Emp_Name]])),Table2[[#This Row],[Currency]],Table2[[#This Row],[Currency]]))</f>
        <v>INR</v>
      </c>
      <c r="K332">
        <v>24000</v>
      </c>
      <c r="L332">
        <v>12</v>
      </c>
      <c r="M332">
        <f>IF(Table2[[#This Row],[Num_Month]]&lt;&gt;12,12,Table2[[#This Row],[Num_Month]])</f>
        <v>12</v>
      </c>
      <c r="N332">
        <f>IF(Table2[[#This Row],[Monthly_Salary]]="","",Table2[[#This Row],[Monthly_Salary]]*Table2[[#This Row],[Num_Month_Final]])</f>
        <v>288000</v>
      </c>
      <c r="O332">
        <v>1</v>
      </c>
      <c r="P332">
        <f>IF(Table2[[#This Row],[Exp_Years]]&lt;0,ABS(Table2[[#This Row],[Exp_Years]]),Table2[[#This Row],[Exp_Years]])</f>
        <v>1</v>
      </c>
      <c r="Q332">
        <v>1</v>
      </c>
      <c r="S332" t="str">
        <f>IF(Table2[[#This Row],[Performance_Rating]]&gt;=3,Table2[[#This Row],[Monthly_Salary]]*0.3,"")</f>
        <v/>
      </c>
      <c r="T332">
        <v>90</v>
      </c>
      <c r="U332">
        <v>31</v>
      </c>
      <c r="V332">
        <v>2</v>
      </c>
      <c r="W332" t="s">
        <v>21</v>
      </c>
      <c r="X332" t="s">
        <v>38</v>
      </c>
      <c r="Y332" t="str">
        <f>IF(Table2[[#This Row],[Work_Mode]]&lt;&gt;"",Table2[[#This Row],[Work_Mode]],
IF(ISNUMBER(SEARCH("India",Table2[[#This Row],[Emp_Name]])),"Office",
IF(ISNUMBER(SEARCH("Foreign",Table2[[#This Row],[Emp_Name]])),"Remote","")))</f>
        <v>Hybrid</v>
      </c>
      <c r="Z332">
        <v>5</v>
      </c>
      <c r="AA33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32" t="s">
        <v>39</v>
      </c>
      <c r="AC332" t="str">
        <f>IF(COUNTIF(Table2[Emp_ID],Table2[[#This Row],[Emp_ID]])&gt;1,"Duplicate","Unique")</f>
        <v>Unique</v>
      </c>
      <c r="AE332" s="2"/>
      <c r="AG332" t="str">
        <f>IF(Table2[[#This Row],[Monthly_Salary]]="","Exclude",
IF(Table2[[#This Row],[Row_Status]]="Mismatch","Exclude",
IF(AND(Table2[[#This Row],[Row_Status]]="Exact Duplicate",
COUNTIFS(Table2[Emp_ID],Table2[[#This Row],[Emp_ID]],Table2[Row_Concat],Table2[[#This Row],[Row_Concat]],
Table2[Row_Number],"&lt;"&amp;Table2[[#This Row],[Row_Number]])&gt;=1),"Delete","")))</f>
        <v/>
      </c>
      <c r="AH332" t="str">
        <f>VLOOKUP(Table2[[#This Row],[Department]],Raw_2!A:B,2,0)</f>
        <v>Day</v>
      </c>
      <c r="AI332">
        <f>VLOOKUP(Table2[[#This Row],[Department]],Raw_2!A:C,3,0)</f>
        <v>25</v>
      </c>
    </row>
    <row r="333" spans="1:35">
      <c r="A333" t="s">
        <v>705</v>
      </c>
      <c r="B333" t="s">
        <v>706</v>
      </c>
      <c r="C333">
        <v>24</v>
      </c>
      <c r="D333" t="s">
        <v>25</v>
      </c>
      <c r="E333" t="str">
        <f>IF(OR(Table2[[#This Row],[Gender]]="Male",Table2[[#This Row],[Gender]]="M"),"M",
IF(OR(Table2[[#This Row],[Gender]]="Female",Table2[[#This Row],[Gender]]="F"),"F",""))</f>
        <v>F</v>
      </c>
      <c r="F333" t="s">
        <v>73</v>
      </c>
      <c r="G333" t="s">
        <v>27</v>
      </c>
      <c r="H333" t="s">
        <v>43</v>
      </c>
      <c r="I333" t="s">
        <v>1060</v>
      </c>
      <c r="J333" t="str">
        <f>IF(ISNUMBER(SEARCH("India",Table2[[#This Row],[Emp_Name]])),"INR",
IF(ISNUMBER(SEARCH("Foreign",Table2[[#This Row],[Emp_Name]])),Table2[[#This Row],[Currency]],Table2[[#This Row],[Currency]]))</f>
        <v>INR</v>
      </c>
      <c r="K333">
        <v>24000</v>
      </c>
      <c r="L333">
        <v>12</v>
      </c>
      <c r="M333">
        <f>IF(Table2[[#This Row],[Num_Month]]&lt;&gt;12,12,Table2[[#This Row],[Num_Month]])</f>
        <v>12</v>
      </c>
      <c r="N333">
        <f>IF(Table2[[#This Row],[Monthly_Salary]]="","",Table2[[#This Row],[Monthly_Salary]]*Table2[[#This Row],[Num_Month_Final]])</f>
        <v>288000</v>
      </c>
      <c r="O333">
        <v>1</v>
      </c>
      <c r="P333">
        <f>IF(Table2[[#This Row],[Exp_Years]]&lt;0,ABS(Table2[[#This Row],[Exp_Years]]),Table2[[#This Row],[Exp_Years]])</f>
        <v>1</v>
      </c>
      <c r="Q333">
        <v>1</v>
      </c>
      <c r="S333" t="str">
        <f>IF(Table2[[#This Row],[Performance_Rating]]&gt;=3,Table2[[#This Row],[Monthly_Salary]]*0.3,"")</f>
        <v/>
      </c>
      <c r="T333">
        <v>90</v>
      </c>
      <c r="U333">
        <v>15</v>
      </c>
      <c r="V333">
        <v>9</v>
      </c>
      <c r="X333" t="s">
        <v>38</v>
      </c>
      <c r="Y333" t="str">
        <f>IF(Table2[[#This Row],[Work_Mode]]&lt;&gt;"",Table2[[#This Row],[Work_Mode]],
IF(ISNUMBER(SEARCH("India",Table2[[#This Row],[Emp_Name]])),"Office",
IF(ISNUMBER(SEARCH("Foreign",Table2[[#This Row],[Emp_Name]])),"Remote","")))</f>
        <v>Hybrid</v>
      </c>
      <c r="Z333">
        <v>20</v>
      </c>
      <c r="AA33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333" t="s">
        <v>39</v>
      </c>
      <c r="AC333" t="str">
        <f>IF(COUNTIF(Table2[Emp_ID],Table2[[#This Row],[Emp_ID]])&gt;1,"Duplicate","Unique")</f>
        <v>Unique</v>
      </c>
      <c r="AE333" s="2"/>
      <c r="AG333" t="str">
        <f>IF(Table2[[#This Row],[Monthly_Salary]]="","Exclude",
IF(Table2[[#This Row],[Row_Status]]="Mismatch","Exclude",
IF(AND(Table2[[#This Row],[Row_Status]]="Exact Duplicate",
COUNTIFS(Table2[Emp_ID],Table2[[#This Row],[Emp_ID]],Table2[Row_Concat],Table2[[#This Row],[Row_Concat]],
Table2[Row_Number],"&lt;"&amp;Table2[[#This Row],[Row_Number]])&gt;=1),"Delete","")))</f>
        <v/>
      </c>
      <c r="AH333" t="str">
        <f>VLOOKUP(Table2[[#This Row],[Department]],Raw_2!A:B,2,0)</f>
        <v>Day</v>
      </c>
      <c r="AI333">
        <f>VLOOKUP(Table2[[#This Row],[Department]],Raw_2!A:C,3,0)</f>
        <v>12</v>
      </c>
    </row>
    <row r="334" spans="1:35">
      <c r="A334" t="s">
        <v>707</v>
      </c>
      <c r="B334" t="s">
        <v>708</v>
      </c>
      <c r="C334">
        <v>26</v>
      </c>
      <c r="D334" t="s">
        <v>34</v>
      </c>
      <c r="E334" t="str">
        <f>IF(OR(Table2[[#This Row],[Gender]]="Male",Table2[[#This Row],[Gender]]="M"),"M",
IF(OR(Table2[[#This Row],[Gender]]="Female",Table2[[#This Row],[Gender]]="F"),"F",""))</f>
        <v>F</v>
      </c>
      <c r="F334" t="s">
        <v>57</v>
      </c>
      <c r="G334" t="s">
        <v>42</v>
      </c>
      <c r="H334" t="s">
        <v>1045</v>
      </c>
      <c r="I334" t="s">
        <v>1060</v>
      </c>
      <c r="J334" t="str">
        <f>IF(ISNUMBER(SEARCH("India",Table2[[#This Row],[Emp_Name]])),"INR",
IF(ISNUMBER(SEARCH("Foreign",Table2[[#This Row],[Emp_Name]])),Table2[[#This Row],[Currency]],Table2[[#This Row],[Currency]]))</f>
        <v>INR</v>
      </c>
      <c r="K334">
        <v>78000</v>
      </c>
      <c r="L334">
        <v>12</v>
      </c>
      <c r="M334">
        <f>IF(Table2[[#This Row],[Num_Month]]&lt;&gt;12,12,Table2[[#This Row],[Num_Month]])</f>
        <v>12</v>
      </c>
      <c r="N334">
        <f>IF(Table2[[#This Row],[Monthly_Salary]]="","",Table2[[#This Row],[Monthly_Salary]]*Table2[[#This Row],[Num_Month_Final]])</f>
        <v>936000</v>
      </c>
      <c r="O334">
        <v>7</v>
      </c>
      <c r="P334">
        <f>IF(Table2[[#This Row],[Exp_Years]]&lt;0,ABS(Table2[[#This Row],[Exp_Years]]),Table2[[#This Row],[Exp_Years]])</f>
        <v>7</v>
      </c>
      <c r="Q334">
        <v>3</v>
      </c>
      <c r="R334">
        <v>7000</v>
      </c>
      <c r="S334">
        <f>IF(Table2[[#This Row],[Performance_Rating]]&gt;=3,Table2[[#This Row],[Monthly_Salary]]*0.3,"")</f>
        <v>23400</v>
      </c>
      <c r="T334">
        <v>80</v>
      </c>
      <c r="U334">
        <v>5</v>
      </c>
      <c r="V334">
        <v>1</v>
      </c>
      <c r="W334" t="s">
        <v>21</v>
      </c>
      <c r="X334" t="s">
        <v>38</v>
      </c>
      <c r="Y334" t="str">
        <f>IF(Table2[[#This Row],[Work_Mode]]&lt;&gt;"",Table2[[#This Row],[Work_Mode]],
IF(ISNUMBER(SEARCH("India",Table2[[#This Row],[Emp_Name]])),"Office",
IF(ISNUMBER(SEARCH("Foreign",Table2[[#This Row],[Emp_Name]])),"Remote","")))</f>
        <v>Hybrid</v>
      </c>
      <c r="Z334">
        <v>10</v>
      </c>
      <c r="AA33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334" t="s">
        <v>22</v>
      </c>
      <c r="AC334" t="str">
        <f>IF(COUNTIF(Table2[Emp_ID],Table2[[#This Row],[Emp_ID]])&gt;1,"Duplicate","Unique")</f>
        <v>Unique</v>
      </c>
      <c r="AE334" s="2"/>
      <c r="AG334" t="str">
        <f>IF(Table2[[#This Row],[Monthly_Salary]]="","Exclude",
IF(Table2[[#This Row],[Row_Status]]="Mismatch","Exclude",
IF(AND(Table2[[#This Row],[Row_Status]]="Exact Duplicate",
COUNTIFS(Table2[Emp_ID],Table2[[#This Row],[Emp_ID]],Table2[Row_Concat],Table2[[#This Row],[Row_Concat]],
Table2[Row_Number],"&lt;"&amp;Table2[[#This Row],[Row_Number]])&gt;=1),"Delete","")))</f>
        <v/>
      </c>
      <c r="AH334" t="str">
        <f>VLOOKUP(Table2[[#This Row],[Department]],Raw_2!A:B,2,0)</f>
        <v>Day</v>
      </c>
      <c r="AI334">
        <f>VLOOKUP(Table2[[#This Row],[Department]],Raw_2!A:C,3,0)</f>
        <v>14</v>
      </c>
    </row>
    <row r="335" spans="1:35">
      <c r="A335" t="s">
        <v>709</v>
      </c>
      <c r="B335" t="s">
        <v>710</v>
      </c>
      <c r="C335">
        <v>28</v>
      </c>
      <c r="D335" t="s">
        <v>34</v>
      </c>
      <c r="E335" t="str">
        <f>IF(OR(Table2[[#This Row],[Gender]]="Male",Table2[[#This Row],[Gender]]="M"),"M",
IF(OR(Table2[[#This Row],[Gender]]="Female",Table2[[#This Row],[Gender]]="F"),"F",""))</f>
        <v>F</v>
      </c>
      <c r="F335" t="s">
        <v>64</v>
      </c>
      <c r="G335" t="s">
        <v>31</v>
      </c>
      <c r="H335" t="s">
        <v>1045</v>
      </c>
      <c r="I335" t="s">
        <v>1060</v>
      </c>
      <c r="J335" t="str">
        <f>IF(ISNUMBER(SEARCH("India",Table2[[#This Row],[Emp_Name]])),"INR",
IF(ISNUMBER(SEARCH("Foreign",Table2[[#This Row],[Emp_Name]])),Table2[[#This Row],[Currency]],Table2[[#This Row],[Currency]]))</f>
        <v>INR</v>
      </c>
      <c r="K335">
        <v>77500</v>
      </c>
      <c r="L335">
        <v>12</v>
      </c>
      <c r="M335">
        <f>IF(Table2[[#This Row],[Num_Month]]&lt;&gt;12,12,Table2[[#This Row],[Num_Month]])</f>
        <v>12</v>
      </c>
      <c r="N335">
        <f>IF(Table2[[#This Row],[Monthly_Salary]]="","",Table2[[#This Row],[Monthly_Salary]]*Table2[[#This Row],[Num_Month_Final]])</f>
        <v>930000</v>
      </c>
      <c r="O335">
        <v>5</v>
      </c>
      <c r="P335">
        <f>IF(Table2[[#This Row],[Exp_Years]]&lt;0,ABS(Table2[[#This Row],[Exp_Years]]),Table2[[#This Row],[Exp_Years]])</f>
        <v>5</v>
      </c>
      <c r="Q335">
        <v>5</v>
      </c>
      <c r="S335">
        <f>IF(Table2[[#This Row],[Performance_Rating]]&gt;=3,Table2[[#This Row],[Monthly_Salary]]*0.3,"")</f>
        <v>23250</v>
      </c>
      <c r="T335">
        <v>80</v>
      </c>
      <c r="U335">
        <v>10</v>
      </c>
      <c r="V335">
        <v>5</v>
      </c>
      <c r="X335" t="s">
        <v>19</v>
      </c>
      <c r="Y335" t="str">
        <f>IF(Table2[[#This Row],[Work_Mode]]&lt;&gt;"",Table2[[#This Row],[Work_Mode]],
IF(ISNUMBER(SEARCH("India",Table2[[#This Row],[Emp_Name]])),"Office",
IF(ISNUMBER(SEARCH("Foreign",Table2[[#This Row],[Emp_Name]])),"Remote","")))</f>
        <v>Office</v>
      </c>
      <c r="Z335">
        <v>5</v>
      </c>
      <c r="AA33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335" t="s">
        <v>58</v>
      </c>
      <c r="AC335" t="str">
        <f>IF(COUNTIF(Table2[Emp_ID],Table2[[#This Row],[Emp_ID]])&gt;1,"Duplicate","Unique")</f>
        <v>Unique</v>
      </c>
      <c r="AE335" s="2"/>
      <c r="AG335" t="str">
        <f>IF(Table2[[#This Row],[Monthly_Salary]]="","Exclude",
IF(Table2[[#This Row],[Row_Status]]="Mismatch","Exclude",
IF(AND(Table2[[#This Row],[Row_Status]]="Exact Duplicate",
COUNTIFS(Table2[Emp_ID],Table2[[#This Row],[Emp_ID]],Table2[Row_Concat],Table2[[#This Row],[Row_Concat]],
Table2[Row_Number],"&lt;"&amp;Table2[[#This Row],[Row_Number]])&gt;=1),"Delete","")))</f>
        <v/>
      </c>
      <c r="AH335" t="str">
        <f>VLOOKUP(Table2[[#This Row],[Department]],Raw_2!A:B,2,0)</f>
        <v>Night</v>
      </c>
      <c r="AI335">
        <f>VLOOKUP(Table2[[#This Row],[Department]],Raw_2!A:C,3,0)</f>
        <v>13</v>
      </c>
    </row>
    <row r="336" spans="1:35">
      <c r="A336" t="s">
        <v>711</v>
      </c>
      <c r="B336" t="s">
        <v>712</v>
      </c>
      <c r="C336">
        <v>24</v>
      </c>
      <c r="D336" t="s">
        <v>16</v>
      </c>
      <c r="E336" t="str">
        <f>IF(OR(Table2[[#This Row],[Gender]]="Male",Table2[[#This Row],[Gender]]="M"),"M",
IF(OR(Table2[[#This Row],[Gender]]="Female",Table2[[#This Row],[Gender]]="F"),"F",""))</f>
        <v>M</v>
      </c>
      <c r="F336" t="s">
        <v>26</v>
      </c>
      <c r="G336" t="s">
        <v>27</v>
      </c>
      <c r="H336" t="s">
        <v>43</v>
      </c>
      <c r="I336" t="s">
        <v>1060</v>
      </c>
      <c r="J336" t="str">
        <f>IF(ISNUMBER(SEARCH("India",Table2[[#This Row],[Emp_Name]])),"INR",
IF(ISNUMBER(SEARCH("Foreign",Table2[[#This Row],[Emp_Name]])),Table2[[#This Row],[Currency]],Table2[[#This Row],[Currency]]))</f>
        <v>INR</v>
      </c>
      <c r="K336">
        <v>28000</v>
      </c>
      <c r="L336">
        <v>12</v>
      </c>
      <c r="M336">
        <f>IF(Table2[[#This Row],[Num_Month]]&lt;&gt;12,12,Table2[[#This Row],[Num_Month]])</f>
        <v>12</v>
      </c>
      <c r="N336">
        <f>IF(Table2[[#This Row],[Monthly_Salary]]="","",Table2[[#This Row],[Monthly_Salary]]*Table2[[#This Row],[Num_Month_Final]])</f>
        <v>336000</v>
      </c>
      <c r="O336">
        <v>2</v>
      </c>
      <c r="P336">
        <f>IF(Table2[[#This Row],[Exp_Years]]&lt;0,ABS(Table2[[#This Row],[Exp_Years]]),Table2[[#This Row],[Exp_Years]])</f>
        <v>2</v>
      </c>
      <c r="Q336">
        <v>1</v>
      </c>
      <c r="S336" t="str">
        <f>IF(Table2[[#This Row],[Performance_Rating]]&gt;=3,Table2[[#This Row],[Monthly_Salary]]*0.3,"")</f>
        <v/>
      </c>
      <c r="T336">
        <v>90</v>
      </c>
      <c r="U336">
        <v>15</v>
      </c>
      <c r="V336">
        <v>11</v>
      </c>
      <c r="X336" t="s">
        <v>38</v>
      </c>
      <c r="Y336" t="str">
        <f>IF(Table2[[#This Row],[Work_Mode]]&lt;&gt;"",Table2[[#This Row],[Work_Mode]],
IF(ISNUMBER(SEARCH("India",Table2[[#This Row],[Emp_Name]])),"Office",
IF(ISNUMBER(SEARCH("Foreign",Table2[[#This Row],[Emp_Name]])),"Remote","")))</f>
        <v>Hybrid</v>
      </c>
      <c r="Z336">
        <v>10</v>
      </c>
      <c r="AA33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336" t="s">
        <v>39</v>
      </c>
      <c r="AC336" t="str">
        <f>IF(COUNTIF(Table2[Emp_ID],Table2[[#This Row],[Emp_ID]])&gt;1,"Duplicate","Unique")</f>
        <v>Unique</v>
      </c>
      <c r="AE336" s="2"/>
      <c r="AG336" t="str">
        <f>IF(Table2[[#This Row],[Monthly_Salary]]="","Exclude",
IF(Table2[[#This Row],[Row_Status]]="Mismatch","Exclude",
IF(AND(Table2[[#This Row],[Row_Status]]="Exact Duplicate",
COUNTIFS(Table2[Emp_ID],Table2[[#This Row],[Emp_ID]],Table2[Row_Concat],Table2[[#This Row],[Row_Concat]],
Table2[Row_Number],"&lt;"&amp;Table2[[#This Row],[Row_Number]])&gt;=1),"Delete","")))</f>
        <v/>
      </c>
      <c r="AH336" t="str">
        <f>VLOOKUP(Table2[[#This Row],[Department]],Raw_2!A:B,2,0)</f>
        <v>Day</v>
      </c>
      <c r="AI336">
        <f>VLOOKUP(Table2[[#This Row],[Department]],Raw_2!A:C,3,0)</f>
        <v>12</v>
      </c>
    </row>
    <row r="337" spans="1:35">
      <c r="A337" t="s">
        <v>713</v>
      </c>
      <c r="B337" t="s">
        <v>714</v>
      </c>
      <c r="C337">
        <v>25</v>
      </c>
      <c r="D337" t="s">
        <v>34</v>
      </c>
      <c r="E337" t="str">
        <f>IF(OR(Table2[[#This Row],[Gender]]="Male",Table2[[#This Row],[Gender]]="M"),"M",
IF(OR(Table2[[#This Row],[Gender]]="Female",Table2[[#This Row],[Gender]]="F"),"F",""))</f>
        <v>F</v>
      </c>
      <c r="F337" t="s">
        <v>26</v>
      </c>
      <c r="G337" t="s">
        <v>42</v>
      </c>
      <c r="H337" t="s">
        <v>1048</v>
      </c>
      <c r="I337" t="s">
        <v>1060</v>
      </c>
      <c r="J337" t="str">
        <f>IF(ISNUMBER(SEARCH("India",Table2[[#This Row],[Emp_Name]])),"INR",
IF(ISNUMBER(SEARCH("Foreign",Table2[[#This Row],[Emp_Name]])),Table2[[#This Row],[Currency]],Table2[[#This Row],[Currency]]))</f>
        <v>INR</v>
      </c>
      <c r="K337">
        <v>65000</v>
      </c>
      <c r="L337">
        <v>12</v>
      </c>
      <c r="M337">
        <f>IF(Table2[[#This Row],[Num_Month]]&lt;&gt;12,12,Table2[[#This Row],[Num_Month]])</f>
        <v>12</v>
      </c>
      <c r="N337">
        <f>IF(Table2[[#This Row],[Monthly_Salary]]="","",Table2[[#This Row],[Monthly_Salary]]*Table2[[#This Row],[Num_Month_Final]])</f>
        <v>780000</v>
      </c>
      <c r="O337">
        <v>5</v>
      </c>
      <c r="P337">
        <f>IF(Table2[[#This Row],[Exp_Years]]&lt;0,ABS(Table2[[#This Row],[Exp_Years]]),Table2[[#This Row],[Exp_Years]])</f>
        <v>5</v>
      </c>
      <c r="Q337">
        <v>4</v>
      </c>
      <c r="R337">
        <v>24000</v>
      </c>
      <c r="S337">
        <f>IF(Table2[[#This Row],[Performance_Rating]]&gt;=3,Table2[[#This Row],[Monthly_Salary]]*0.3,"")</f>
        <v>19500</v>
      </c>
      <c r="T337">
        <v>90</v>
      </c>
      <c r="U337">
        <v>10</v>
      </c>
      <c r="V337">
        <v>3</v>
      </c>
      <c r="W337" t="s">
        <v>37</v>
      </c>
      <c r="X337" t="s">
        <v>28</v>
      </c>
      <c r="Y337" t="str">
        <f>IF(Table2[[#This Row],[Work_Mode]]&lt;&gt;"",Table2[[#This Row],[Work_Mode]],
IF(ISNUMBER(SEARCH("India",Table2[[#This Row],[Emp_Name]])),"Office",
IF(ISNUMBER(SEARCH("Foreign",Table2[[#This Row],[Emp_Name]])),"Remote","")))</f>
        <v>Remote</v>
      </c>
      <c r="Z337">
        <v>5</v>
      </c>
      <c r="AA33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337" t="s">
        <v>22</v>
      </c>
      <c r="AC337" t="str">
        <f>IF(COUNTIF(Table2[Emp_ID],Table2[[#This Row],[Emp_ID]])&gt;1,"Duplicate","Unique")</f>
        <v>Unique</v>
      </c>
      <c r="AE337" s="2"/>
      <c r="AG337" t="str">
        <f>IF(Table2[[#This Row],[Monthly_Salary]]="","Exclude",
IF(Table2[[#This Row],[Row_Status]]="Mismatch","Exclude",
IF(AND(Table2[[#This Row],[Row_Status]]="Exact Duplicate",
COUNTIFS(Table2[Emp_ID],Table2[[#This Row],[Emp_ID]],Table2[Row_Concat],Table2[[#This Row],[Row_Concat]],
Table2[Row_Number],"&lt;"&amp;Table2[[#This Row],[Row_Number]])&gt;=1),"Delete","")))</f>
        <v/>
      </c>
      <c r="AH337" t="str">
        <f>VLOOKUP(Table2[[#This Row],[Department]],Raw_2!A:B,2,0)</f>
        <v>Day</v>
      </c>
      <c r="AI337">
        <f>VLOOKUP(Table2[[#This Row],[Department]],Raw_2!A:C,3,0)</f>
        <v>14</v>
      </c>
    </row>
    <row r="338" spans="1:35">
      <c r="A338" t="s">
        <v>715</v>
      </c>
      <c r="B338" t="s">
        <v>716</v>
      </c>
      <c r="C338">
        <v>25</v>
      </c>
      <c r="D338" t="s">
        <v>16</v>
      </c>
      <c r="E338" t="str">
        <f>IF(OR(Table2[[#This Row],[Gender]]="Male",Table2[[#This Row],[Gender]]="M"),"M",
IF(OR(Table2[[#This Row],[Gender]]="Female",Table2[[#This Row],[Gender]]="F"),"F",""))</f>
        <v>M</v>
      </c>
      <c r="F338" t="s">
        <v>65</v>
      </c>
      <c r="G338" t="s">
        <v>31</v>
      </c>
      <c r="H338" t="s">
        <v>43</v>
      </c>
      <c r="I338" t="s">
        <v>1060</v>
      </c>
      <c r="J338" t="str">
        <f>IF(ISNUMBER(SEARCH("India",Table2[[#This Row],[Emp_Name]])),"INR",
IF(ISNUMBER(SEARCH("Foreign",Table2[[#This Row],[Emp_Name]])),Table2[[#This Row],[Currency]],Table2[[#This Row],[Currency]]))</f>
        <v>INR</v>
      </c>
      <c r="K338">
        <v>24000</v>
      </c>
      <c r="L338">
        <v>12</v>
      </c>
      <c r="M338">
        <f>IF(Table2[[#This Row],[Num_Month]]&lt;&gt;12,12,Table2[[#This Row],[Num_Month]])</f>
        <v>12</v>
      </c>
      <c r="N338">
        <f>IF(Table2[[#This Row],[Monthly_Salary]]="","",Table2[[#This Row],[Monthly_Salary]]*Table2[[#This Row],[Num_Month_Final]])</f>
        <v>288000</v>
      </c>
      <c r="O338">
        <v>1</v>
      </c>
      <c r="P338">
        <f>IF(Table2[[#This Row],[Exp_Years]]&lt;0,ABS(Table2[[#This Row],[Exp_Years]]),Table2[[#This Row],[Exp_Years]])</f>
        <v>1</v>
      </c>
      <c r="Q338">
        <v>1</v>
      </c>
      <c r="S338" t="str">
        <f>IF(Table2[[#This Row],[Performance_Rating]]&gt;=3,Table2[[#This Row],[Monthly_Salary]]*0.3,"")</f>
        <v/>
      </c>
      <c r="T338">
        <v>90</v>
      </c>
      <c r="U338">
        <v>5</v>
      </c>
      <c r="V338">
        <v>3</v>
      </c>
      <c r="W338" t="s">
        <v>21</v>
      </c>
      <c r="X338" t="s">
        <v>38</v>
      </c>
      <c r="Y338" t="str">
        <f>IF(Table2[[#This Row],[Work_Mode]]&lt;&gt;"",Table2[[#This Row],[Work_Mode]],
IF(ISNUMBER(SEARCH("India",Table2[[#This Row],[Emp_Name]])),"Office",
IF(ISNUMBER(SEARCH("Foreign",Table2[[#This Row],[Emp_Name]])),"Remote","")))</f>
        <v>Hybrid</v>
      </c>
      <c r="Z338">
        <v>5</v>
      </c>
      <c r="AA33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38" t="s">
        <v>39</v>
      </c>
      <c r="AC338" t="str">
        <f>IF(COUNTIF(Table2[Emp_ID],Table2[[#This Row],[Emp_ID]])&gt;1,"Duplicate","Unique")</f>
        <v>Unique</v>
      </c>
      <c r="AE338" s="2"/>
      <c r="AG338" t="str">
        <f>IF(Table2[[#This Row],[Monthly_Salary]]="","Exclude",
IF(Table2[[#This Row],[Row_Status]]="Mismatch","Exclude",
IF(AND(Table2[[#This Row],[Row_Status]]="Exact Duplicate",
COUNTIFS(Table2[Emp_ID],Table2[[#This Row],[Emp_ID]],Table2[Row_Concat],Table2[[#This Row],[Row_Concat]],
Table2[Row_Number],"&lt;"&amp;Table2[[#This Row],[Row_Number]])&gt;=1),"Delete","")))</f>
        <v/>
      </c>
      <c r="AH338" t="str">
        <f>VLOOKUP(Table2[[#This Row],[Department]],Raw_2!A:B,2,0)</f>
        <v>Night</v>
      </c>
      <c r="AI338">
        <f>VLOOKUP(Table2[[#This Row],[Department]],Raw_2!A:C,3,0)</f>
        <v>13</v>
      </c>
    </row>
    <row r="339" spans="1:35">
      <c r="A339" t="s">
        <v>717</v>
      </c>
      <c r="B339" t="s">
        <v>718</v>
      </c>
      <c r="C339">
        <v>24</v>
      </c>
      <c r="D339" t="s">
        <v>46</v>
      </c>
      <c r="E339" t="str">
        <f>IF(OR(Table2[[#This Row],[Gender]]="Male",Table2[[#This Row],[Gender]]="M"),"M",
IF(OR(Table2[[#This Row],[Gender]]="Female",Table2[[#This Row],[Gender]]="F"),"F",""))</f>
        <v>M</v>
      </c>
      <c r="F339" t="s">
        <v>73</v>
      </c>
      <c r="G339" t="s">
        <v>31</v>
      </c>
      <c r="H339" t="s">
        <v>1045</v>
      </c>
      <c r="I339" t="s">
        <v>1060</v>
      </c>
      <c r="J339" t="str">
        <f>IF(ISNUMBER(SEARCH("India",Table2[[#This Row],[Emp_Name]])),"INR",
IF(ISNUMBER(SEARCH("Foreign",Table2[[#This Row],[Emp_Name]])),Table2[[#This Row],[Currency]],Table2[[#This Row],[Currency]]))</f>
        <v>INR</v>
      </c>
      <c r="K339">
        <v>73000</v>
      </c>
      <c r="L339">
        <v>12</v>
      </c>
      <c r="M339">
        <f>IF(Table2[[#This Row],[Num_Month]]&lt;&gt;12,12,Table2[[#This Row],[Num_Month]])</f>
        <v>12</v>
      </c>
      <c r="N339">
        <f>IF(Table2[[#This Row],[Monthly_Salary]]="","",Table2[[#This Row],[Monthly_Salary]]*Table2[[#This Row],[Num_Month_Final]])</f>
        <v>876000</v>
      </c>
      <c r="O339">
        <v>5</v>
      </c>
      <c r="P339">
        <f>IF(Table2[[#This Row],[Exp_Years]]&lt;0,ABS(Table2[[#This Row],[Exp_Years]]),Table2[[#This Row],[Exp_Years]])</f>
        <v>5</v>
      </c>
      <c r="Q339">
        <v>4</v>
      </c>
      <c r="R339">
        <v>10871</v>
      </c>
      <c r="S339">
        <f>IF(Table2[[#This Row],[Performance_Rating]]&gt;=3,Table2[[#This Row],[Monthly_Salary]]*0.3,"")</f>
        <v>21900</v>
      </c>
      <c r="T339">
        <v>95</v>
      </c>
      <c r="U339">
        <v>13</v>
      </c>
      <c r="V339">
        <v>1</v>
      </c>
      <c r="W339" t="s">
        <v>21</v>
      </c>
      <c r="X339" t="s">
        <v>19</v>
      </c>
      <c r="Y339" t="str">
        <f>IF(Table2[[#This Row],[Work_Mode]]&lt;&gt;"",Table2[[#This Row],[Work_Mode]],
IF(ISNUMBER(SEARCH("India",Table2[[#This Row],[Emp_Name]])),"Office",
IF(ISNUMBER(SEARCH("Foreign",Table2[[#This Row],[Emp_Name]])),"Remote","")))</f>
        <v>Office</v>
      </c>
      <c r="Z339">
        <v>5</v>
      </c>
      <c r="AA33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339" t="s">
        <v>22</v>
      </c>
      <c r="AC339" t="str">
        <f>IF(COUNTIF(Table2[Emp_ID],Table2[[#This Row],[Emp_ID]])&gt;1,"Duplicate","Unique")</f>
        <v>Unique</v>
      </c>
      <c r="AE339" s="2"/>
      <c r="AG339" t="str">
        <f>IF(Table2[[#This Row],[Monthly_Salary]]="","Exclude",
IF(Table2[[#This Row],[Row_Status]]="Mismatch","Exclude",
IF(AND(Table2[[#This Row],[Row_Status]]="Exact Duplicate",
COUNTIFS(Table2[Emp_ID],Table2[[#This Row],[Emp_ID]],Table2[Row_Concat],Table2[[#This Row],[Row_Concat]],
Table2[Row_Number],"&lt;"&amp;Table2[[#This Row],[Row_Number]])&gt;=1),"Delete","")))</f>
        <v/>
      </c>
      <c r="AH339" t="str">
        <f>VLOOKUP(Table2[[#This Row],[Department]],Raw_2!A:B,2,0)</f>
        <v>Night</v>
      </c>
      <c r="AI339">
        <f>VLOOKUP(Table2[[#This Row],[Department]],Raw_2!A:C,3,0)</f>
        <v>13</v>
      </c>
    </row>
    <row r="340" spans="1:35">
      <c r="A340" t="s">
        <v>719</v>
      </c>
      <c r="B340" t="s">
        <v>720</v>
      </c>
      <c r="C340">
        <v>23</v>
      </c>
      <c r="D340" t="s">
        <v>25</v>
      </c>
      <c r="E340" t="str">
        <f>IF(OR(Table2[[#This Row],[Gender]]="Male",Table2[[#This Row],[Gender]]="M"),"M",
IF(OR(Table2[[#This Row],[Gender]]="Female",Table2[[#This Row],[Gender]]="F"),"F",""))</f>
        <v>F</v>
      </c>
      <c r="F340" t="s">
        <v>26</v>
      </c>
      <c r="G340" t="s">
        <v>27</v>
      </c>
      <c r="H340" t="s">
        <v>43</v>
      </c>
      <c r="I340" t="s">
        <v>1059</v>
      </c>
      <c r="J340" t="str">
        <f>IF(ISNUMBER(SEARCH("India",Table2[[#This Row],[Emp_Name]])),"INR",
IF(ISNUMBER(SEARCH("Foreign",Table2[[#This Row],[Emp_Name]])),Table2[[#This Row],[Currency]],Table2[[#This Row],[Currency]]))</f>
        <v>USD</v>
      </c>
      <c r="K340">
        <v>28000</v>
      </c>
      <c r="L340">
        <v>12</v>
      </c>
      <c r="M340">
        <f>IF(Table2[[#This Row],[Num_Month]]&lt;&gt;12,12,Table2[[#This Row],[Num_Month]])</f>
        <v>12</v>
      </c>
      <c r="N340">
        <f>IF(Table2[[#This Row],[Monthly_Salary]]="","",Table2[[#This Row],[Monthly_Salary]]*Table2[[#This Row],[Num_Month_Final]])</f>
        <v>336000</v>
      </c>
      <c r="O340">
        <v>2</v>
      </c>
      <c r="P340">
        <f>IF(Table2[[#This Row],[Exp_Years]]&lt;0,ABS(Table2[[#This Row],[Exp_Years]]),Table2[[#This Row],[Exp_Years]])</f>
        <v>2</v>
      </c>
      <c r="Q340">
        <v>2</v>
      </c>
      <c r="S340" t="str">
        <f>IF(Table2[[#This Row],[Performance_Rating]]&gt;=3,Table2[[#This Row],[Monthly_Salary]]*0.3,"")</f>
        <v/>
      </c>
      <c r="T340">
        <v>85</v>
      </c>
      <c r="U340">
        <v>5</v>
      </c>
      <c r="V340">
        <v>2</v>
      </c>
      <c r="X340" t="s">
        <v>28</v>
      </c>
      <c r="Y340" t="str">
        <f>IF(Table2[[#This Row],[Work_Mode]]&lt;&gt;"",Table2[[#This Row],[Work_Mode]],
IF(ISNUMBER(SEARCH("India",Table2[[#This Row],[Emp_Name]])),"Office",
IF(ISNUMBER(SEARCH("Foreign",Table2[[#This Row],[Emp_Name]])),"Remote","")))</f>
        <v>Remote</v>
      </c>
      <c r="Z340">
        <v>10</v>
      </c>
      <c r="AA34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340" t="s">
        <v>39</v>
      </c>
      <c r="AC340" t="str">
        <f>IF(COUNTIF(Table2[Emp_ID],Table2[[#This Row],[Emp_ID]])&gt;1,"Duplicate","Unique")</f>
        <v>Unique</v>
      </c>
      <c r="AE340" s="2"/>
      <c r="AG340" t="str">
        <f>IF(Table2[[#This Row],[Monthly_Salary]]="","Exclude",
IF(Table2[[#This Row],[Row_Status]]="Mismatch","Exclude",
IF(AND(Table2[[#This Row],[Row_Status]]="Exact Duplicate",
COUNTIFS(Table2[Emp_ID],Table2[[#This Row],[Emp_ID]],Table2[Row_Concat],Table2[[#This Row],[Row_Concat]],
Table2[Row_Number],"&lt;"&amp;Table2[[#This Row],[Row_Number]])&gt;=1),"Delete","")))</f>
        <v/>
      </c>
      <c r="AH340" t="str">
        <f>VLOOKUP(Table2[[#This Row],[Department]],Raw_2!A:B,2,0)</f>
        <v>Day</v>
      </c>
      <c r="AI340">
        <f>VLOOKUP(Table2[[#This Row],[Department]],Raw_2!A:C,3,0)</f>
        <v>12</v>
      </c>
    </row>
    <row r="341" spans="1:35">
      <c r="A341" t="s">
        <v>721</v>
      </c>
      <c r="B341" t="s">
        <v>722</v>
      </c>
      <c r="C341">
        <v>23</v>
      </c>
      <c r="D341" t="s">
        <v>25</v>
      </c>
      <c r="E341" t="str">
        <f>IF(OR(Table2[[#This Row],[Gender]]="Male",Table2[[#This Row],[Gender]]="M"),"M",
IF(OR(Table2[[#This Row],[Gender]]="Female",Table2[[#This Row],[Gender]]="F"),"F",""))</f>
        <v>F</v>
      </c>
      <c r="F341" t="s">
        <v>26</v>
      </c>
      <c r="G341" t="s">
        <v>18</v>
      </c>
      <c r="H341" t="s">
        <v>43</v>
      </c>
      <c r="I341" t="s">
        <v>1060</v>
      </c>
      <c r="J341" t="str">
        <f>IF(ISNUMBER(SEARCH("India",Table2[[#This Row],[Emp_Name]])),"INR",
IF(ISNUMBER(SEARCH("Foreign",Table2[[#This Row],[Emp_Name]])),Table2[[#This Row],[Currency]],Table2[[#This Row],[Currency]]))</f>
        <v>INR</v>
      </c>
      <c r="K341">
        <v>24000</v>
      </c>
      <c r="L341">
        <v>12</v>
      </c>
      <c r="M341">
        <f>IF(Table2[[#This Row],[Num_Month]]&lt;&gt;12,12,Table2[[#This Row],[Num_Month]])</f>
        <v>12</v>
      </c>
      <c r="N341">
        <f>IF(Table2[[#This Row],[Monthly_Salary]]="","",Table2[[#This Row],[Monthly_Salary]]*Table2[[#This Row],[Num_Month_Final]])</f>
        <v>288000</v>
      </c>
      <c r="O341">
        <v>1</v>
      </c>
      <c r="P341">
        <f>IF(Table2[[#This Row],[Exp_Years]]&lt;0,ABS(Table2[[#This Row],[Exp_Years]]),Table2[[#This Row],[Exp_Years]])</f>
        <v>1</v>
      </c>
      <c r="Q341">
        <v>1</v>
      </c>
      <c r="S341" t="str">
        <f>IF(Table2[[#This Row],[Performance_Rating]]&gt;=3,Table2[[#This Row],[Monthly_Salary]]*0.3,"")</f>
        <v/>
      </c>
      <c r="T341">
        <v>90</v>
      </c>
      <c r="U341">
        <v>15</v>
      </c>
      <c r="V341">
        <v>8</v>
      </c>
      <c r="X341" t="s">
        <v>38</v>
      </c>
      <c r="Y341" t="str">
        <f>IF(Table2[[#This Row],[Work_Mode]]&lt;&gt;"",Table2[[#This Row],[Work_Mode]],
IF(ISNUMBER(SEARCH("India",Table2[[#This Row],[Emp_Name]])),"Office",
IF(ISNUMBER(SEARCH("Foreign",Table2[[#This Row],[Emp_Name]])),"Remote","")))</f>
        <v>Hybrid</v>
      </c>
      <c r="Z341">
        <v>5</v>
      </c>
      <c r="AA34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41" t="s">
        <v>39</v>
      </c>
      <c r="AC341" t="str">
        <f>IF(COUNTIF(Table2[Emp_ID],Table2[[#This Row],[Emp_ID]])&gt;1,"Duplicate","Unique")</f>
        <v>Unique</v>
      </c>
      <c r="AE341" s="2"/>
      <c r="AG341" t="str">
        <f>IF(Table2[[#This Row],[Monthly_Salary]]="","Exclude",
IF(Table2[[#This Row],[Row_Status]]="Mismatch","Exclude",
IF(AND(Table2[[#This Row],[Row_Status]]="Exact Duplicate",
COUNTIFS(Table2[Emp_ID],Table2[[#This Row],[Emp_ID]],Table2[Row_Concat],Table2[[#This Row],[Row_Concat]],
Table2[Row_Number],"&lt;"&amp;Table2[[#This Row],[Row_Number]])&gt;=1),"Delete","")))</f>
        <v/>
      </c>
      <c r="AH341" t="str">
        <f>VLOOKUP(Table2[[#This Row],[Department]],Raw_2!A:B,2,0)</f>
        <v>Day</v>
      </c>
      <c r="AI341">
        <f>VLOOKUP(Table2[[#This Row],[Department]],Raw_2!A:C,3,0)</f>
        <v>10</v>
      </c>
    </row>
    <row r="342" spans="1:35">
      <c r="A342" t="s">
        <v>723</v>
      </c>
      <c r="B342" t="s">
        <v>724</v>
      </c>
      <c r="C342">
        <v>24</v>
      </c>
      <c r="D342" t="s">
        <v>34</v>
      </c>
      <c r="E342" t="str">
        <f>IF(OR(Table2[[#This Row],[Gender]]="Male",Table2[[#This Row],[Gender]]="M"),"M",
IF(OR(Table2[[#This Row],[Gender]]="Female",Table2[[#This Row],[Gender]]="F"),"F",""))</f>
        <v>F</v>
      </c>
      <c r="F342" t="s">
        <v>17</v>
      </c>
      <c r="G342" t="s">
        <v>31</v>
      </c>
      <c r="H342" t="s">
        <v>43</v>
      </c>
      <c r="I342" t="s">
        <v>1060</v>
      </c>
      <c r="J342" t="str">
        <f>IF(ISNUMBER(SEARCH("India",Table2[[#This Row],[Emp_Name]])),"INR",
IF(ISNUMBER(SEARCH("Foreign",Table2[[#This Row],[Emp_Name]])),Table2[[#This Row],[Currency]],Table2[[#This Row],[Currency]]))</f>
        <v>INR</v>
      </c>
      <c r="K342">
        <v>24000</v>
      </c>
      <c r="L342">
        <v>12</v>
      </c>
      <c r="M342">
        <f>IF(Table2[[#This Row],[Num_Month]]&lt;&gt;12,12,Table2[[#This Row],[Num_Month]])</f>
        <v>12</v>
      </c>
      <c r="N342">
        <f>IF(Table2[[#This Row],[Monthly_Salary]]="","",Table2[[#This Row],[Monthly_Salary]]*Table2[[#This Row],[Num_Month_Final]])</f>
        <v>288000</v>
      </c>
      <c r="O342">
        <v>1</v>
      </c>
      <c r="P342">
        <f>IF(Table2[[#This Row],[Exp_Years]]&lt;0,ABS(Table2[[#This Row],[Exp_Years]]),Table2[[#This Row],[Exp_Years]])</f>
        <v>1</v>
      </c>
      <c r="Q342">
        <v>2</v>
      </c>
      <c r="S342" t="str">
        <f>IF(Table2[[#This Row],[Performance_Rating]]&gt;=3,Table2[[#This Row],[Monthly_Salary]]*0.3,"")</f>
        <v/>
      </c>
      <c r="T342">
        <v>95</v>
      </c>
      <c r="U342">
        <v>10</v>
      </c>
      <c r="V342">
        <v>5</v>
      </c>
      <c r="W342" t="s">
        <v>21</v>
      </c>
      <c r="X342" t="s">
        <v>38</v>
      </c>
      <c r="Y342" t="str">
        <f>IF(Table2[[#This Row],[Work_Mode]]&lt;&gt;"",Table2[[#This Row],[Work_Mode]],
IF(ISNUMBER(SEARCH("India",Table2[[#This Row],[Emp_Name]])),"Office",
IF(ISNUMBER(SEARCH("Foreign",Table2[[#This Row],[Emp_Name]])),"Remote","")))</f>
        <v>Hybrid</v>
      </c>
      <c r="AA34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42" t="s">
        <v>39</v>
      </c>
      <c r="AC342" t="str">
        <f>IF(COUNTIF(Table2[Emp_ID],Table2[[#This Row],[Emp_ID]])&gt;1,"Duplicate","Unique")</f>
        <v>Unique</v>
      </c>
      <c r="AE342" s="2"/>
      <c r="AG342" t="str">
        <f>IF(Table2[[#This Row],[Monthly_Salary]]="","Exclude",
IF(Table2[[#This Row],[Row_Status]]="Mismatch","Exclude",
IF(AND(Table2[[#This Row],[Row_Status]]="Exact Duplicate",
COUNTIFS(Table2[Emp_ID],Table2[[#This Row],[Emp_ID]],Table2[Row_Concat],Table2[[#This Row],[Row_Concat]],
Table2[Row_Number],"&lt;"&amp;Table2[[#This Row],[Row_Number]])&gt;=1),"Delete","")))</f>
        <v/>
      </c>
      <c r="AH342" t="str">
        <f>VLOOKUP(Table2[[#This Row],[Department]],Raw_2!A:B,2,0)</f>
        <v>Night</v>
      </c>
      <c r="AI342">
        <f>VLOOKUP(Table2[[#This Row],[Department]],Raw_2!A:C,3,0)</f>
        <v>13</v>
      </c>
    </row>
    <row r="343" spans="1:35">
      <c r="A343" t="s">
        <v>725</v>
      </c>
      <c r="B343" t="s">
        <v>726</v>
      </c>
      <c r="C343">
        <v>25</v>
      </c>
      <c r="D343" t="s">
        <v>16</v>
      </c>
      <c r="E343" t="str">
        <f>IF(OR(Table2[[#This Row],[Gender]]="Male",Table2[[#This Row],[Gender]]="M"),"M",
IF(OR(Table2[[#This Row],[Gender]]="Female",Table2[[#This Row],[Gender]]="F"),"F",""))</f>
        <v>M</v>
      </c>
      <c r="F343" t="s">
        <v>73</v>
      </c>
      <c r="G343" t="s">
        <v>36</v>
      </c>
      <c r="H343" t="s">
        <v>1048</v>
      </c>
      <c r="I343" t="s">
        <v>1060</v>
      </c>
      <c r="J343" t="str">
        <f>IF(ISNUMBER(SEARCH("India",Table2[[#This Row],[Emp_Name]])),"INR",
IF(ISNUMBER(SEARCH("Foreign",Table2[[#This Row],[Emp_Name]])),Table2[[#This Row],[Currency]],Table2[[#This Row],[Currency]]))</f>
        <v>INR</v>
      </c>
      <c r="K343">
        <v>57000</v>
      </c>
      <c r="L343">
        <v>12</v>
      </c>
      <c r="M343">
        <f>IF(Table2[[#This Row],[Num_Month]]&lt;&gt;12,12,Table2[[#This Row],[Num_Month]])</f>
        <v>12</v>
      </c>
      <c r="N343">
        <f>IF(Table2[[#This Row],[Monthly_Salary]]="","",Table2[[#This Row],[Monthly_Salary]]*Table2[[#This Row],[Num_Month_Final]])</f>
        <v>684000</v>
      </c>
      <c r="O343">
        <v>3</v>
      </c>
      <c r="P343">
        <f>IF(Table2[[#This Row],[Exp_Years]]&lt;0,ABS(Table2[[#This Row],[Exp_Years]]),Table2[[#This Row],[Exp_Years]])</f>
        <v>3</v>
      </c>
      <c r="Q343">
        <v>4</v>
      </c>
      <c r="R343">
        <v>24000</v>
      </c>
      <c r="S343">
        <f>IF(Table2[[#This Row],[Performance_Rating]]&gt;=3,Table2[[#This Row],[Monthly_Salary]]*0.3,"")</f>
        <v>17100</v>
      </c>
      <c r="T343">
        <v>95</v>
      </c>
      <c r="U343">
        <v>5</v>
      </c>
      <c r="V343">
        <v>3</v>
      </c>
      <c r="W343" t="s">
        <v>37</v>
      </c>
      <c r="X343" t="s">
        <v>19</v>
      </c>
      <c r="Y343" t="str">
        <f>IF(Table2[[#This Row],[Work_Mode]]&lt;&gt;"",Table2[[#This Row],[Work_Mode]],
IF(ISNUMBER(SEARCH("India",Table2[[#This Row],[Emp_Name]])),"Office",
IF(ISNUMBER(SEARCH("Foreign",Table2[[#This Row],[Emp_Name]])),"Remote","")))</f>
        <v>Office</v>
      </c>
      <c r="Z343">
        <v>10</v>
      </c>
      <c r="AA34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343" t="s">
        <v>58</v>
      </c>
      <c r="AC343" t="str">
        <f>IF(COUNTIF(Table2[Emp_ID],Table2[[#This Row],[Emp_ID]])&gt;1,"Duplicate","Unique")</f>
        <v>Unique</v>
      </c>
      <c r="AE343" s="2"/>
      <c r="AG343" t="str">
        <f>IF(Table2[[#This Row],[Monthly_Salary]]="","Exclude",
IF(Table2[[#This Row],[Row_Status]]="Mismatch","Exclude",
IF(AND(Table2[[#This Row],[Row_Status]]="Exact Duplicate",
COUNTIFS(Table2[Emp_ID],Table2[[#This Row],[Emp_ID]],Table2[Row_Concat],Table2[[#This Row],[Row_Concat]],
Table2[Row_Number],"&lt;"&amp;Table2[[#This Row],[Row_Number]])&gt;=1),"Delete","")))</f>
        <v/>
      </c>
      <c r="AH343" t="str">
        <f>VLOOKUP(Table2[[#This Row],[Department]],Raw_2!A:B,2,0)</f>
        <v>Day</v>
      </c>
      <c r="AI343">
        <f>VLOOKUP(Table2[[#This Row],[Department]],Raw_2!A:C,3,0)</f>
        <v>25</v>
      </c>
    </row>
    <row r="344" spans="1:35">
      <c r="A344" t="s">
        <v>727</v>
      </c>
      <c r="B344" t="s">
        <v>728</v>
      </c>
      <c r="C344">
        <v>23</v>
      </c>
      <c r="D344" t="s">
        <v>46</v>
      </c>
      <c r="E344" t="str">
        <f>IF(OR(Table2[[#This Row],[Gender]]="Male",Table2[[#This Row],[Gender]]="M"),"M",
IF(OR(Table2[[#This Row],[Gender]]="Female",Table2[[#This Row],[Gender]]="F"),"F",""))</f>
        <v>M</v>
      </c>
      <c r="F344" t="s">
        <v>73</v>
      </c>
      <c r="G344" t="s">
        <v>36</v>
      </c>
      <c r="H344" t="s">
        <v>43</v>
      </c>
      <c r="I344" t="s">
        <v>1060</v>
      </c>
      <c r="J344" t="str">
        <f>IF(ISNUMBER(SEARCH("India",Table2[[#This Row],[Emp_Name]])),"INR",
IF(ISNUMBER(SEARCH("Foreign",Table2[[#This Row],[Emp_Name]])),Table2[[#This Row],[Currency]],Table2[[#This Row],[Currency]]))</f>
        <v>INR</v>
      </c>
      <c r="K344">
        <v>24000</v>
      </c>
      <c r="L344">
        <v>12</v>
      </c>
      <c r="M344">
        <f>IF(Table2[[#This Row],[Num_Month]]&lt;&gt;12,12,Table2[[#This Row],[Num_Month]])</f>
        <v>12</v>
      </c>
      <c r="N344">
        <f>IF(Table2[[#This Row],[Monthly_Salary]]="","",Table2[[#This Row],[Monthly_Salary]]*Table2[[#This Row],[Num_Month_Final]])</f>
        <v>288000</v>
      </c>
      <c r="O344">
        <v>1</v>
      </c>
      <c r="P344">
        <f>IF(Table2[[#This Row],[Exp_Years]]&lt;0,ABS(Table2[[#This Row],[Exp_Years]]),Table2[[#This Row],[Exp_Years]])</f>
        <v>1</v>
      </c>
      <c r="Q344">
        <v>4</v>
      </c>
      <c r="R344">
        <v>16000</v>
      </c>
      <c r="S344">
        <f>IF(Table2[[#This Row],[Performance_Rating]]&gt;=3,Table2[[#This Row],[Monthly_Salary]]*0.3,"")</f>
        <v>7200</v>
      </c>
      <c r="T344">
        <v>95</v>
      </c>
      <c r="U344">
        <v>15</v>
      </c>
      <c r="V344">
        <v>11</v>
      </c>
      <c r="W344" t="s">
        <v>37</v>
      </c>
      <c r="X344" t="s">
        <v>38</v>
      </c>
      <c r="Y344" t="str">
        <f>IF(Table2[[#This Row],[Work_Mode]]&lt;&gt;"",Table2[[#This Row],[Work_Mode]],
IF(ISNUMBER(SEARCH("India",Table2[[#This Row],[Emp_Name]])),"Office",
IF(ISNUMBER(SEARCH("Foreign",Table2[[#This Row],[Emp_Name]])),"Remote","")))</f>
        <v>Hybrid</v>
      </c>
      <c r="AA34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44" t="s">
        <v>22</v>
      </c>
      <c r="AC344" t="str">
        <f>IF(COUNTIF(Table2[Emp_ID],Table2[[#This Row],[Emp_ID]])&gt;1,"Duplicate","Unique")</f>
        <v>Unique</v>
      </c>
      <c r="AE344" s="2"/>
      <c r="AG344" t="str">
        <f>IF(Table2[[#This Row],[Monthly_Salary]]="","Exclude",
IF(Table2[[#This Row],[Row_Status]]="Mismatch","Exclude",
IF(AND(Table2[[#This Row],[Row_Status]]="Exact Duplicate",
COUNTIFS(Table2[Emp_ID],Table2[[#This Row],[Emp_ID]],Table2[Row_Concat],Table2[[#This Row],[Row_Concat]],
Table2[Row_Number],"&lt;"&amp;Table2[[#This Row],[Row_Number]])&gt;=1),"Delete","")))</f>
        <v/>
      </c>
      <c r="AH344" t="str">
        <f>VLOOKUP(Table2[[#This Row],[Department]],Raw_2!A:B,2,0)</f>
        <v>Day</v>
      </c>
      <c r="AI344">
        <f>VLOOKUP(Table2[[#This Row],[Department]],Raw_2!A:C,3,0)</f>
        <v>25</v>
      </c>
    </row>
    <row r="345" spans="1:35">
      <c r="A345" t="s">
        <v>729</v>
      </c>
      <c r="B345" t="s">
        <v>730</v>
      </c>
      <c r="C345">
        <v>24</v>
      </c>
      <c r="D345" t="s">
        <v>25</v>
      </c>
      <c r="E345" t="str">
        <f>IF(OR(Table2[[#This Row],[Gender]]="Male",Table2[[#This Row],[Gender]]="M"),"M",
IF(OR(Table2[[#This Row],[Gender]]="Female",Table2[[#This Row],[Gender]]="F"),"F",""))</f>
        <v>F</v>
      </c>
      <c r="F345" t="s">
        <v>73</v>
      </c>
      <c r="G345" t="s">
        <v>31</v>
      </c>
      <c r="H345" t="s">
        <v>43</v>
      </c>
      <c r="I345" t="s">
        <v>1060</v>
      </c>
      <c r="J345" t="str">
        <f>IF(ISNUMBER(SEARCH("India",Table2[[#This Row],[Emp_Name]])),"INR",
IF(ISNUMBER(SEARCH("Foreign",Table2[[#This Row],[Emp_Name]])),Table2[[#This Row],[Currency]],Table2[[#This Row],[Currency]]))</f>
        <v>INR</v>
      </c>
      <c r="K345">
        <v>28000</v>
      </c>
      <c r="L345">
        <v>12</v>
      </c>
      <c r="M345">
        <f>IF(Table2[[#This Row],[Num_Month]]&lt;&gt;12,12,Table2[[#This Row],[Num_Month]])</f>
        <v>12</v>
      </c>
      <c r="N345">
        <f>IF(Table2[[#This Row],[Monthly_Salary]]="","",Table2[[#This Row],[Monthly_Salary]]*Table2[[#This Row],[Num_Month_Final]])</f>
        <v>336000</v>
      </c>
      <c r="O345">
        <v>2</v>
      </c>
      <c r="P345">
        <f>IF(Table2[[#This Row],[Exp_Years]]&lt;0,ABS(Table2[[#This Row],[Exp_Years]]),Table2[[#This Row],[Exp_Years]])</f>
        <v>2</v>
      </c>
      <c r="Q345">
        <v>1</v>
      </c>
      <c r="S345" t="str">
        <f>IF(Table2[[#This Row],[Performance_Rating]]&gt;=3,Table2[[#This Row],[Monthly_Salary]]*0.3,"")</f>
        <v/>
      </c>
      <c r="T345">
        <v>88</v>
      </c>
      <c r="U345">
        <v>5</v>
      </c>
      <c r="V345">
        <v>3</v>
      </c>
      <c r="W345" t="s">
        <v>21</v>
      </c>
      <c r="X345" t="s">
        <v>38</v>
      </c>
      <c r="Y345" t="str">
        <f>IF(Table2[[#This Row],[Work_Mode]]&lt;&gt;"",Table2[[#This Row],[Work_Mode]],
IF(ISNUMBER(SEARCH("India",Table2[[#This Row],[Emp_Name]])),"Office",
IF(ISNUMBER(SEARCH("Foreign",Table2[[#This Row],[Emp_Name]])),"Remote","")))</f>
        <v>Hybrid</v>
      </c>
      <c r="Z345">
        <v>10</v>
      </c>
      <c r="AA34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345" t="s">
        <v>39</v>
      </c>
      <c r="AC345" t="str">
        <f>IF(COUNTIF(Table2[Emp_ID],Table2[[#This Row],[Emp_ID]])&gt;1,"Duplicate","Unique")</f>
        <v>Unique</v>
      </c>
      <c r="AE345" s="2"/>
      <c r="AG345" t="str">
        <f>IF(Table2[[#This Row],[Monthly_Salary]]="","Exclude",
IF(Table2[[#This Row],[Row_Status]]="Mismatch","Exclude",
IF(AND(Table2[[#This Row],[Row_Status]]="Exact Duplicate",
COUNTIFS(Table2[Emp_ID],Table2[[#This Row],[Emp_ID]],Table2[Row_Concat],Table2[[#This Row],[Row_Concat]],
Table2[Row_Number],"&lt;"&amp;Table2[[#This Row],[Row_Number]])&gt;=1),"Delete","")))</f>
        <v/>
      </c>
      <c r="AH345" t="str">
        <f>VLOOKUP(Table2[[#This Row],[Department]],Raw_2!A:B,2,0)</f>
        <v>Night</v>
      </c>
      <c r="AI345">
        <f>VLOOKUP(Table2[[#This Row],[Department]],Raw_2!A:C,3,0)</f>
        <v>13</v>
      </c>
    </row>
    <row r="346" spans="1:35">
      <c r="A346" t="s">
        <v>731</v>
      </c>
      <c r="B346" t="s">
        <v>732</v>
      </c>
      <c r="C346">
        <v>23</v>
      </c>
      <c r="D346" t="s">
        <v>46</v>
      </c>
      <c r="E346" t="str">
        <f>IF(OR(Table2[[#This Row],[Gender]]="Male",Table2[[#This Row],[Gender]]="M"),"M",
IF(OR(Table2[[#This Row],[Gender]]="Female",Table2[[#This Row],[Gender]]="F"),"F",""))</f>
        <v>M</v>
      </c>
      <c r="F346" t="s">
        <v>47</v>
      </c>
      <c r="G346" t="s">
        <v>18</v>
      </c>
      <c r="H346" t="s">
        <v>43</v>
      </c>
      <c r="I346" t="s">
        <v>1060</v>
      </c>
      <c r="J346" t="str">
        <f>IF(ISNUMBER(SEARCH("India",Table2[[#This Row],[Emp_Name]])),"INR",
IF(ISNUMBER(SEARCH("Foreign",Table2[[#This Row],[Emp_Name]])),Table2[[#This Row],[Currency]],Table2[[#This Row],[Currency]]))</f>
        <v>INR</v>
      </c>
      <c r="K346">
        <v>24000</v>
      </c>
      <c r="L346">
        <v>12</v>
      </c>
      <c r="M346">
        <f>IF(Table2[[#This Row],[Num_Month]]&lt;&gt;12,12,Table2[[#This Row],[Num_Month]])</f>
        <v>12</v>
      </c>
      <c r="N346">
        <f>IF(Table2[[#This Row],[Monthly_Salary]]="","",Table2[[#This Row],[Monthly_Salary]]*Table2[[#This Row],[Num_Month_Final]])</f>
        <v>288000</v>
      </c>
      <c r="O346">
        <v>1</v>
      </c>
      <c r="P346">
        <f>IF(Table2[[#This Row],[Exp_Years]]&lt;0,ABS(Table2[[#This Row],[Exp_Years]]),Table2[[#This Row],[Exp_Years]])</f>
        <v>1</v>
      </c>
      <c r="Q346">
        <v>2</v>
      </c>
      <c r="S346" t="str">
        <f>IF(Table2[[#This Row],[Performance_Rating]]&gt;=3,Table2[[#This Row],[Monthly_Salary]]*0.3,"")</f>
        <v/>
      </c>
      <c r="T346">
        <v>88</v>
      </c>
      <c r="U346">
        <v>10</v>
      </c>
      <c r="V346">
        <v>2</v>
      </c>
      <c r="W346" t="s">
        <v>37</v>
      </c>
      <c r="X346" t="s">
        <v>38</v>
      </c>
      <c r="Y346" t="str">
        <f>IF(Table2[[#This Row],[Work_Mode]]&lt;&gt;"",Table2[[#This Row],[Work_Mode]],
IF(ISNUMBER(SEARCH("India",Table2[[#This Row],[Emp_Name]])),"Office",
IF(ISNUMBER(SEARCH("Foreign",Table2[[#This Row],[Emp_Name]])),"Remote","")))</f>
        <v>Hybrid</v>
      </c>
      <c r="AA34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46" t="s">
        <v>39</v>
      </c>
      <c r="AC346" t="str">
        <f>IF(COUNTIF(Table2[Emp_ID],Table2[[#This Row],[Emp_ID]])&gt;1,"Duplicate","Unique")</f>
        <v>Unique</v>
      </c>
      <c r="AE346" s="2"/>
      <c r="AG346" t="str">
        <f>IF(Table2[[#This Row],[Monthly_Salary]]="","Exclude",
IF(Table2[[#This Row],[Row_Status]]="Mismatch","Exclude",
IF(AND(Table2[[#This Row],[Row_Status]]="Exact Duplicate",
COUNTIFS(Table2[Emp_ID],Table2[[#This Row],[Emp_ID]],Table2[Row_Concat],Table2[[#This Row],[Row_Concat]],
Table2[Row_Number],"&lt;"&amp;Table2[[#This Row],[Row_Number]])&gt;=1),"Delete","")))</f>
        <v/>
      </c>
      <c r="AH346" t="str">
        <f>VLOOKUP(Table2[[#This Row],[Department]],Raw_2!A:B,2,0)</f>
        <v>Day</v>
      </c>
      <c r="AI346">
        <f>VLOOKUP(Table2[[#This Row],[Department]],Raw_2!A:C,3,0)</f>
        <v>10</v>
      </c>
    </row>
    <row r="347" spans="1:35">
      <c r="A347" t="s">
        <v>733</v>
      </c>
      <c r="B347" t="s">
        <v>734</v>
      </c>
      <c r="C347">
        <v>25</v>
      </c>
      <c r="E347" t="str">
        <f>IF(OR(Table2[[#This Row],[Gender]]="Male",Table2[[#This Row],[Gender]]="M"),"M",
IF(OR(Table2[[#This Row],[Gender]]="Female",Table2[[#This Row],[Gender]]="F"),"F",""))</f>
        <v/>
      </c>
      <c r="F347" t="s">
        <v>61</v>
      </c>
      <c r="G347" t="s">
        <v>31</v>
      </c>
      <c r="H347" t="s">
        <v>43</v>
      </c>
      <c r="I347" t="s">
        <v>1060</v>
      </c>
      <c r="J347" t="str">
        <f>IF(ISNUMBER(SEARCH("India",Table2[[#This Row],[Emp_Name]])),"INR",
IF(ISNUMBER(SEARCH("Foreign",Table2[[#This Row],[Emp_Name]])),Table2[[#This Row],[Currency]],Table2[[#This Row],[Currency]]))</f>
        <v>INR</v>
      </c>
      <c r="K347">
        <v>24000</v>
      </c>
      <c r="L347">
        <v>12</v>
      </c>
      <c r="M347">
        <f>IF(Table2[[#This Row],[Num_Month]]&lt;&gt;12,12,Table2[[#This Row],[Num_Month]])</f>
        <v>12</v>
      </c>
      <c r="N347">
        <f>IF(Table2[[#This Row],[Monthly_Salary]]="","",Table2[[#This Row],[Monthly_Salary]]*Table2[[#This Row],[Num_Month_Final]])</f>
        <v>288000</v>
      </c>
      <c r="O347">
        <v>1</v>
      </c>
      <c r="P347">
        <f>IF(Table2[[#This Row],[Exp_Years]]&lt;0,ABS(Table2[[#This Row],[Exp_Years]]),Table2[[#This Row],[Exp_Years]])</f>
        <v>1</v>
      </c>
      <c r="Q347">
        <v>1</v>
      </c>
      <c r="S347" t="str">
        <f>IF(Table2[[#This Row],[Performance_Rating]]&gt;=3,Table2[[#This Row],[Monthly_Salary]]*0.3,"")</f>
        <v/>
      </c>
      <c r="T347">
        <v>72</v>
      </c>
      <c r="U347">
        <v>13</v>
      </c>
      <c r="V347">
        <v>2</v>
      </c>
      <c r="W347" t="s">
        <v>21</v>
      </c>
      <c r="X347" t="s">
        <v>38</v>
      </c>
      <c r="Y347" t="str">
        <f>IF(Table2[[#This Row],[Work_Mode]]&lt;&gt;"",Table2[[#This Row],[Work_Mode]],
IF(ISNUMBER(SEARCH("India",Table2[[#This Row],[Emp_Name]])),"Office",
IF(ISNUMBER(SEARCH("Foreign",Table2[[#This Row],[Emp_Name]])),"Remote","")))</f>
        <v>Hybrid</v>
      </c>
      <c r="Z347">
        <v>5</v>
      </c>
      <c r="AA34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47" t="s">
        <v>39</v>
      </c>
      <c r="AC347" t="str">
        <f>IF(COUNTIF(Table2[Emp_ID],Table2[[#This Row],[Emp_ID]])&gt;1,"Duplicate","Unique")</f>
        <v>Unique</v>
      </c>
      <c r="AE347" s="2"/>
      <c r="AG347" t="str">
        <f>IF(Table2[[#This Row],[Monthly_Salary]]="","Exclude",
IF(Table2[[#This Row],[Row_Status]]="Mismatch","Exclude",
IF(AND(Table2[[#This Row],[Row_Status]]="Exact Duplicate",
COUNTIFS(Table2[Emp_ID],Table2[[#This Row],[Emp_ID]],Table2[Row_Concat],Table2[[#This Row],[Row_Concat]],
Table2[Row_Number],"&lt;"&amp;Table2[[#This Row],[Row_Number]])&gt;=1),"Delete","")))</f>
        <v/>
      </c>
      <c r="AH347" t="str">
        <f>VLOOKUP(Table2[[#This Row],[Department]],Raw_2!A:B,2,0)</f>
        <v>Night</v>
      </c>
      <c r="AI347">
        <f>VLOOKUP(Table2[[#This Row],[Department]],Raw_2!A:C,3,0)</f>
        <v>13</v>
      </c>
    </row>
    <row r="348" spans="1:35">
      <c r="A348" t="s">
        <v>735</v>
      </c>
      <c r="B348" t="s">
        <v>736</v>
      </c>
      <c r="C348">
        <v>25</v>
      </c>
      <c r="D348" t="s">
        <v>25</v>
      </c>
      <c r="E348" t="str">
        <f>IF(OR(Table2[[#This Row],[Gender]]="Male",Table2[[#This Row],[Gender]]="M"),"M",
IF(OR(Table2[[#This Row],[Gender]]="Female",Table2[[#This Row],[Gender]]="F"),"F",""))</f>
        <v>F</v>
      </c>
      <c r="F348" t="s">
        <v>35</v>
      </c>
      <c r="G348" t="s">
        <v>31</v>
      </c>
      <c r="H348" t="s">
        <v>43</v>
      </c>
      <c r="I348" t="s">
        <v>1060</v>
      </c>
      <c r="J348" t="str">
        <f>IF(ISNUMBER(SEARCH("India",Table2[[#This Row],[Emp_Name]])),"INR",
IF(ISNUMBER(SEARCH("Foreign",Table2[[#This Row],[Emp_Name]])),Table2[[#This Row],[Currency]],Table2[[#This Row],[Currency]]))</f>
        <v>INR</v>
      </c>
      <c r="K348">
        <v>28000</v>
      </c>
      <c r="L348">
        <v>12</v>
      </c>
      <c r="M348">
        <f>IF(Table2[[#This Row],[Num_Month]]&lt;&gt;12,12,Table2[[#This Row],[Num_Month]])</f>
        <v>12</v>
      </c>
      <c r="N348">
        <f>IF(Table2[[#This Row],[Monthly_Salary]]="","",Table2[[#This Row],[Monthly_Salary]]*Table2[[#This Row],[Num_Month_Final]])</f>
        <v>336000</v>
      </c>
      <c r="O348">
        <v>2</v>
      </c>
      <c r="P348">
        <f>IF(Table2[[#This Row],[Exp_Years]]&lt;0,ABS(Table2[[#This Row],[Exp_Years]]),Table2[[#This Row],[Exp_Years]])</f>
        <v>2</v>
      </c>
      <c r="Q348">
        <v>3</v>
      </c>
      <c r="R348">
        <v>11400</v>
      </c>
      <c r="S348">
        <f>IF(Table2[[#This Row],[Performance_Rating]]&gt;=3,Table2[[#This Row],[Monthly_Salary]]*0.3,"")</f>
        <v>8400</v>
      </c>
      <c r="T348">
        <v>95</v>
      </c>
      <c r="U348">
        <v>13</v>
      </c>
      <c r="V348">
        <v>2</v>
      </c>
      <c r="W348" t="s">
        <v>21</v>
      </c>
      <c r="X348" t="s">
        <v>38</v>
      </c>
      <c r="Y348" t="str">
        <f>IF(Table2[[#This Row],[Work_Mode]]&lt;&gt;"",Table2[[#This Row],[Work_Mode]],
IF(ISNUMBER(SEARCH("India",Table2[[#This Row],[Emp_Name]])),"Office",
IF(ISNUMBER(SEARCH("Foreign",Table2[[#This Row],[Emp_Name]])),"Remote","")))</f>
        <v>Hybrid</v>
      </c>
      <c r="Z348">
        <v>10</v>
      </c>
      <c r="AA34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348" t="s">
        <v>22</v>
      </c>
      <c r="AC348" t="str">
        <f>IF(COUNTIF(Table2[Emp_ID],Table2[[#This Row],[Emp_ID]])&gt;1,"Duplicate","Unique")</f>
        <v>Unique</v>
      </c>
      <c r="AE348" s="2"/>
      <c r="AG348" t="str">
        <f>IF(Table2[[#This Row],[Monthly_Salary]]="","Exclude",
IF(Table2[[#This Row],[Row_Status]]="Mismatch","Exclude",
IF(AND(Table2[[#This Row],[Row_Status]]="Exact Duplicate",
COUNTIFS(Table2[Emp_ID],Table2[[#This Row],[Emp_ID]],Table2[Row_Concat],Table2[[#This Row],[Row_Concat]],
Table2[Row_Number],"&lt;"&amp;Table2[[#This Row],[Row_Number]])&gt;=1),"Delete","")))</f>
        <v/>
      </c>
      <c r="AH348" t="str">
        <f>VLOOKUP(Table2[[#This Row],[Department]],Raw_2!A:B,2,0)</f>
        <v>Night</v>
      </c>
      <c r="AI348">
        <f>VLOOKUP(Table2[[#This Row],[Department]],Raw_2!A:C,3,0)</f>
        <v>13</v>
      </c>
    </row>
    <row r="349" spans="1:35">
      <c r="A349" t="s">
        <v>737</v>
      </c>
      <c r="B349" t="s">
        <v>738</v>
      </c>
      <c r="C349">
        <v>24</v>
      </c>
      <c r="D349" t="s">
        <v>34</v>
      </c>
      <c r="E349" t="str">
        <f>IF(OR(Table2[[#This Row],[Gender]]="Male",Table2[[#This Row],[Gender]]="M"),"M",
IF(OR(Table2[[#This Row],[Gender]]="Female",Table2[[#This Row],[Gender]]="F"),"F",""))</f>
        <v>F</v>
      </c>
      <c r="F349" t="s">
        <v>35</v>
      </c>
      <c r="G349" t="s">
        <v>66</v>
      </c>
      <c r="H349" t="s">
        <v>43</v>
      </c>
      <c r="I349" t="s">
        <v>1060</v>
      </c>
      <c r="J349" t="str">
        <f>IF(ISNUMBER(SEARCH("India",Table2[[#This Row],[Emp_Name]])),"INR",
IF(ISNUMBER(SEARCH("Foreign",Table2[[#This Row],[Emp_Name]])),Table2[[#This Row],[Currency]],Table2[[#This Row],[Currency]]))</f>
        <v>INR</v>
      </c>
      <c r="K349">
        <v>24000</v>
      </c>
      <c r="L349">
        <v>12</v>
      </c>
      <c r="M349">
        <f>IF(Table2[[#This Row],[Num_Month]]&lt;&gt;12,12,Table2[[#This Row],[Num_Month]])</f>
        <v>12</v>
      </c>
      <c r="N349">
        <f>IF(Table2[[#This Row],[Monthly_Salary]]="","",Table2[[#This Row],[Monthly_Salary]]*Table2[[#This Row],[Num_Month_Final]])</f>
        <v>288000</v>
      </c>
      <c r="O349">
        <v>1</v>
      </c>
      <c r="P349">
        <f>IF(Table2[[#This Row],[Exp_Years]]&lt;0,ABS(Table2[[#This Row],[Exp_Years]]),Table2[[#This Row],[Exp_Years]])</f>
        <v>1</v>
      </c>
      <c r="Q349">
        <v>4</v>
      </c>
      <c r="R349">
        <v>16000</v>
      </c>
      <c r="S349">
        <f>IF(Table2[[#This Row],[Performance_Rating]]&gt;=3,Table2[[#This Row],[Monthly_Salary]]*0.3,"")</f>
        <v>7200</v>
      </c>
      <c r="T349">
        <v>88</v>
      </c>
      <c r="U349">
        <v>10</v>
      </c>
      <c r="V349">
        <v>2</v>
      </c>
      <c r="X349" t="s">
        <v>38</v>
      </c>
      <c r="Y349" t="str">
        <f>IF(Table2[[#This Row],[Work_Mode]]&lt;&gt;"",Table2[[#This Row],[Work_Mode]],
IF(ISNUMBER(SEARCH("India",Table2[[#This Row],[Emp_Name]])),"Office",
IF(ISNUMBER(SEARCH("Foreign",Table2[[#This Row],[Emp_Name]])),"Remote","")))</f>
        <v>Hybrid</v>
      </c>
      <c r="Z349">
        <v>20</v>
      </c>
      <c r="AA34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349" t="s">
        <v>58</v>
      </c>
      <c r="AC349" t="str">
        <f>IF(COUNTIF(Table2[Emp_ID],Table2[[#This Row],[Emp_ID]])&gt;1,"Duplicate","Unique")</f>
        <v>Unique</v>
      </c>
      <c r="AE349" s="2"/>
      <c r="AG349" t="str">
        <f>IF(Table2[[#This Row],[Monthly_Salary]]="","Exclude",
IF(Table2[[#This Row],[Row_Status]]="Mismatch","Exclude",
IF(AND(Table2[[#This Row],[Row_Status]]="Exact Duplicate",
COUNTIFS(Table2[Emp_ID],Table2[[#This Row],[Emp_ID]],Table2[Row_Concat],Table2[[#This Row],[Row_Concat]],
Table2[Row_Number],"&lt;"&amp;Table2[[#This Row],[Row_Number]])&gt;=1),"Delete","")))</f>
        <v/>
      </c>
      <c r="AH349" t="str">
        <f>VLOOKUP(Table2[[#This Row],[Department]],Raw_2!A:B,2,0)</f>
        <v>Night</v>
      </c>
      <c r="AI349">
        <f>VLOOKUP(Table2[[#This Row],[Department]],Raw_2!A:C,3,0)</f>
        <v>20</v>
      </c>
    </row>
    <row r="350" spans="1:35">
      <c r="A350" t="s">
        <v>739</v>
      </c>
      <c r="B350" t="s">
        <v>740</v>
      </c>
      <c r="C350">
        <v>27</v>
      </c>
      <c r="D350" t="s">
        <v>16</v>
      </c>
      <c r="E350" t="str">
        <f>IF(OR(Table2[[#This Row],[Gender]]="Male",Table2[[#This Row],[Gender]]="M"),"M",
IF(OR(Table2[[#This Row],[Gender]]="Female",Table2[[#This Row],[Gender]]="F"),"F",""))</f>
        <v>M</v>
      </c>
      <c r="F350" t="s">
        <v>47</v>
      </c>
      <c r="G350" t="s">
        <v>42</v>
      </c>
      <c r="H350" t="s">
        <v>1048</v>
      </c>
      <c r="I350" t="s">
        <v>1060</v>
      </c>
      <c r="J350" t="str">
        <f>IF(ISNUMBER(SEARCH("India",Table2[[#This Row],[Emp_Name]])),"INR",
IF(ISNUMBER(SEARCH("Foreign",Table2[[#This Row],[Emp_Name]])),Table2[[#This Row],[Currency]],Table2[[#This Row],[Currency]]))</f>
        <v>INR</v>
      </c>
      <c r="K350">
        <v>60000</v>
      </c>
      <c r="L350">
        <v>12</v>
      </c>
      <c r="M350">
        <f>IF(Table2[[#This Row],[Num_Month]]&lt;&gt;12,12,Table2[[#This Row],[Num_Month]])</f>
        <v>12</v>
      </c>
      <c r="N350">
        <f>IF(Table2[[#This Row],[Monthly_Salary]]="","",Table2[[#This Row],[Monthly_Salary]]*Table2[[#This Row],[Num_Month_Final]])</f>
        <v>720000</v>
      </c>
      <c r="O350">
        <v>4</v>
      </c>
      <c r="P350">
        <f>IF(Table2[[#This Row],[Exp_Years]]&lt;0,ABS(Table2[[#This Row],[Exp_Years]]),Table2[[#This Row],[Exp_Years]])</f>
        <v>4</v>
      </c>
      <c r="Q350">
        <v>2</v>
      </c>
      <c r="S350" t="str">
        <f>IF(Table2[[#This Row],[Performance_Rating]]&gt;=3,Table2[[#This Row],[Monthly_Salary]]*0.3,"")</f>
        <v/>
      </c>
      <c r="T350">
        <v>85</v>
      </c>
      <c r="U350">
        <v>15</v>
      </c>
      <c r="V350">
        <v>3</v>
      </c>
      <c r="W350" t="s">
        <v>37</v>
      </c>
      <c r="X350" t="s">
        <v>19</v>
      </c>
      <c r="Y350" t="str">
        <f>IF(Table2[[#This Row],[Work_Mode]]&lt;&gt;"",Table2[[#This Row],[Work_Mode]],
IF(ISNUMBER(SEARCH("India",Table2[[#This Row],[Emp_Name]])),"Office",
IF(ISNUMBER(SEARCH("Foreign",Table2[[#This Row],[Emp_Name]])),"Remote","")))</f>
        <v>Office</v>
      </c>
      <c r="Z350">
        <v>20</v>
      </c>
      <c r="AA35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350" t="s">
        <v>39</v>
      </c>
      <c r="AC350" t="str">
        <f>IF(COUNTIF(Table2[Emp_ID],Table2[[#This Row],[Emp_ID]])&gt;1,"Duplicate","Unique")</f>
        <v>Unique</v>
      </c>
      <c r="AE350" s="2"/>
      <c r="AG350" t="str">
        <f>IF(Table2[[#This Row],[Monthly_Salary]]="","Exclude",
IF(Table2[[#This Row],[Row_Status]]="Mismatch","Exclude",
IF(AND(Table2[[#This Row],[Row_Status]]="Exact Duplicate",
COUNTIFS(Table2[Emp_ID],Table2[[#This Row],[Emp_ID]],Table2[Row_Concat],Table2[[#This Row],[Row_Concat]],
Table2[Row_Number],"&lt;"&amp;Table2[[#This Row],[Row_Number]])&gt;=1),"Delete","")))</f>
        <v/>
      </c>
      <c r="AH350" t="str">
        <f>VLOOKUP(Table2[[#This Row],[Department]],Raw_2!A:B,2,0)</f>
        <v>Day</v>
      </c>
      <c r="AI350">
        <f>VLOOKUP(Table2[[#This Row],[Department]],Raw_2!A:C,3,0)</f>
        <v>14</v>
      </c>
    </row>
    <row r="351" spans="1:35">
      <c r="A351" t="s">
        <v>741</v>
      </c>
      <c r="B351" t="s">
        <v>742</v>
      </c>
      <c r="C351">
        <v>24</v>
      </c>
      <c r="D351" t="s">
        <v>34</v>
      </c>
      <c r="E351" t="str">
        <f>IF(OR(Table2[[#This Row],[Gender]]="Male",Table2[[#This Row],[Gender]]="M"),"M",
IF(OR(Table2[[#This Row],[Gender]]="Female",Table2[[#This Row],[Gender]]="F"),"F",""))</f>
        <v>F</v>
      </c>
      <c r="F351" t="s">
        <v>50</v>
      </c>
      <c r="G351" t="s">
        <v>31</v>
      </c>
      <c r="H351" t="s">
        <v>43</v>
      </c>
      <c r="I351" t="s">
        <v>1060</v>
      </c>
      <c r="J351" t="str">
        <f>IF(ISNUMBER(SEARCH("India",Table2[[#This Row],[Emp_Name]])),"INR",
IF(ISNUMBER(SEARCH("Foreign",Table2[[#This Row],[Emp_Name]])),Table2[[#This Row],[Currency]],Table2[[#This Row],[Currency]]))</f>
        <v>INR</v>
      </c>
      <c r="K351">
        <v>24000</v>
      </c>
      <c r="L351">
        <v>12</v>
      </c>
      <c r="M351">
        <f>IF(Table2[[#This Row],[Num_Month]]&lt;&gt;12,12,Table2[[#This Row],[Num_Month]])</f>
        <v>12</v>
      </c>
      <c r="N351">
        <f>IF(Table2[[#This Row],[Monthly_Salary]]="","",Table2[[#This Row],[Monthly_Salary]]*Table2[[#This Row],[Num_Month_Final]])</f>
        <v>288000</v>
      </c>
      <c r="O351">
        <v>1</v>
      </c>
      <c r="P351">
        <f>IF(Table2[[#This Row],[Exp_Years]]&lt;0,ABS(Table2[[#This Row],[Exp_Years]]),Table2[[#This Row],[Exp_Years]])</f>
        <v>1</v>
      </c>
      <c r="Q351">
        <v>3</v>
      </c>
      <c r="R351">
        <v>13400</v>
      </c>
      <c r="S351">
        <f>IF(Table2[[#This Row],[Performance_Rating]]&gt;=3,Table2[[#This Row],[Monthly_Salary]]*0.3,"")</f>
        <v>7200</v>
      </c>
      <c r="T351">
        <v>90</v>
      </c>
      <c r="U351">
        <v>15</v>
      </c>
      <c r="V351">
        <v>7</v>
      </c>
      <c r="X351" t="s">
        <v>38</v>
      </c>
      <c r="Y351" t="str">
        <f>IF(Table2[[#This Row],[Work_Mode]]&lt;&gt;"",Table2[[#This Row],[Work_Mode]],
IF(ISNUMBER(SEARCH("India",Table2[[#This Row],[Emp_Name]])),"Office",
IF(ISNUMBER(SEARCH("Foreign",Table2[[#This Row],[Emp_Name]])),"Remote","")))</f>
        <v>Hybrid</v>
      </c>
      <c r="Z351">
        <v>5</v>
      </c>
      <c r="AA35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51" t="s">
        <v>22</v>
      </c>
      <c r="AC351" t="str">
        <f>IF(COUNTIF(Table2[Emp_ID],Table2[[#This Row],[Emp_ID]])&gt;1,"Duplicate","Unique")</f>
        <v>Unique</v>
      </c>
      <c r="AE351" s="2"/>
      <c r="AG351" t="str">
        <f>IF(Table2[[#This Row],[Monthly_Salary]]="","Exclude",
IF(Table2[[#This Row],[Row_Status]]="Mismatch","Exclude",
IF(AND(Table2[[#This Row],[Row_Status]]="Exact Duplicate",
COUNTIFS(Table2[Emp_ID],Table2[[#This Row],[Emp_ID]],Table2[Row_Concat],Table2[[#This Row],[Row_Concat]],
Table2[Row_Number],"&lt;"&amp;Table2[[#This Row],[Row_Number]])&gt;=1),"Delete","")))</f>
        <v/>
      </c>
      <c r="AH351" t="str">
        <f>VLOOKUP(Table2[[#This Row],[Department]],Raw_2!A:B,2,0)</f>
        <v>Night</v>
      </c>
      <c r="AI351">
        <f>VLOOKUP(Table2[[#This Row],[Department]],Raw_2!A:C,3,0)</f>
        <v>13</v>
      </c>
    </row>
    <row r="352" spans="1:35">
      <c r="A352" t="s">
        <v>743</v>
      </c>
      <c r="B352" t="s">
        <v>744</v>
      </c>
      <c r="C352">
        <v>24</v>
      </c>
      <c r="D352" t="s">
        <v>16</v>
      </c>
      <c r="E352" t="str">
        <f>IF(OR(Table2[[#This Row],[Gender]]="Male",Table2[[#This Row],[Gender]]="M"),"M",
IF(OR(Table2[[#This Row],[Gender]]="Female",Table2[[#This Row],[Gender]]="F"),"F",""))</f>
        <v>M</v>
      </c>
      <c r="F352" t="s">
        <v>61</v>
      </c>
      <c r="G352" t="s">
        <v>18</v>
      </c>
      <c r="H352" t="s">
        <v>43</v>
      </c>
      <c r="I352" t="s">
        <v>1060</v>
      </c>
      <c r="J352" t="str">
        <f>IF(ISNUMBER(SEARCH("India",Table2[[#This Row],[Emp_Name]])),"INR",
IF(ISNUMBER(SEARCH("Foreign",Table2[[#This Row],[Emp_Name]])),Table2[[#This Row],[Currency]],Table2[[#This Row],[Currency]]))</f>
        <v>INR</v>
      </c>
      <c r="K352">
        <v>28000</v>
      </c>
      <c r="L352">
        <v>12</v>
      </c>
      <c r="M352">
        <f>IF(Table2[[#This Row],[Num_Month]]&lt;&gt;12,12,Table2[[#This Row],[Num_Month]])</f>
        <v>12</v>
      </c>
      <c r="N352">
        <f>IF(Table2[[#This Row],[Monthly_Salary]]="","",Table2[[#This Row],[Monthly_Salary]]*Table2[[#This Row],[Num_Month_Final]])</f>
        <v>336000</v>
      </c>
      <c r="O352">
        <v>2</v>
      </c>
      <c r="P352">
        <f>IF(Table2[[#This Row],[Exp_Years]]&lt;0,ABS(Table2[[#This Row],[Exp_Years]]),Table2[[#This Row],[Exp_Years]])</f>
        <v>2</v>
      </c>
      <c r="Q352">
        <v>4</v>
      </c>
      <c r="R352">
        <v>16000</v>
      </c>
      <c r="S352">
        <f>IF(Table2[[#This Row],[Performance_Rating]]&gt;=3,Table2[[#This Row],[Monthly_Salary]]*0.3,"")</f>
        <v>8400</v>
      </c>
      <c r="T352">
        <v>95</v>
      </c>
      <c r="U352">
        <v>13</v>
      </c>
      <c r="V352">
        <v>13</v>
      </c>
      <c r="W352" t="s">
        <v>37</v>
      </c>
      <c r="X352" t="s">
        <v>19</v>
      </c>
      <c r="Y352" t="str">
        <f>IF(Table2[[#This Row],[Work_Mode]]&lt;&gt;"",Table2[[#This Row],[Work_Mode]],
IF(ISNUMBER(SEARCH("India",Table2[[#This Row],[Emp_Name]])),"Office",
IF(ISNUMBER(SEARCH("Foreign",Table2[[#This Row],[Emp_Name]])),"Remote","")))</f>
        <v>Office</v>
      </c>
      <c r="Z352">
        <v>10</v>
      </c>
      <c r="AA35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352" t="s">
        <v>22</v>
      </c>
      <c r="AC352" t="str">
        <f>IF(COUNTIF(Table2[Emp_ID],Table2[[#This Row],[Emp_ID]])&gt;1,"Duplicate","Unique")</f>
        <v>Unique</v>
      </c>
      <c r="AE352" s="2"/>
      <c r="AG352" t="str">
        <f>IF(Table2[[#This Row],[Monthly_Salary]]="","Exclude",
IF(Table2[[#This Row],[Row_Status]]="Mismatch","Exclude",
IF(AND(Table2[[#This Row],[Row_Status]]="Exact Duplicate",
COUNTIFS(Table2[Emp_ID],Table2[[#This Row],[Emp_ID]],Table2[Row_Concat],Table2[[#This Row],[Row_Concat]],
Table2[Row_Number],"&lt;"&amp;Table2[[#This Row],[Row_Number]])&gt;=1),"Delete","")))</f>
        <v/>
      </c>
      <c r="AH352" t="str">
        <f>VLOOKUP(Table2[[#This Row],[Department]],Raw_2!A:B,2,0)</f>
        <v>Day</v>
      </c>
      <c r="AI352">
        <f>VLOOKUP(Table2[[#This Row],[Department]],Raw_2!A:C,3,0)</f>
        <v>10</v>
      </c>
    </row>
    <row r="353" spans="1:35">
      <c r="A353" t="s">
        <v>745</v>
      </c>
      <c r="B353" t="s">
        <v>746</v>
      </c>
      <c r="C353">
        <v>25</v>
      </c>
      <c r="E353" t="str">
        <f>IF(OR(Table2[[#This Row],[Gender]]="Male",Table2[[#This Row],[Gender]]="M"),"M",
IF(OR(Table2[[#This Row],[Gender]]="Female",Table2[[#This Row],[Gender]]="F"),"F",""))</f>
        <v/>
      </c>
      <c r="F353" t="s">
        <v>73</v>
      </c>
      <c r="G353" t="s">
        <v>66</v>
      </c>
      <c r="H353" t="s">
        <v>1048</v>
      </c>
      <c r="I353" t="s">
        <v>1059</v>
      </c>
      <c r="J353" t="str">
        <f>IF(ISNUMBER(SEARCH("India",Table2[[#This Row],[Emp_Name]])),"INR",
IF(ISNUMBER(SEARCH("Foreign",Table2[[#This Row],[Emp_Name]])),Table2[[#This Row],[Currency]],Table2[[#This Row],[Currency]]))</f>
        <v>USD</v>
      </c>
      <c r="K353">
        <v>56000</v>
      </c>
      <c r="L353">
        <v>12</v>
      </c>
      <c r="M353">
        <f>IF(Table2[[#This Row],[Num_Month]]&lt;&gt;12,12,Table2[[#This Row],[Num_Month]])</f>
        <v>12</v>
      </c>
      <c r="N353">
        <f>IF(Table2[[#This Row],[Monthly_Salary]]="","",Table2[[#This Row],[Monthly_Salary]]*Table2[[#This Row],[Num_Month_Final]])</f>
        <v>672000</v>
      </c>
      <c r="O353">
        <v>3</v>
      </c>
      <c r="P353">
        <f>IF(Table2[[#This Row],[Exp_Years]]&lt;0,ABS(Table2[[#This Row],[Exp_Years]]),Table2[[#This Row],[Exp_Years]])</f>
        <v>3</v>
      </c>
      <c r="Q353">
        <v>2</v>
      </c>
      <c r="S353" t="str">
        <f>IF(Table2[[#This Row],[Performance_Rating]]&gt;=3,Table2[[#This Row],[Monthly_Salary]]*0.3,"")</f>
        <v/>
      </c>
      <c r="T353">
        <v>95</v>
      </c>
      <c r="U353">
        <v>10</v>
      </c>
      <c r="V353">
        <v>3</v>
      </c>
      <c r="X353" t="s">
        <v>28</v>
      </c>
      <c r="Y353" t="str">
        <f>IF(Table2[[#This Row],[Work_Mode]]&lt;&gt;"",Table2[[#This Row],[Work_Mode]],
IF(ISNUMBER(SEARCH("India",Table2[[#This Row],[Emp_Name]])),"Office",
IF(ISNUMBER(SEARCH("Foreign",Table2[[#This Row],[Emp_Name]])),"Remote","")))</f>
        <v>Remote</v>
      </c>
      <c r="Z353">
        <v>5</v>
      </c>
      <c r="AA35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353" t="s">
        <v>39</v>
      </c>
      <c r="AC353" t="str">
        <f>IF(COUNTIF(Table2[Emp_ID],Table2[[#This Row],[Emp_ID]])&gt;1,"Duplicate","Unique")</f>
        <v>Unique</v>
      </c>
      <c r="AE353" s="2"/>
      <c r="AG353" t="str">
        <f>IF(Table2[[#This Row],[Monthly_Salary]]="","Exclude",
IF(Table2[[#This Row],[Row_Status]]="Mismatch","Exclude",
IF(AND(Table2[[#This Row],[Row_Status]]="Exact Duplicate",
COUNTIFS(Table2[Emp_ID],Table2[[#This Row],[Emp_ID]],Table2[Row_Concat],Table2[[#This Row],[Row_Concat]],
Table2[Row_Number],"&lt;"&amp;Table2[[#This Row],[Row_Number]])&gt;=1),"Delete","")))</f>
        <v/>
      </c>
      <c r="AH353" t="str">
        <f>VLOOKUP(Table2[[#This Row],[Department]],Raw_2!A:B,2,0)</f>
        <v>Night</v>
      </c>
      <c r="AI353">
        <f>VLOOKUP(Table2[[#This Row],[Department]],Raw_2!A:C,3,0)</f>
        <v>20</v>
      </c>
    </row>
    <row r="354" spans="1:35">
      <c r="A354" t="s">
        <v>747</v>
      </c>
      <c r="B354" t="s">
        <v>748</v>
      </c>
      <c r="C354">
        <v>23</v>
      </c>
      <c r="D354" t="s">
        <v>34</v>
      </c>
      <c r="E354" t="str">
        <f>IF(OR(Table2[[#This Row],[Gender]]="Male",Table2[[#This Row],[Gender]]="M"),"M",
IF(OR(Table2[[#This Row],[Gender]]="Female",Table2[[#This Row],[Gender]]="F"),"F",""))</f>
        <v>F</v>
      </c>
      <c r="F354" t="s">
        <v>26</v>
      </c>
      <c r="G354" t="s">
        <v>18</v>
      </c>
      <c r="H354" t="s">
        <v>43</v>
      </c>
      <c r="I354" t="s">
        <v>1060</v>
      </c>
      <c r="J354" t="str">
        <f>IF(ISNUMBER(SEARCH("India",Table2[[#This Row],[Emp_Name]])),"INR",
IF(ISNUMBER(SEARCH("Foreign",Table2[[#This Row],[Emp_Name]])),Table2[[#This Row],[Currency]],Table2[[#This Row],[Currency]]))</f>
        <v>INR</v>
      </c>
      <c r="K354">
        <v>22000</v>
      </c>
      <c r="L354">
        <v>12</v>
      </c>
      <c r="M354">
        <f>IF(Table2[[#This Row],[Num_Month]]&lt;&gt;12,12,Table2[[#This Row],[Num_Month]])</f>
        <v>12</v>
      </c>
      <c r="N354">
        <f>IF(Table2[[#This Row],[Monthly_Salary]]="","",Table2[[#This Row],[Monthly_Salary]]*Table2[[#This Row],[Num_Month_Final]])</f>
        <v>264000</v>
      </c>
      <c r="O354">
        <v>1</v>
      </c>
      <c r="P354">
        <f>IF(Table2[[#This Row],[Exp_Years]]&lt;0,ABS(Table2[[#This Row],[Exp_Years]]),Table2[[#This Row],[Exp_Years]])</f>
        <v>1</v>
      </c>
      <c r="Q354">
        <v>1</v>
      </c>
      <c r="S354" t="str">
        <f>IF(Table2[[#This Row],[Performance_Rating]]&gt;=3,Table2[[#This Row],[Monthly_Salary]]*0.3,"")</f>
        <v/>
      </c>
      <c r="T354">
        <v>90</v>
      </c>
      <c r="U354">
        <v>5</v>
      </c>
      <c r="V354">
        <v>2</v>
      </c>
      <c r="W354" t="s">
        <v>21</v>
      </c>
      <c r="X354" t="s">
        <v>38</v>
      </c>
      <c r="Y354" t="str">
        <f>IF(Table2[[#This Row],[Work_Mode]]&lt;&gt;"",Table2[[#This Row],[Work_Mode]],
IF(ISNUMBER(SEARCH("India",Table2[[#This Row],[Emp_Name]])),"Office",
IF(ISNUMBER(SEARCH("Foreign",Table2[[#This Row],[Emp_Name]])),"Remote","")))</f>
        <v>Hybrid</v>
      </c>
      <c r="Z354">
        <v>10</v>
      </c>
      <c r="AA35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354" t="s">
        <v>39</v>
      </c>
      <c r="AC354" t="str">
        <f>IF(COUNTIF(Table2[Emp_ID],Table2[[#This Row],[Emp_ID]])&gt;1,"Duplicate","Unique")</f>
        <v>Unique</v>
      </c>
      <c r="AE354" s="2"/>
      <c r="AG354" t="str">
        <f>IF(Table2[[#This Row],[Monthly_Salary]]="","Exclude",
IF(Table2[[#This Row],[Row_Status]]="Mismatch","Exclude",
IF(AND(Table2[[#This Row],[Row_Status]]="Exact Duplicate",
COUNTIFS(Table2[Emp_ID],Table2[[#This Row],[Emp_ID]],Table2[Row_Concat],Table2[[#This Row],[Row_Concat]],
Table2[Row_Number],"&lt;"&amp;Table2[[#This Row],[Row_Number]])&gt;=1),"Delete","")))</f>
        <v/>
      </c>
      <c r="AH354" t="str">
        <f>VLOOKUP(Table2[[#This Row],[Department]],Raw_2!A:B,2,0)</f>
        <v>Day</v>
      </c>
      <c r="AI354">
        <f>VLOOKUP(Table2[[#This Row],[Department]],Raw_2!A:C,3,0)</f>
        <v>10</v>
      </c>
    </row>
    <row r="355" spans="1:35">
      <c r="A355" t="s">
        <v>749</v>
      </c>
      <c r="B355" t="s">
        <v>750</v>
      </c>
      <c r="C355">
        <v>23</v>
      </c>
      <c r="E355" t="str">
        <f>IF(OR(Table2[[#This Row],[Gender]]="Male",Table2[[#This Row],[Gender]]="M"),"M",
IF(OR(Table2[[#This Row],[Gender]]="Female",Table2[[#This Row],[Gender]]="F"),"F",""))</f>
        <v/>
      </c>
      <c r="F355" t="s">
        <v>35</v>
      </c>
      <c r="G355" t="s">
        <v>18</v>
      </c>
      <c r="H355" t="s">
        <v>43</v>
      </c>
      <c r="I355" t="s">
        <v>1060</v>
      </c>
      <c r="J355" t="str">
        <f>IF(ISNUMBER(SEARCH("India",Table2[[#This Row],[Emp_Name]])),"INR",
IF(ISNUMBER(SEARCH("Foreign",Table2[[#This Row],[Emp_Name]])),Table2[[#This Row],[Currency]],Table2[[#This Row],[Currency]]))</f>
        <v>INR</v>
      </c>
      <c r="K355">
        <v>28000</v>
      </c>
      <c r="L355">
        <v>12</v>
      </c>
      <c r="M355">
        <f>IF(Table2[[#This Row],[Num_Month]]&lt;&gt;12,12,Table2[[#This Row],[Num_Month]])</f>
        <v>12</v>
      </c>
      <c r="N355">
        <f>IF(Table2[[#This Row],[Monthly_Salary]]="","",Table2[[#This Row],[Monthly_Salary]]*Table2[[#This Row],[Num_Month_Final]])</f>
        <v>336000</v>
      </c>
      <c r="O355">
        <v>2</v>
      </c>
      <c r="P355">
        <f>IF(Table2[[#This Row],[Exp_Years]]&lt;0,ABS(Table2[[#This Row],[Exp_Years]]),Table2[[#This Row],[Exp_Years]])</f>
        <v>2</v>
      </c>
      <c r="Q355">
        <v>1</v>
      </c>
      <c r="S355" t="str">
        <f>IF(Table2[[#This Row],[Performance_Rating]]&gt;=3,Table2[[#This Row],[Monthly_Salary]]*0.3,"")</f>
        <v/>
      </c>
      <c r="T355">
        <v>88</v>
      </c>
      <c r="U355">
        <v>13</v>
      </c>
      <c r="V355">
        <v>3</v>
      </c>
      <c r="W355" t="s">
        <v>21</v>
      </c>
      <c r="X355" t="s">
        <v>38</v>
      </c>
      <c r="Y355" t="str">
        <f>IF(Table2[[#This Row],[Work_Mode]]&lt;&gt;"",Table2[[#This Row],[Work_Mode]],
IF(ISNUMBER(SEARCH("India",Table2[[#This Row],[Emp_Name]])),"Office",
IF(ISNUMBER(SEARCH("Foreign",Table2[[#This Row],[Emp_Name]])),"Remote","")))</f>
        <v>Hybrid</v>
      </c>
      <c r="Z355">
        <v>5</v>
      </c>
      <c r="AA35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55" t="s">
        <v>39</v>
      </c>
      <c r="AC355" t="str">
        <f>IF(COUNTIF(Table2[Emp_ID],Table2[[#This Row],[Emp_ID]])&gt;1,"Duplicate","Unique")</f>
        <v>Unique</v>
      </c>
      <c r="AE355" s="2"/>
      <c r="AG355" t="str">
        <f>IF(Table2[[#This Row],[Monthly_Salary]]="","Exclude",
IF(Table2[[#This Row],[Row_Status]]="Mismatch","Exclude",
IF(AND(Table2[[#This Row],[Row_Status]]="Exact Duplicate",
COUNTIFS(Table2[Emp_ID],Table2[[#This Row],[Emp_ID]],Table2[Row_Concat],Table2[[#This Row],[Row_Concat]],
Table2[Row_Number],"&lt;"&amp;Table2[[#This Row],[Row_Number]])&gt;=1),"Delete","")))</f>
        <v/>
      </c>
      <c r="AH355" t="str">
        <f>VLOOKUP(Table2[[#This Row],[Department]],Raw_2!A:B,2,0)</f>
        <v>Day</v>
      </c>
      <c r="AI355">
        <f>VLOOKUP(Table2[[#This Row],[Department]],Raw_2!A:C,3,0)</f>
        <v>10</v>
      </c>
    </row>
    <row r="356" spans="1:35">
      <c r="A356" t="s">
        <v>751</v>
      </c>
      <c r="B356" t="s">
        <v>752</v>
      </c>
      <c r="C356">
        <v>25</v>
      </c>
      <c r="D356" t="s">
        <v>16</v>
      </c>
      <c r="E356" t="str">
        <f>IF(OR(Table2[[#This Row],[Gender]]="Male",Table2[[#This Row],[Gender]]="M"),"M",
IF(OR(Table2[[#This Row],[Gender]]="Female",Table2[[#This Row],[Gender]]="F"),"F",""))</f>
        <v>M</v>
      </c>
      <c r="F356" t="s">
        <v>35</v>
      </c>
      <c r="G356" t="s">
        <v>18</v>
      </c>
      <c r="H356" t="s">
        <v>43</v>
      </c>
      <c r="I356" t="s">
        <v>1060</v>
      </c>
      <c r="J356" t="str">
        <f>IF(ISNUMBER(SEARCH("India",Table2[[#This Row],[Emp_Name]])),"INR",
IF(ISNUMBER(SEARCH("Foreign",Table2[[#This Row],[Emp_Name]])),Table2[[#This Row],[Currency]],Table2[[#This Row],[Currency]]))</f>
        <v>INR</v>
      </c>
      <c r="K356">
        <v>28000</v>
      </c>
      <c r="L356">
        <v>12</v>
      </c>
      <c r="M356">
        <f>IF(Table2[[#This Row],[Num_Month]]&lt;&gt;12,12,Table2[[#This Row],[Num_Month]])</f>
        <v>12</v>
      </c>
      <c r="N356">
        <f>IF(Table2[[#This Row],[Monthly_Salary]]="","",Table2[[#This Row],[Monthly_Salary]]*Table2[[#This Row],[Num_Month_Final]])</f>
        <v>336000</v>
      </c>
      <c r="O356">
        <v>2</v>
      </c>
      <c r="P356">
        <f>IF(Table2[[#This Row],[Exp_Years]]&lt;0,ABS(Table2[[#This Row],[Exp_Years]]),Table2[[#This Row],[Exp_Years]])</f>
        <v>2</v>
      </c>
      <c r="Q356">
        <v>1</v>
      </c>
      <c r="S356" t="str">
        <f>IF(Table2[[#This Row],[Performance_Rating]]&gt;=3,Table2[[#This Row],[Monthly_Salary]]*0.3,"")</f>
        <v/>
      </c>
      <c r="T356">
        <v>90</v>
      </c>
      <c r="U356">
        <v>13</v>
      </c>
      <c r="V356">
        <v>1</v>
      </c>
      <c r="W356" t="s">
        <v>37</v>
      </c>
      <c r="X356" t="s">
        <v>38</v>
      </c>
      <c r="Y356" t="str">
        <f>IF(Table2[[#This Row],[Work_Mode]]&lt;&gt;"",Table2[[#This Row],[Work_Mode]],
IF(ISNUMBER(SEARCH("India",Table2[[#This Row],[Emp_Name]])),"Office",
IF(ISNUMBER(SEARCH("Foreign",Table2[[#This Row],[Emp_Name]])),"Remote","")))</f>
        <v>Hybrid</v>
      </c>
      <c r="Z356">
        <v>10</v>
      </c>
      <c r="AA35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356" t="s">
        <v>39</v>
      </c>
      <c r="AC356" t="str">
        <f>IF(COUNTIF(Table2[Emp_ID],Table2[[#This Row],[Emp_ID]])&gt;1,"Duplicate","Unique")</f>
        <v>Unique</v>
      </c>
      <c r="AE356" s="2"/>
      <c r="AG356" t="str">
        <f>IF(Table2[[#This Row],[Monthly_Salary]]="","Exclude",
IF(Table2[[#This Row],[Row_Status]]="Mismatch","Exclude",
IF(AND(Table2[[#This Row],[Row_Status]]="Exact Duplicate",
COUNTIFS(Table2[Emp_ID],Table2[[#This Row],[Emp_ID]],Table2[Row_Concat],Table2[[#This Row],[Row_Concat]],
Table2[Row_Number],"&lt;"&amp;Table2[[#This Row],[Row_Number]])&gt;=1),"Delete","")))</f>
        <v/>
      </c>
      <c r="AH356" t="str">
        <f>VLOOKUP(Table2[[#This Row],[Department]],Raw_2!A:B,2,0)</f>
        <v>Day</v>
      </c>
      <c r="AI356">
        <f>VLOOKUP(Table2[[#This Row],[Department]],Raw_2!A:C,3,0)</f>
        <v>10</v>
      </c>
    </row>
    <row r="357" spans="1:35">
      <c r="A357" t="s">
        <v>753</v>
      </c>
      <c r="B357" t="s">
        <v>754</v>
      </c>
      <c r="C357">
        <v>23</v>
      </c>
      <c r="D357" t="s">
        <v>25</v>
      </c>
      <c r="E357" t="str">
        <f>IF(OR(Table2[[#This Row],[Gender]]="Male",Table2[[#This Row],[Gender]]="M"),"M",
IF(OR(Table2[[#This Row],[Gender]]="Female",Table2[[#This Row],[Gender]]="F"),"F",""))</f>
        <v>F</v>
      </c>
      <c r="F357" t="s">
        <v>35</v>
      </c>
      <c r="G357" t="s">
        <v>18</v>
      </c>
      <c r="H357" t="s">
        <v>43</v>
      </c>
      <c r="I357" t="s">
        <v>1060</v>
      </c>
      <c r="J357" t="str">
        <f>IF(ISNUMBER(SEARCH("India",Table2[[#This Row],[Emp_Name]])),"INR",
IF(ISNUMBER(SEARCH("Foreign",Table2[[#This Row],[Emp_Name]])),Table2[[#This Row],[Currency]],Table2[[#This Row],[Currency]]))</f>
        <v>INR</v>
      </c>
      <c r="K357">
        <v>21000</v>
      </c>
      <c r="L357">
        <v>12</v>
      </c>
      <c r="M357">
        <f>IF(Table2[[#This Row],[Num_Month]]&lt;&gt;12,12,Table2[[#This Row],[Num_Month]])</f>
        <v>12</v>
      </c>
      <c r="N357">
        <f>IF(Table2[[#This Row],[Monthly_Salary]]="","",Table2[[#This Row],[Monthly_Salary]]*Table2[[#This Row],[Num_Month_Final]])</f>
        <v>252000</v>
      </c>
      <c r="O357">
        <v>1</v>
      </c>
      <c r="P357">
        <f>IF(Table2[[#This Row],[Exp_Years]]&lt;0,ABS(Table2[[#This Row],[Exp_Years]]),Table2[[#This Row],[Exp_Years]])</f>
        <v>1</v>
      </c>
      <c r="Q357">
        <v>1</v>
      </c>
      <c r="S357" t="str">
        <f>IF(Table2[[#This Row],[Performance_Rating]]&gt;=3,Table2[[#This Row],[Monthly_Salary]]*0.3,"")</f>
        <v/>
      </c>
      <c r="T357">
        <v>85</v>
      </c>
      <c r="U357">
        <v>5</v>
      </c>
      <c r="V357">
        <v>5</v>
      </c>
      <c r="X357" t="s">
        <v>38</v>
      </c>
      <c r="Y357" t="str">
        <f>IF(Table2[[#This Row],[Work_Mode]]&lt;&gt;"",Table2[[#This Row],[Work_Mode]],
IF(ISNUMBER(SEARCH("India",Table2[[#This Row],[Emp_Name]])),"Office",
IF(ISNUMBER(SEARCH("Foreign",Table2[[#This Row],[Emp_Name]])),"Remote","")))</f>
        <v>Hybrid</v>
      </c>
      <c r="AA35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57" t="s">
        <v>39</v>
      </c>
      <c r="AC357" t="str">
        <f>IF(COUNTIF(Table2[Emp_ID],Table2[[#This Row],[Emp_ID]])&gt;1,"Duplicate","Unique")</f>
        <v>Unique</v>
      </c>
      <c r="AE357" s="2"/>
      <c r="AG357" t="str">
        <f>IF(Table2[[#This Row],[Monthly_Salary]]="","Exclude",
IF(Table2[[#This Row],[Row_Status]]="Mismatch","Exclude",
IF(AND(Table2[[#This Row],[Row_Status]]="Exact Duplicate",
COUNTIFS(Table2[Emp_ID],Table2[[#This Row],[Emp_ID]],Table2[Row_Concat],Table2[[#This Row],[Row_Concat]],
Table2[Row_Number],"&lt;"&amp;Table2[[#This Row],[Row_Number]])&gt;=1),"Delete","")))</f>
        <v/>
      </c>
      <c r="AH357" t="str">
        <f>VLOOKUP(Table2[[#This Row],[Department]],Raw_2!A:B,2,0)</f>
        <v>Day</v>
      </c>
      <c r="AI357">
        <f>VLOOKUP(Table2[[#This Row],[Department]],Raw_2!A:C,3,0)</f>
        <v>10</v>
      </c>
    </row>
    <row r="358" spans="1:35">
      <c r="A358" t="s">
        <v>755</v>
      </c>
      <c r="B358" t="s">
        <v>756</v>
      </c>
      <c r="C358">
        <v>25</v>
      </c>
      <c r="D358" t="s">
        <v>34</v>
      </c>
      <c r="E358" t="str">
        <f>IF(OR(Table2[[#This Row],[Gender]]="Male",Table2[[#This Row],[Gender]]="M"),"M",
IF(OR(Table2[[#This Row],[Gender]]="Female",Table2[[#This Row],[Gender]]="F"),"F",""))</f>
        <v>F</v>
      </c>
      <c r="F358" t="s">
        <v>57</v>
      </c>
      <c r="G358" t="s">
        <v>27</v>
      </c>
      <c r="H358" t="s">
        <v>43</v>
      </c>
      <c r="I358" t="s">
        <v>1060</v>
      </c>
      <c r="J358" t="str">
        <f>IF(ISNUMBER(SEARCH("India",Table2[[#This Row],[Emp_Name]])),"INR",
IF(ISNUMBER(SEARCH("Foreign",Table2[[#This Row],[Emp_Name]])),Table2[[#This Row],[Currency]],Table2[[#This Row],[Currency]]))</f>
        <v>INR</v>
      </c>
      <c r="K358">
        <v>28000</v>
      </c>
      <c r="L358">
        <v>12</v>
      </c>
      <c r="M358">
        <f>IF(Table2[[#This Row],[Num_Month]]&lt;&gt;12,12,Table2[[#This Row],[Num_Month]])</f>
        <v>12</v>
      </c>
      <c r="N358">
        <f>IF(Table2[[#This Row],[Monthly_Salary]]="","",Table2[[#This Row],[Monthly_Salary]]*Table2[[#This Row],[Num_Month_Final]])</f>
        <v>336000</v>
      </c>
      <c r="O358">
        <v>2</v>
      </c>
      <c r="P358">
        <f>IF(Table2[[#This Row],[Exp_Years]]&lt;0,ABS(Table2[[#This Row],[Exp_Years]]),Table2[[#This Row],[Exp_Years]])</f>
        <v>2</v>
      </c>
      <c r="S358" t="str">
        <f>IF(Table2[[#This Row],[Performance_Rating]]&gt;=3,Table2[[#This Row],[Monthly_Salary]]*0.3,"")</f>
        <v/>
      </c>
      <c r="T358">
        <v>88</v>
      </c>
      <c r="U358">
        <v>15</v>
      </c>
      <c r="V358">
        <v>3</v>
      </c>
      <c r="W358" t="s">
        <v>21</v>
      </c>
      <c r="X358" t="s">
        <v>38</v>
      </c>
      <c r="Y358" t="str">
        <f>IF(Table2[[#This Row],[Work_Mode]]&lt;&gt;"",Table2[[#This Row],[Work_Mode]],
IF(ISNUMBER(SEARCH("India",Table2[[#This Row],[Emp_Name]])),"Office",
IF(ISNUMBER(SEARCH("Foreign",Table2[[#This Row],[Emp_Name]])),"Remote","")))</f>
        <v>Hybrid</v>
      </c>
      <c r="Z358">
        <v>10</v>
      </c>
      <c r="AA35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358" t="s">
        <v>1054</v>
      </c>
      <c r="AC358" t="str">
        <f>IF(COUNTIF(Table2[Emp_ID],Table2[[#This Row],[Emp_ID]])&gt;1,"Duplicate","Unique")</f>
        <v>Unique</v>
      </c>
      <c r="AE358" s="2"/>
      <c r="AG358" t="str">
        <f>IF(Table2[[#This Row],[Monthly_Salary]]="","Exclude",
IF(Table2[[#This Row],[Row_Status]]="Mismatch","Exclude",
IF(AND(Table2[[#This Row],[Row_Status]]="Exact Duplicate",
COUNTIFS(Table2[Emp_ID],Table2[[#This Row],[Emp_ID]],Table2[Row_Concat],Table2[[#This Row],[Row_Concat]],
Table2[Row_Number],"&lt;"&amp;Table2[[#This Row],[Row_Number]])&gt;=1),"Delete","")))</f>
        <v/>
      </c>
      <c r="AH358" t="str">
        <f>VLOOKUP(Table2[[#This Row],[Department]],Raw_2!A:B,2,0)</f>
        <v>Day</v>
      </c>
      <c r="AI358">
        <f>VLOOKUP(Table2[[#This Row],[Department]],Raw_2!A:C,3,0)</f>
        <v>12</v>
      </c>
    </row>
    <row r="359" spans="1:35">
      <c r="A359" t="s">
        <v>757</v>
      </c>
      <c r="B359" t="s">
        <v>758</v>
      </c>
      <c r="C359">
        <v>24</v>
      </c>
      <c r="E359" t="str">
        <f>IF(OR(Table2[[#This Row],[Gender]]="Male",Table2[[#This Row],[Gender]]="M"),"M",
IF(OR(Table2[[#This Row],[Gender]]="Female",Table2[[#This Row],[Gender]]="F"),"F",""))</f>
        <v/>
      </c>
      <c r="F359" t="s">
        <v>17</v>
      </c>
      <c r="G359" t="s">
        <v>31</v>
      </c>
      <c r="H359" t="s">
        <v>1048</v>
      </c>
      <c r="I359" t="s">
        <v>1060</v>
      </c>
      <c r="J359" t="str">
        <f>IF(ISNUMBER(SEARCH("India",Table2[[#This Row],[Emp_Name]])),"INR",
IF(ISNUMBER(SEARCH("Foreign",Table2[[#This Row],[Emp_Name]])),Table2[[#This Row],[Currency]],Table2[[#This Row],[Currency]]))</f>
        <v>INR</v>
      </c>
      <c r="K359">
        <v>56000</v>
      </c>
      <c r="L359">
        <v>12</v>
      </c>
      <c r="M359">
        <f>IF(Table2[[#This Row],[Num_Month]]&lt;&gt;12,12,Table2[[#This Row],[Num_Month]])</f>
        <v>12</v>
      </c>
      <c r="N359">
        <f>IF(Table2[[#This Row],[Monthly_Salary]]="","",Table2[[#This Row],[Monthly_Salary]]*Table2[[#This Row],[Num_Month_Final]])</f>
        <v>672000</v>
      </c>
      <c r="O359">
        <v>3</v>
      </c>
      <c r="P359">
        <f>IF(Table2[[#This Row],[Exp_Years]]&lt;0,ABS(Table2[[#This Row],[Exp_Years]]),Table2[[#This Row],[Exp_Years]])</f>
        <v>3</v>
      </c>
      <c r="Q359">
        <v>1</v>
      </c>
      <c r="S359" t="str">
        <f>IF(Table2[[#This Row],[Performance_Rating]]&gt;=3,Table2[[#This Row],[Monthly_Salary]]*0.3,"")</f>
        <v/>
      </c>
      <c r="T359">
        <v>90</v>
      </c>
      <c r="U359">
        <v>10</v>
      </c>
      <c r="V359">
        <v>7</v>
      </c>
      <c r="X359" t="s">
        <v>38</v>
      </c>
      <c r="Y359" t="str">
        <f>IF(Table2[[#This Row],[Work_Mode]]&lt;&gt;"",Table2[[#This Row],[Work_Mode]],
IF(ISNUMBER(SEARCH("India",Table2[[#This Row],[Emp_Name]])),"Office",
IF(ISNUMBER(SEARCH("Foreign",Table2[[#This Row],[Emp_Name]])),"Remote","")))</f>
        <v>Hybrid</v>
      </c>
      <c r="Z359">
        <v>5</v>
      </c>
      <c r="AA35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359" t="s">
        <v>39</v>
      </c>
      <c r="AC359" t="str">
        <f>IF(COUNTIF(Table2[Emp_ID],Table2[[#This Row],[Emp_ID]])&gt;1,"Duplicate","Unique")</f>
        <v>Unique</v>
      </c>
      <c r="AE359" s="2"/>
      <c r="AG359" t="str">
        <f>IF(Table2[[#This Row],[Monthly_Salary]]="","Exclude",
IF(Table2[[#This Row],[Row_Status]]="Mismatch","Exclude",
IF(AND(Table2[[#This Row],[Row_Status]]="Exact Duplicate",
COUNTIFS(Table2[Emp_ID],Table2[[#This Row],[Emp_ID]],Table2[Row_Concat],Table2[[#This Row],[Row_Concat]],
Table2[Row_Number],"&lt;"&amp;Table2[[#This Row],[Row_Number]])&gt;=1),"Delete","")))</f>
        <v/>
      </c>
      <c r="AH359" t="str">
        <f>VLOOKUP(Table2[[#This Row],[Department]],Raw_2!A:B,2,0)</f>
        <v>Night</v>
      </c>
      <c r="AI359">
        <f>VLOOKUP(Table2[[#This Row],[Department]],Raw_2!A:C,3,0)</f>
        <v>13</v>
      </c>
    </row>
    <row r="360" spans="1:35">
      <c r="A360" t="s">
        <v>759</v>
      </c>
      <c r="B360" t="s">
        <v>760</v>
      </c>
      <c r="C360">
        <v>23</v>
      </c>
      <c r="D360" t="s">
        <v>34</v>
      </c>
      <c r="E360" t="str">
        <f>IF(OR(Table2[[#This Row],[Gender]]="Male",Table2[[#This Row],[Gender]]="M"),"M",
IF(OR(Table2[[#This Row],[Gender]]="Female",Table2[[#This Row],[Gender]]="F"),"F",""))</f>
        <v>F</v>
      </c>
      <c r="F360" t="s">
        <v>26</v>
      </c>
      <c r="G360" t="s">
        <v>18</v>
      </c>
      <c r="H360" t="s">
        <v>43</v>
      </c>
      <c r="I360" t="s">
        <v>1060</v>
      </c>
      <c r="J360" t="str">
        <f>IF(ISNUMBER(SEARCH("India",Table2[[#This Row],[Emp_Name]])),"INR",
IF(ISNUMBER(SEARCH("Foreign",Table2[[#This Row],[Emp_Name]])),Table2[[#This Row],[Currency]],Table2[[#This Row],[Currency]]))</f>
        <v>INR</v>
      </c>
      <c r="K360">
        <v>20000</v>
      </c>
      <c r="L360">
        <v>12</v>
      </c>
      <c r="M360">
        <f>IF(Table2[[#This Row],[Num_Month]]&lt;&gt;12,12,Table2[[#This Row],[Num_Month]])</f>
        <v>12</v>
      </c>
      <c r="N360">
        <f>IF(Table2[[#This Row],[Monthly_Salary]]="","",Table2[[#This Row],[Monthly_Salary]]*Table2[[#This Row],[Num_Month_Final]])</f>
        <v>240000</v>
      </c>
      <c r="O360">
        <v>1</v>
      </c>
      <c r="P360">
        <f>IF(Table2[[#This Row],[Exp_Years]]&lt;0,ABS(Table2[[#This Row],[Exp_Years]]),Table2[[#This Row],[Exp_Years]])</f>
        <v>1</v>
      </c>
      <c r="Q360">
        <v>2</v>
      </c>
      <c r="S360" t="str">
        <f>IF(Table2[[#This Row],[Performance_Rating]]&gt;=3,Table2[[#This Row],[Monthly_Salary]]*0.3,"")</f>
        <v/>
      </c>
      <c r="T360">
        <v>80</v>
      </c>
      <c r="U360">
        <v>15</v>
      </c>
      <c r="V360">
        <v>2</v>
      </c>
      <c r="W360" t="s">
        <v>21</v>
      </c>
      <c r="X360" t="s">
        <v>38</v>
      </c>
      <c r="Y360" t="str">
        <f>IF(Table2[[#This Row],[Work_Mode]]&lt;&gt;"",Table2[[#This Row],[Work_Mode]],
IF(ISNUMBER(SEARCH("India",Table2[[#This Row],[Emp_Name]])),"Office",
IF(ISNUMBER(SEARCH("Foreign",Table2[[#This Row],[Emp_Name]])),"Remote","")))</f>
        <v>Hybrid</v>
      </c>
      <c r="Z360">
        <v>5</v>
      </c>
      <c r="AA36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60" t="s">
        <v>39</v>
      </c>
      <c r="AC360" t="str">
        <f>IF(COUNTIF(Table2[Emp_ID],Table2[[#This Row],[Emp_ID]])&gt;1,"Duplicate","Unique")</f>
        <v>Unique</v>
      </c>
      <c r="AE360" s="2"/>
      <c r="AG360" t="str">
        <f>IF(Table2[[#This Row],[Monthly_Salary]]="","Exclude",
IF(Table2[[#This Row],[Row_Status]]="Mismatch","Exclude",
IF(AND(Table2[[#This Row],[Row_Status]]="Exact Duplicate",
COUNTIFS(Table2[Emp_ID],Table2[[#This Row],[Emp_ID]],Table2[Row_Concat],Table2[[#This Row],[Row_Concat]],
Table2[Row_Number],"&lt;"&amp;Table2[[#This Row],[Row_Number]])&gt;=1),"Delete","")))</f>
        <v/>
      </c>
      <c r="AH360" t="str">
        <f>VLOOKUP(Table2[[#This Row],[Department]],Raw_2!A:B,2,0)</f>
        <v>Day</v>
      </c>
      <c r="AI360">
        <f>VLOOKUP(Table2[[#This Row],[Department]],Raw_2!A:C,3,0)</f>
        <v>10</v>
      </c>
    </row>
    <row r="361" spans="1:35">
      <c r="A361" t="s">
        <v>761</v>
      </c>
      <c r="B361" t="s">
        <v>762</v>
      </c>
      <c r="C361">
        <v>25</v>
      </c>
      <c r="E361" t="str">
        <f>IF(OR(Table2[[#This Row],[Gender]]="Male",Table2[[#This Row],[Gender]]="M"),"M",
IF(OR(Table2[[#This Row],[Gender]]="Female",Table2[[#This Row],[Gender]]="F"),"F",""))</f>
        <v/>
      </c>
      <c r="F361" t="s">
        <v>73</v>
      </c>
      <c r="G361" t="s">
        <v>27</v>
      </c>
      <c r="H361" t="s">
        <v>43</v>
      </c>
      <c r="I361" t="s">
        <v>1060</v>
      </c>
      <c r="J361" t="str">
        <f>IF(ISNUMBER(SEARCH("India",Table2[[#This Row],[Emp_Name]])),"INR",
IF(ISNUMBER(SEARCH("Foreign",Table2[[#This Row],[Emp_Name]])),Table2[[#This Row],[Currency]],Table2[[#This Row],[Currency]]))</f>
        <v>INR</v>
      </c>
      <c r="K361">
        <v>28000</v>
      </c>
      <c r="L361">
        <v>12</v>
      </c>
      <c r="M361">
        <f>IF(Table2[[#This Row],[Num_Month]]&lt;&gt;12,12,Table2[[#This Row],[Num_Month]])</f>
        <v>12</v>
      </c>
      <c r="N361">
        <f>IF(Table2[[#This Row],[Monthly_Salary]]="","",Table2[[#This Row],[Monthly_Salary]]*Table2[[#This Row],[Num_Month_Final]])</f>
        <v>336000</v>
      </c>
      <c r="O361">
        <v>2</v>
      </c>
      <c r="P361">
        <f>IF(Table2[[#This Row],[Exp_Years]]&lt;0,ABS(Table2[[#This Row],[Exp_Years]]),Table2[[#This Row],[Exp_Years]])</f>
        <v>2</v>
      </c>
      <c r="Q361">
        <v>4</v>
      </c>
      <c r="R361">
        <v>16000</v>
      </c>
      <c r="S361">
        <f>IF(Table2[[#This Row],[Performance_Rating]]&gt;=3,Table2[[#This Row],[Monthly_Salary]]*0.3,"")</f>
        <v>8400</v>
      </c>
      <c r="T361">
        <v>85</v>
      </c>
      <c r="U361">
        <v>5</v>
      </c>
      <c r="V361">
        <v>5</v>
      </c>
      <c r="X361" t="s">
        <v>38</v>
      </c>
      <c r="Y361" t="str">
        <f>IF(Table2[[#This Row],[Work_Mode]]&lt;&gt;"",Table2[[#This Row],[Work_Mode]],
IF(ISNUMBER(SEARCH("India",Table2[[#This Row],[Emp_Name]])),"Office",
IF(ISNUMBER(SEARCH("Foreign",Table2[[#This Row],[Emp_Name]])),"Remote","")))</f>
        <v>Hybrid</v>
      </c>
      <c r="Z361">
        <v>10</v>
      </c>
      <c r="AA36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361" t="s">
        <v>58</v>
      </c>
      <c r="AC361" t="str">
        <f>IF(COUNTIF(Table2[Emp_ID],Table2[[#This Row],[Emp_ID]])&gt;1,"Duplicate","Unique")</f>
        <v>Unique</v>
      </c>
      <c r="AE361" s="2"/>
      <c r="AG361" t="str">
        <f>IF(Table2[[#This Row],[Monthly_Salary]]="","Exclude",
IF(Table2[[#This Row],[Row_Status]]="Mismatch","Exclude",
IF(AND(Table2[[#This Row],[Row_Status]]="Exact Duplicate",
COUNTIFS(Table2[Emp_ID],Table2[[#This Row],[Emp_ID]],Table2[Row_Concat],Table2[[#This Row],[Row_Concat]],
Table2[Row_Number],"&lt;"&amp;Table2[[#This Row],[Row_Number]])&gt;=1),"Delete","")))</f>
        <v/>
      </c>
      <c r="AH361" t="str">
        <f>VLOOKUP(Table2[[#This Row],[Department]],Raw_2!A:B,2,0)</f>
        <v>Day</v>
      </c>
      <c r="AI361">
        <f>VLOOKUP(Table2[[#This Row],[Department]],Raw_2!A:C,3,0)</f>
        <v>12</v>
      </c>
    </row>
    <row r="362" spans="1:35">
      <c r="A362" t="s">
        <v>763</v>
      </c>
      <c r="B362" t="s">
        <v>764</v>
      </c>
      <c r="C362">
        <v>25</v>
      </c>
      <c r="D362" t="s">
        <v>34</v>
      </c>
      <c r="E362" t="str">
        <f>IF(OR(Table2[[#This Row],[Gender]]="Male",Table2[[#This Row],[Gender]]="M"),"M",
IF(OR(Table2[[#This Row],[Gender]]="Female",Table2[[#This Row],[Gender]]="F"),"F",""))</f>
        <v>F</v>
      </c>
      <c r="F362" t="s">
        <v>50</v>
      </c>
      <c r="G362" t="s">
        <v>42</v>
      </c>
      <c r="H362" t="s">
        <v>43</v>
      </c>
      <c r="I362" t="s">
        <v>1060</v>
      </c>
      <c r="J362" t="str">
        <f>IF(ISNUMBER(SEARCH("India",Table2[[#This Row],[Emp_Name]])),"INR",
IF(ISNUMBER(SEARCH("Foreign",Table2[[#This Row],[Emp_Name]])),Table2[[#This Row],[Currency]],Table2[[#This Row],[Currency]]))</f>
        <v>INR</v>
      </c>
      <c r="K362">
        <v>28000</v>
      </c>
      <c r="L362">
        <v>12</v>
      </c>
      <c r="M362">
        <f>IF(Table2[[#This Row],[Num_Month]]&lt;&gt;12,12,Table2[[#This Row],[Num_Month]])</f>
        <v>12</v>
      </c>
      <c r="N362">
        <f>IF(Table2[[#This Row],[Monthly_Salary]]="","",Table2[[#This Row],[Monthly_Salary]]*Table2[[#This Row],[Num_Month_Final]])</f>
        <v>336000</v>
      </c>
      <c r="O362">
        <v>2</v>
      </c>
      <c r="P362">
        <f>IF(Table2[[#This Row],[Exp_Years]]&lt;0,ABS(Table2[[#This Row],[Exp_Years]]),Table2[[#This Row],[Exp_Years]])</f>
        <v>2</v>
      </c>
      <c r="Q362">
        <v>2</v>
      </c>
      <c r="S362" t="str">
        <f>IF(Table2[[#This Row],[Performance_Rating]]&gt;=3,Table2[[#This Row],[Monthly_Salary]]*0.3,"")</f>
        <v/>
      </c>
      <c r="T362">
        <v>85</v>
      </c>
      <c r="U362">
        <v>10</v>
      </c>
      <c r="V362">
        <v>3</v>
      </c>
      <c r="W362" t="s">
        <v>21</v>
      </c>
      <c r="X362" t="s">
        <v>38</v>
      </c>
      <c r="Y362" t="str">
        <f>IF(Table2[[#This Row],[Work_Mode]]&lt;&gt;"",Table2[[#This Row],[Work_Mode]],
IF(ISNUMBER(SEARCH("India",Table2[[#This Row],[Emp_Name]])),"Office",
IF(ISNUMBER(SEARCH("Foreign",Table2[[#This Row],[Emp_Name]])),"Remote","")))</f>
        <v>Hybrid</v>
      </c>
      <c r="Z362">
        <v>20</v>
      </c>
      <c r="AA36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362" t="s">
        <v>39</v>
      </c>
      <c r="AC362" t="str">
        <f>IF(COUNTIF(Table2[Emp_ID],Table2[[#This Row],[Emp_ID]])&gt;1,"Duplicate","Unique")</f>
        <v>Unique</v>
      </c>
      <c r="AE362" s="2"/>
      <c r="AG362" t="str">
        <f>IF(Table2[[#This Row],[Monthly_Salary]]="","Exclude",
IF(Table2[[#This Row],[Row_Status]]="Mismatch","Exclude",
IF(AND(Table2[[#This Row],[Row_Status]]="Exact Duplicate",
COUNTIFS(Table2[Emp_ID],Table2[[#This Row],[Emp_ID]],Table2[Row_Concat],Table2[[#This Row],[Row_Concat]],
Table2[Row_Number],"&lt;"&amp;Table2[[#This Row],[Row_Number]])&gt;=1),"Delete","")))</f>
        <v/>
      </c>
      <c r="AH362" t="str">
        <f>VLOOKUP(Table2[[#This Row],[Department]],Raw_2!A:B,2,0)</f>
        <v>Day</v>
      </c>
      <c r="AI362">
        <f>VLOOKUP(Table2[[#This Row],[Department]],Raw_2!A:C,3,0)</f>
        <v>14</v>
      </c>
    </row>
    <row r="363" spans="1:35">
      <c r="A363" t="s">
        <v>765</v>
      </c>
      <c r="B363" t="s">
        <v>766</v>
      </c>
      <c r="C363">
        <v>23</v>
      </c>
      <c r="E363" t="str">
        <f>IF(OR(Table2[[#This Row],[Gender]]="Male",Table2[[#This Row],[Gender]]="M"),"M",
IF(OR(Table2[[#This Row],[Gender]]="Female",Table2[[#This Row],[Gender]]="F"),"F",""))</f>
        <v/>
      </c>
      <c r="F363" t="s">
        <v>26</v>
      </c>
      <c r="G363" t="s">
        <v>36</v>
      </c>
      <c r="H363" t="s">
        <v>43</v>
      </c>
      <c r="I363" t="s">
        <v>1060</v>
      </c>
      <c r="J363" t="str">
        <f>IF(ISNUMBER(SEARCH("India",Table2[[#This Row],[Emp_Name]])),"INR",
IF(ISNUMBER(SEARCH("Foreign",Table2[[#This Row],[Emp_Name]])),Table2[[#This Row],[Currency]],Table2[[#This Row],[Currency]]))</f>
        <v>INR</v>
      </c>
      <c r="K363">
        <v>28000</v>
      </c>
      <c r="L363">
        <v>12</v>
      </c>
      <c r="M363">
        <f>IF(Table2[[#This Row],[Num_Month]]&lt;&gt;12,12,Table2[[#This Row],[Num_Month]])</f>
        <v>12</v>
      </c>
      <c r="N363">
        <f>IF(Table2[[#This Row],[Monthly_Salary]]="","",Table2[[#This Row],[Monthly_Salary]]*Table2[[#This Row],[Num_Month_Final]])</f>
        <v>336000</v>
      </c>
      <c r="O363">
        <v>2</v>
      </c>
      <c r="P363">
        <f>IF(Table2[[#This Row],[Exp_Years]]&lt;0,ABS(Table2[[#This Row],[Exp_Years]]),Table2[[#This Row],[Exp_Years]])</f>
        <v>2</v>
      </c>
      <c r="Q363">
        <v>1</v>
      </c>
      <c r="S363" t="str">
        <f>IF(Table2[[#This Row],[Performance_Rating]]&gt;=3,Table2[[#This Row],[Monthly_Salary]]*0.3,"")</f>
        <v/>
      </c>
      <c r="T363">
        <v>80</v>
      </c>
      <c r="U363">
        <v>15</v>
      </c>
      <c r="V363">
        <v>5</v>
      </c>
      <c r="W363" t="s">
        <v>37</v>
      </c>
      <c r="X363" t="s">
        <v>38</v>
      </c>
      <c r="Y363" t="str">
        <f>IF(Table2[[#This Row],[Work_Mode]]&lt;&gt;"",Table2[[#This Row],[Work_Mode]],
IF(ISNUMBER(SEARCH("India",Table2[[#This Row],[Emp_Name]])),"Office",
IF(ISNUMBER(SEARCH("Foreign",Table2[[#This Row],[Emp_Name]])),"Remote","")))</f>
        <v>Hybrid</v>
      </c>
      <c r="Z363">
        <v>5</v>
      </c>
      <c r="AA36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63" t="s">
        <v>39</v>
      </c>
      <c r="AC363" t="str">
        <f>IF(COUNTIF(Table2[Emp_ID],Table2[[#This Row],[Emp_ID]])&gt;1,"Duplicate","Unique")</f>
        <v>Unique</v>
      </c>
      <c r="AE363" s="2"/>
      <c r="AG363" t="str">
        <f>IF(Table2[[#This Row],[Monthly_Salary]]="","Exclude",
IF(Table2[[#This Row],[Row_Status]]="Mismatch","Exclude",
IF(AND(Table2[[#This Row],[Row_Status]]="Exact Duplicate",
COUNTIFS(Table2[Emp_ID],Table2[[#This Row],[Emp_ID]],Table2[Row_Concat],Table2[[#This Row],[Row_Concat]],
Table2[Row_Number],"&lt;"&amp;Table2[[#This Row],[Row_Number]])&gt;=1),"Delete","")))</f>
        <v/>
      </c>
      <c r="AH363" t="str">
        <f>VLOOKUP(Table2[[#This Row],[Department]],Raw_2!A:B,2,0)</f>
        <v>Day</v>
      </c>
      <c r="AI363">
        <f>VLOOKUP(Table2[[#This Row],[Department]],Raw_2!A:C,3,0)</f>
        <v>25</v>
      </c>
    </row>
    <row r="364" spans="1:35">
      <c r="A364" t="s">
        <v>767</v>
      </c>
      <c r="B364" t="s">
        <v>768</v>
      </c>
      <c r="C364">
        <v>25</v>
      </c>
      <c r="D364" t="s">
        <v>34</v>
      </c>
      <c r="E364" t="str">
        <f>IF(OR(Table2[[#This Row],[Gender]]="Male",Table2[[#This Row],[Gender]]="M"),"M",
IF(OR(Table2[[#This Row],[Gender]]="Female",Table2[[#This Row],[Gender]]="F"),"F",""))</f>
        <v>F</v>
      </c>
      <c r="F364" t="s">
        <v>50</v>
      </c>
      <c r="G364" t="s">
        <v>66</v>
      </c>
      <c r="H364" t="s">
        <v>43</v>
      </c>
      <c r="I364" t="s">
        <v>1060</v>
      </c>
      <c r="J364" t="str">
        <f>IF(ISNUMBER(SEARCH("India",Table2[[#This Row],[Emp_Name]])),"INR",
IF(ISNUMBER(SEARCH("Foreign",Table2[[#This Row],[Emp_Name]])),Table2[[#This Row],[Currency]],Table2[[#This Row],[Currency]]))</f>
        <v>INR</v>
      </c>
      <c r="K364">
        <v>28000</v>
      </c>
      <c r="L364">
        <v>12</v>
      </c>
      <c r="M364">
        <f>IF(Table2[[#This Row],[Num_Month]]&lt;&gt;12,12,Table2[[#This Row],[Num_Month]])</f>
        <v>12</v>
      </c>
      <c r="N364">
        <f>IF(Table2[[#This Row],[Monthly_Salary]]="","",Table2[[#This Row],[Monthly_Salary]]*Table2[[#This Row],[Num_Month_Final]])</f>
        <v>336000</v>
      </c>
      <c r="O364">
        <v>2</v>
      </c>
      <c r="P364">
        <f>IF(Table2[[#This Row],[Exp_Years]]&lt;0,ABS(Table2[[#This Row],[Exp_Years]]),Table2[[#This Row],[Exp_Years]])</f>
        <v>2</v>
      </c>
      <c r="Q364">
        <v>1</v>
      </c>
      <c r="S364" t="str">
        <f>IF(Table2[[#This Row],[Performance_Rating]]&gt;=3,Table2[[#This Row],[Monthly_Salary]]*0.3,"")</f>
        <v/>
      </c>
      <c r="T364">
        <v>90</v>
      </c>
      <c r="U364">
        <v>15</v>
      </c>
      <c r="V364">
        <v>5</v>
      </c>
      <c r="X364" t="s">
        <v>28</v>
      </c>
      <c r="Y364" t="str">
        <f>IF(Table2[[#This Row],[Work_Mode]]&lt;&gt;"",Table2[[#This Row],[Work_Mode]],
IF(ISNUMBER(SEARCH("India",Table2[[#This Row],[Emp_Name]])),"Office",
IF(ISNUMBER(SEARCH("Foreign",Table2[[#This Row],[Emp_Name]])),"Remote","")))</f>
        <v>Remote</v>
      </c>
      <c r="Z364">
        <v>10</v>
      </c>
      <c r="AA36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364" t="s">
        <v>39</v>
      </c>
      <c r="AC364" t="str">
        <f>IF(COUNTIF(Table2[Emp_ID],Table2[[#This Row],[Emp_ID]])&gt;1,"Duplicate","Unique")</f>
        <v>Unique</v>
      </c>
      <c r="AE364" s="2"/>
      <c r="AG364" t="str">
        <f>IF(Table2[[#This Row],[Monthly_Salary]]="","Exclude",
IF(Table2[[#This Row],[Row_Status]]="Mismatch","Exclude",
IF(AND(Table2[[#This Row],[Row_Status]]="Exact Duplicate",
COUNTIFS(Table2[Emp_ID],Table2[[#This Row],[Emp_ID]],Table2[Row_Concat],Table2[[#This Row],[Row_Concat]],
Table2[Row_Number],"&lt;"&amp;Table2[[#This Row],[Row_Number]])&gt;=1),"Delete","")))</f>
        <v/>
      </c>
      <c r="AH364" t="str">
        <f>VLOOKUP(Table2[[#This Row],[Department]],Raw_2!A:B,2,0)</f>
        <v>Night</v>
      </c>
      <c r="AI364">
        <f>VLOOKUP(Table2[[#This Row],[Department]],Raw_2!A:C,3,0)</f>
        <v>20</v>
      </c>
    </row>
    <row r="365" spans="1:35">
      <c r="A365" t="s">
        <v>769</v>
      </c>
      <c r="B365" t="s">
        <v>770</v>
      </c>
      <c r="C365">
        <v>24</v>
      </c>
      <c r="D365" t="s">
        <v>46</v>
      </c>
      <c r="E365" t="str">
        <f>IF(OR(Table2[[#This Row],[Gender]]="Male",Table2[[#This Row],[Gender]]="M"),"M",
IF(OR(Table2[[#This Row],[Gender]]="Female",Table2[[#This Row],[Gender]]="F"),"F",""))</f>
        <v>M</v>
      </c>
      <c r="F365" t="s">
        <v>50</v>
      </c>
      <c r="G365" t="s">
        <v>27</v>
      </c>
      <c r="H365" t="s">
        <v>43</v>
      </c>
      <c r="I365" t="s">
        <v>1060</v>
      </c>
      <c r="J365" t="str">
        <f>IF(ISNUMBER(SEARCH("India",Table2[[#This Row],[Emp_Name]])),"INR",
IF(ISNUMBER(SEARCH("Foreign",Table2[[#This Row],[Emp_Name]])),Table2[[#This Row],[Currency]],Table2[[#This Row],[Currency]]))</f>
        <v>INR</v>
      </c>
      <c r="K365">
        <v>24000</v>
      </c>
      <c r="L365">
        <v>12</v>
      </c>
      <c r="M365">
        <f>IF(Table2[[#This Row],[Num_Month]]&lt;&gt;12,12,Table2[[#This Row],[Num_Month]])</f>
        <v>12</v>
      </c>
      <c r="N365">
        <f>IF(Table2[[#This Row],[Monthly_Salary]]="","",Table2[[#This Row],[Monthly_Salary]]*Table2[[#This Row],[Num_Month_Final]])</f>
        <v>288000</v>
      </c>
      <c r="O365">
        <v>1</v>
      </c>
      <c r="P365">
        <f>IF(Table2[[#This Row],[Exp_Years]]&lt;0,ABS(Table2[[#This Row],[Exp_Years]]),Table2[[#This Row],[Exp_Years]])</f>
        <v>1</v>
      </c>
      <c r="Q365">
        <v>3</v>
      </c>
      <c r="R365">
        <v>11400</v>
      </c>
      <c r="S365">
        <f>IF(Table2[[#This Row],[Performance_Rating]]&gt;=3,Table2[[#This Row],[Monthly_Salary]]*0.3,"")</f>
        <v>7200</v>
      </c>
      <c r="T365">
        <v>80</v>
      </c>
      <c r="U365">
        <v>5</v>
      </c>
      <c r="V365">
        <v>8</v>
      </c>
      <c r="W365" t="s">
        <v>21</v>
      </c>
      <c r="X365" t="s">
        <v>19</v>
      </c>
      <c r="Y365" t="str">
        <f>IF(Table2[[#This Row],[Work_Mode]]&lt;&gt;"",Table2[[#This Row],[Work_Mode]],
IF(ISNUMBER(SEARCH("India",Table2[[#This Row],[Emp_Name]])),"Office",
IF(ISNUMBER(SEARCH("Foreign",Table2[[#This Row],[Emp_Name]])),"Remote","")))</f>
        <v>Office</v>
      </c>
      <c r="Z365">
        <v>5</v>
      </c>
      <c r="AA36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65" t="s">
        <v>22</v>
      </c>
      <c r="AC365" t="str">
        <f>IF(COUNTIF(Table2[Emp_ID],Table2[[#This Row],[Emp_ID]])&gt;1,"Duplicate","Unique")</f>
        <v>Unique</v>
      </c>
      <c r="AE365" s="2"/>
      <c r="AG365" t="str">
        <f>IF(Table2[[#This Row],[Monthly_Salary]]="","Exclude",
IF(Table2[[#This Row],[Row_Status]]="Mismatch","Exclude",
IF(AND(Table2[[#This Row],[Row_Status]]="Exact Duplicate",
COUNTIFS(Table2[Emp_ID],Table2[[#This Row],[Emp_ID]],Table2[Row_Concat],Table2[[#This Row],[Row_Concat]],
Table2[Row_Number],"&lt;"&amp;Table2[[#This Row],[Row_Number]])&gt;=1),"Delete","")))</f>
        <v/>
      </c>
      <c r="AH365" t="str">
        <f>VLOOKUP(Table2[[#This Row],[Department]],Raw_2!A:B,2,0)</f>
        <v>Day</v>
      </c>
      <c r="AI365">
        <f>VLOOKUP(Table2[[#This Row],[Department]],Raw_2!A:C,3,0)</f>
        <v>12</v>
      </c>
    </row>
    <row r="366" spans="1:35">
      <c r="A366" t="s">
        <v>771</v>
      </c>
      <c r="B366" t="s">
        <v>772</v>
      </c>
      <c r="C366">
        <v>23</v>
      </c>
      <c r="D366" t="s">
        <v>16</v>
      </c>
      <c r="E366" t="str">
        <f>IF(OR(Table2[[#This Row],[Gender]]="Male",Table2[[#This Row],[Gender]]="M"),"M",
IF(OR(Table2[[#This Row],[Gender]]="Female",Table2[[#This Row],[Gender]]="F"),"F",""))</f>
        <v>M</v>
      </c>
      <c r="F366" t="s">
        <v>47</v>
      </c>
      <c r="G366" t="s">
        <v>42</v>
      </c>
      <c r="H366" t="s">
        <v>43</v>
      </c>
      <c r="I366" t="s">
        <v>1060</v>
      </c>
      <c r="J366" t="str">
        <f>IF(ISNUMBER(SEARCH("India",Table2[[#This Row],[Emp_Name]])),"INR",
IF(ISNUMBER(SEARCH("Foreign",Table2[[#This Row],[Emp_Name]])),Table2[[#This Row],[Currency]],Table2[[#This Row],[Currency]]))</f>
        <v>INR</v>
      </c>
      <c r="K366">
        <v>28000</v>
      </c>
      <c r="L366">
        <v>12</v>
      </c>
      <c r="M366">
        <f>IF(Table2[[#This Row],[Num_Month]]&lt;&gt;12,12,Table2[[#This Row],[Num_Month]])</f>
        <v>12</v>
      </c>
      <c r="N366">
        <f>IF(Table2[[#This Row],[Monthly_Salary]]="","",Table2[[#This Row],[Monthly_Salary]]*Table2[[#This Row],[Num_Month_Final]])</f>
        <v>336000</v>
      </c>
      <c r="O366">
        <v>2</v>
      </c>
      <c r="P366">
        <f>IF(Table2[[#This Row],[Exp_Years]]&lt;0,ABS(Table2[[#This Row],[Exp_Years]]),Table2[[#This Row],[Exp_Years]])</f>
        <v>2</v>
      </c>
      <c r="Q366">
        <v>2</v>
      </c>
      <c r="S366" t="str">
        <f>IF(Table2[[#This Row],[Performance_Rating]]&gt;=3,Table2[[#This Row],[Monthly_Salary]]*0.3,"")</f>
        <v/>
      </c>
      <c r="T366">
        <v>90</v>
      </c>
      <c r="U366">
        <v>15</v>
      </c>
      <c r="V366">
        <v>2</v>
      </c>
      <c r="X366" t="s">
        <v>38</v>
      </c>
      <c r="Y366" t="str">
        <f>IF(Table2[[#This Row],[Work_Mode]]&lt;&gt;"",Table2[[#This Row],[Work_Mode]],
IF(ISNUMBER(SEARCH("India",Table2[[#This Row],[Emp_Name]])),"Office",
IF(ISNUMBER(SEARCH("Foreign",Table2[[#This Row],[Emp_Name]])),"Remote","")))</f>
        <v>Hybrid</v>
      </c>
      <c r="AA36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66" t="s">
        <v>39</v>
      </c>
      <c r="AC366" t="str">
        <f>IF(COUNTIF(Table2[Emp_ID],Table2[[#This Row],[Emp_ID]])&gt;1,"Duplicate","Unique")</f>
        <v>Unique</v>
      </c>
      <c r="AE366" s="2"/>
      <c r="AG366" t="str">
        <f>IF(Table2[[#This Row],[Monthly_Salary]]="","Exclude",
IF(Table2[[#This Row],[Row_Status]]="Mismatch","Exclude",
IF(AND(Table2[[#This Row],[Row_Status]]="Exact Duplicate",
COUNTIFS(Table2[Emp_ID],Table2[[#This Row],[Emp_ID]],Table2[Row_Concat],Table2[[#This Row],[Row_Concat]],
Table2[Row_Number],"&lt;"&amp;Table2[[#This Row],[Row_Number]])&gt;=1),"Delete","")))</f>
        <v/>
      </c>
      <c r="AH366" t="str">
        <f>VLOOKUP(Table2[[#This Row],[Department]],Raw_2!A:B,2,0)</f>
        <v>Day</v>
      </c>
      <c r="AI366">
        <f>VLOOKUP(Table2[[#This Row],[Department]],Raw_2!A:C,3,0)</f>
        <v>14</v>
      </c>
    </row>
    <row r="367" spans="1:35">
      <c r="A367" t="s">
        <v>773</v>
      </c>
      <c r="B367" t="s">
        <v>774</v>
      </c>
      <c r="C367">
        <v>24</v>
      </c>
      <c r="E367" t="str">
        <f>IF(OR(Table2[[#This Row],[Gender]]="Male",Table2[[#This Row],[Gender]]="M"),"M",
IF(OR(Table2[[#This Row],[Gender]]="Female",Table2[[#This Row],[Gender]]="F"),"F",""))</f>
        <v/>
      </c>
      <c r="F367" t="s">
        <v>57</v>
      </c>
      <c r="G367" t="s">
        <v>66</v>
      </c>
      <c r="H367" t="s">
        <v>43</v>
      </c>
      <c r="I367" t="s">
        <v>1060</v>
      </c>
      <c r="J367" t="str">
        <f>IF(ISNUMBER(SEARCH("India",Table2[[#This Row],[Emp_Name]])),"INR",
IF(ISNUMBER(SEARCH("Foreign",Table2[[#This Row],[Emp_Name]])),Table2[[#This Row],[Currency]],Table2[[#This Row],[Currency]]))</f>
        <v>INR</v>
      </c>
      <c r="K367">
        <v>24000</v>
      </c>
      <c r="L367">
        <v>12</v>
      </c>
      <c r="M367">
        <f>IF(Table2[[#This Row],[Num_Month]]&lt;&gt;12,12,Table2[[#This Row],[Num_Month]])</f>
        <v>12</v>
      </c>
      <c r="N367">
        <f>IF(Table2[[#This Row],[Monthly_Salary]]="","",Table2[[#This Row],[Monthly_Salary]]*Table2[[#This Row],[Num_Month_Final]])</f>
        <v>288000</v>
      </c>
      <c r="O367">
        <v>1</v>
      </c>
      <c r="P367">
        <f>IF(Table2[[#This Row],[Exp_Years]]&lt;0,ABS(Table2[[#This Row],[Exp_Years]]),Table2[[#This Row],[Exp_Years]])</f>
        <v>1</v>
      </c>
      <c r="Q367">
        <v>3</v>
      </c>
      <c r="R367">
        <v>13400</v>
      </c>
      <c r="S367">
        <f>IF(Table2[[#This Row],[Performance_Rating]]&gt;=3,Table2[[#This Row],[Monthly_Salary]]*0.3,"")</f>
        <v>7200</v>
      </c>
      <c r="T367">
        <v>95</v>
      </c>
      <c r="U367">
        <v>10</v>
      </c>
      <c r="V367">
        <v>3</v>
      </c>
      <c r="W367" t="s">
        <v>37</v>
      </c>
      <c r="X367" t="s">
        <v>38</v>
      </c>
      <c r="Y367" t="str">
        <f>IF(Table2[[#This Row],[Work_Mode]]&lt;&gt;"",Table2[[#This Row],[Work_Mode]],
IF(ISNUMBER(SEARCH("India",Table2[[#This Row],[Emp_Name]])),"Office",
IF(ISNUMBER(SEARCH("Foreign",Table2[[#This Row],[Emp_Name]])),"Remote","")))</f>
        <v>Hybrid</v>
      </c>
      <c r="Z367">
        <v>5</v>
      </c>
      <c r="AA36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67" t="s">
        <v>22</v>
      </c>
      <c r="AC367" t="str">
        <f>IF(COUNTIF(Table2[Emp_ID],Table2[[#This Row],[Emp_ID]])&gt;1,"Duplicate","Unique")</f>
        <v>Unique</v>
      </c>
      <c r="AE367" s="2"/>
      <c r="AG367" t="str">
        <f>IF(Table2[[#This Row],[Monthly_Salary]]="","Exclude",
IF(Table2[[#This Row],[Row_Status]]="Mismatch","Exclude",
IF(AND(Table2[[#This Row],[Row_Status]]="Exact Duplicate",
COUNTIFS(Table2[Emp_ID],Table2[[#This Row],[Emp_ID]],Table2[Row_Concat],Table2[[#This Row],[Row_Concat]],
Table2[Row_Number],"&lt;"&amp;Table2[[#This Row],[Row_Number]])&gt;=1),"Delete","")))</f>
        <v/>
      </c>
      <c r="AH367" t="str">
        <f>VLOOKUP(Table2[[#This Row],[Department]],Raw_2!A:B,2,0)</f>
        <v>Night</v>
      </c>
      <c r="AI367">
        <f>VLOOKUP(Table2[[#This Row],[Department]],Raw_2!A:C,3,0)</f>
        <v>20</v>
      </c>
    </row>
    <row r="368" spans="1:35">
      <c r="A368" t="s">
        <v>775</v>
      </c>
      <c r="B368" t="s">
        <v>776</v>
      </c>
      <c r="C368">
        <v>25</v>
      </c>
      <c r="D368" t="s">
        <v>46</v>
      </c>
      <c r="E368" t="str">
        <f>IF(OR(Table2[[#This Row],[Gender]]="Male",Table2[[#This Row],[Gender]]="M"),"M",
IF(OR(Table2[[#This Row],[Gender]]="Female",Table2[[#This Row],[Gender]]="F"),"F",""))</f>
        <v>M</v>
      </c>
      <c r="F368" t="s">
        <v>61</v>
      </c>
      <c r="G368" t="s">
        <v>18</v>
      </c>
      <c r="H368" t="s">
        <v>43</v>
      </c>
      <c r="I368" t="s">
        <v>1060</v>
      </c>
      <c r="J368" t="str">
        <f>IF(ISNUMBER(SEARCH("India",Table2[[#This Row],[Emp_Name]])),"INR",
IF(ISNUMBER(SEARCH("Foreign",Table2[[#This Row],[Emp_Name]])),Table2[[#This Row],[Currency]],Table2[[#This Row],[Currency]]))</f>
        <v>INR</v>
      </c>
      <c r="K368">
        <v>28000</v>
      </c>
      <c r="L368">
        <v>12</v>
      </c>
      <c r="M368">
        <f>IF(Table2[[#This Row],[Num_Month]]&lt;&gt;12,12,Table2[[#This Row],[Num_Month]])</f>
        <v>12</v>
      </c>
      <c r="N368">
        <f>IF(Table2[[#This Row],[Monthly_Salary]]="","",Table2[[#This Row],[Monthly_Salary]]*Table2[[#This Row],[Num_Month_Final]])</f>
        <v>336000</v>
      </c>
      <c r="O368">
        <v>2</v>
      </c>
      <c r="P368">
        <f>IF(Table2[[#This Row],[Exp_Years]]&lt;0,ABS(Table2[[#This Row],[Exp_Years]]),Table2[[#This Row],[Exp_Years]])</f>
        <v>2</v>
      </c>
      <c r="Q368">
        <v>5</v>
      </c>
      <c r="R368">
        <v>20000</v>
      </c>
      <c r="S368">
        <f>IF(Table2[[#This Row],[Performance_Rating]]&gt;=3,Table2[[#This Row],[Monthly_Salary]]*0.3,"")</f>
        <v>8400</v>
      </c>
      <c r="T368">
        <v>95</v>
      </c>
      <c r="U368">
        <v>13</v>
      </c>
      <c r="V368">
        <v>5</v>
      </c>
      <c r="W368" t="s">
        <v>37</v>
      </c>
      <c r="X368" t="s">
        <v>19</v>
      </c>
      <c r="Y368" t="str">
        <f>IF(Table2[[#This Row],[Work_Mode]]&lt;&gt;"",Table2[[#This Row],[Work_Mode]],
IF(ISNUMBER(SEARCH("India",Table2[[#This Row],[Emp_Name]])),"Office",
IF(ISNUMBER(SEARCH("Foreign",Table2[[#This Row],[Emp_Name]])),"Remote","")))</f>
        <v>Office</v>
      </c>
      <c r="Z368">
        <v>10</v>
      </c>
      <c r="AA36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368" t="s">
        <v>58</v>
      </c>
      <c r="AC368" t="str">
        <f>IF(COUNTIF(Table2[Emp_ID],Table2[[#This Row],[Emp_ID]])&gt;1,"Duplicate","Unique")</f>
        <v>Unique</v>
      </c>
      <c r="AE368" s="2"/>
      <c r="AG368" t="str">
        <f>IF(Table2[[#This Row],[Monthly_Salary]]="","Exclude",
IF(Table2[[#This Row],[Row_Status]]="Mismatch","Exclude",
IF(AND(Table2[[#This Row],[Row_Status]]="Exact Duplicate",
COUNTIFS(Table2[Emp_ID],Table2[[#This Row],[Emp_ID]],Table2[Row_Concat],Table2[[#This Row],[Row_Concat]],
Table2[Row_Number],"&lt;"&amp;Table2[[#This Row],[Row_Number]])&gt;=1),"Delete","")))</f>
        <v/>
      </c>
      <c r="AH368" t="str">
        <f>VLOOKUP(Table2[[#This Row],[Department]],Raw_2!A:B,2,0)</f>
        <v>Day</v>
      </c>
      <c r="AI368">
        <f>VLOOKUP(Table2[[#This Row],[Department]],Raw_2!A:C,3,0)</f>
        <v>10</v>
      </c>
    </row>
    <row r="369" spans="1:35">
      <c r="A369" t="s">
        <v>777</v>
      </c>
      <c r="B369" t="s">
        <v>778</v>
      </c>
      <c r="C369">
        <v>24</v>
      </c>
      <c r="D369" t="s">
        <v>25</v>
      </c>
      <c r="E369" t="str">
        <f>IF(OR(Table2[[#This Row],[Gender]]="Male",Table2[[#This Row],[Gender]]="M"),"M",
IF(OR(Table2[[#This Row],[Gender]]="Female",Table2[[#This Row],[Gender]]="F"),"F",""))</f>
        <v>F</v>
      </c>
      <c r="F369" t="s">
        <v>73</v>
      </c>
      <c r="G369" t="s">
        <v>18</v>
      </c>
      <c r="H369" t="s">
        <v>43</v>
      </c>
      <c r="I369" t="s">
        <v>1059</v>
      </c>
      <c r="J369" t="str">
        <f>IF(ISNUMBER(SEARCH("India",Table2[[#This Row],[Emp_Name]])),"INR",
IF(ISNUMBER(SEARCH("Foreign",Table2[[#This Row],[Emp_Name]])),Table2[[#This Row],[Currency]],Table2[[#This Row],[Currency]]))</f>
        <v>USD</v>
      </c>
      <c r="K369">
        <v>21000</v>
      </c>
      <c r="L369">
        <v>12</v>
      </c>
      <c r="M369">
        <f>IF(Table2[[#This Row],[Num_Month]]&lt;&gt;12,12,Table2[[#This Row],[Num_Month]])</f>
        <v>12</v>
      </c>
      <c r="N369">
        <f>IF(Table2[[#This Row],[Monthly_Salary]]="","",Table2[[#This Row],[Monthly_Salary]]*Table2[[#This Row],[Num_Month_Final]])</f>
        <v>252000</v>
      </c>
      <c r="O369">
        <v>1</v>
      </c>
      <c r="P369">
        <f>IF(Table2[[#This Row],[Exp_Years]]&lt;0,ABS(Table2[[#This Row],[Exp_Years]]),Table2[[#This Row],[Exp_Years]])</f>
        <v>1</v>
      </c>
      <c r="Q369">
        <v>2</v>
      </c>
      <c r="S369" t="str">
        <f>IF(Table2[[#This Row],[Performance_Rating]]&gt;=3,Table2[[#This Row],[Monthly_Salary]]*0.3,"")</f>
        <v/>
      </c>
      <c r="T369">
        <v>95</v>
      </c>
      <c r="U369">
        <v>13</v>
      </c>
      <c r="V369">
        <v>3</v>
      </c>
      <c r="W369" t="s">
        <v>37</v>
      </c>
      <c r="X369" t="s">
        <v>28</v>
      </c>
      <c r="Y369" t="str">
        <f>IF(Table2[[#This Row],[Work_Mode]]&lt;&gt;"",Table2[[#This Row],[Work_Mode]],
IF(ISNUMBER(SEARCH("India",Table2[[#This Row],[Emp_Name]])),"Office",
IF(ISNUMBER(SEARCH("Foreign",Table2[[#This Row],[Emp_Name]])),"Remote","")))</f>
        <v>Remote</v>
      </c>
      <c r="Z369">
        <v>5</v>
      </c>
      <c r="AA36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69" t="s">
        <v>39</v>
      </c>
      <c r="AC369" t="str">
        <f>IF(COUNTIF(Table2[Emp_ID],Table2[[#This Row],[Emp_ID]])&gt;1,"Duplicate","Unique")</f>
        <v>Unique</v>
      </c>
      <c r="AE369" s="2"/>
      <c r="AG369" t="str">
        <f>IF(Table2[[#This Row],[Monthly_Salary]]="","Exclude",
IF(Table2[[#This Row],[Row_Status]]="Mismatch","Exclude",
IF(AND(Table2[[#This Row],[Row_Status]]="Exact Duplicate",
COUNTIFS(Table2[Emp_ID],Table2[[#This Row],[Emp_ID]],Table2[Row_Concat],Table2[[#This Row],[Row_Concat]],
Table2[Row_Number],"&lt;"&amp;Table2[[#This Row],[Row_Number]])&gt;=1),"Delete","")))</f>
        <v/>
      </c>
      <c r="AH369" t="str">
        <f>VLOOKUP(Table2[[#This Row],[Department]],Raw_2!A:B,2,0)</f>
        <v>Day</v>
      </c>
      <c r="AI369">
        <f>VLOOKUP(Table2[[#This Row],[Department]],Raw_2!A:C,3,0)</f>
        <v>10</v>
      </c>
    </row>
    <row r="370" spans="1:35">
      <c r="A370" t="s">
        <v>779</v>
      </c>
      <c r="B370" t="s">
        <v>780</v>
      </c>
      <c r="C370">
        <v>23</v>
      </c>
      <c r="D370" t="s">
        <v>25</v>
      </c>
      <c r="E370" t="str">
        <f>IF(OR(Table2[[#This Row],[Gender]]="Male",Table2[[#This Row],[Gender]]="M"),"M",
IF(OR(Table2[[#This Row],[Gender]]="Female",Table2[[#This Row],[Gender]]="F"),"F",""))</f>
        <v>F</v>
      </c>
      <c r="F370" t="s">
        <v>57</v>
      </c>
      <c r="G370" t="s">
        <v>18</v>
      </c>
      <c r="H370" t="s">
        <v>43</v>
      </c>
      <c r="I370" t="s">
        <v>1060</v>
      </c>
      <c r="J370" t="str">
        <f>IF(ISNUMBER(SEARCH("India",Table2[[#This Row],[Emp_Name]])),"INR",
IF(ISNUMBER(SEARCH("Foreign",Table2[[#This Row],[Emp_Name]])),Table2[[#This Row],[Currency]],Table2[[#This Row],[Currency]]))</f>
        <v>INR</v>
      </c>
      <c r="K370">
        <v>20000</v>
      </c>
      <c r="L370">
        <v>12</v>
      </c>
      <c r="M370">
        <f>IF(Table2[[#This Row],[Num_Month]]&lt;&gt;12,12,Table2[[#This Row],[Num_Month]])</f>
        <v>12</v>
      </c>
      <c r="N370">
        <f>IF(Table2[[#This Row],[Monthly_Salary]]="","",Table2[[#This Row],[Monthly_Salary]]*Table2[[#This Row],[Num_Month_Final]])</f>
        <v>240000</v>
      </c>
      <c r="O370">
        <v>1</v>
      </c>
      <c r="P370">
        <f>IF(Table2[[#This Row],[Exp_Years]]&lt;0,ABS(Table2[[#This Row],[Exp_Years]]),Table2[[#This Row],[Exp_Years]])</f>
        <v>1</v>
      </c>
      <c r="Q370">
        <v>2</v>
      </c>
      <c r="S370" t="str">
        <f>IF(Table2[[#This Row],[Performance_Rating]]&gt;=3,Table2[[#This Row],[Monthly_Salary]]*0.3,"")</f>
        <v/>
      </c>
      <c r="T370">
        <v>90</v>
      </c>
      <c r="U370">
        <v>10</v>
      </c>
      <c r="V370">
        <v>1</v>
      </c>
      <c r="W370" t="s">
        <v>21</v>
      </c>
      <c r="X370" t="s">
        <v>38</v>
      </c>
      <c r="Y370" t="str">
        <f>IF(Table2[[#This Row],[Work_Mode]]&lt;&gt;"",Table2[[#This Row],[Work_Mode]],
IF(ISNUMBER(SEARCH("India",Table2[[#This Row],[Emp_Name]])),"Office",
IF(ISNUMBER(SEARCH("Foreign",Table2[[#This Row],[Emp_Name]])),"Remote","")))</f>
        <v>Hybrid</v>
      </c>
      <c r="Z370">
        <v>20</v>
      </c>
      <c r="AA37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370" t="s">
        <v>39</v>
      </c>
      <c r="AC370" t="str">
        <f>IF(COUNTIF(Table2[Emp_ID],Table2[[#This Row],[Emp_ID]])&gt;1,"Duplicate","Unique")</f>
        <v>Unique</v>
      </c>
      <c r="AE370" s="2"/>
      <c r="AG370" t="str">
        <f>IF(Table2[[#This Row],[Monthly_Salary]]="","Exclude",
IF(Table2[[#This Row],[Row_Status]]="Mismatch","Exclude",
IF(AND(Table2[[#This Row],[Row_Status]]="Exact Duplicate",
COUNTIFS(Table2[Emp_ID],Table2[[#This Row],[Emp_ID]],Table2[Row_Concat],Table2[[#This Row],[Row_Concat]],
Table2[Row_Number],"&lt;"&amp;Table2[[#This Row],[Row_Number]])&gt;=1),"Delete","")))</f>
        <v/>
      </c>
      <c r="AH370" t="str">
        <f>VLOOKUP(Table2[[#This Row],[Department]],Raw_2!A:B,2,0)</f>
        <v>Day</v>
      </c>
      <c r="AI370">
        <f>VLOOKUP(Table2[[#This Row],[Department]],Raw_2!A:C,3,0)</f>
        <v>10</v>
      </c>
    </row>
    <row r="371" spans="1:35">
      <c r="A371" t="s">
        <v>781</v>
      </c>
      <c r="B371" t="s">
        <v>782</v>
      </c>
      <c r="C371">
        <v>25</v>
      </c>
      <c r="D371" t="s">
        <v>46</v>
      </c>
      <c r="E371" t="str">
        <f>IF(OR(Table2[[#This Row],[Gender]]="Male",Table2[[#This Row],[Gender]]="M"),"M",
IF(OR(Table2[[#This Row],[Gender]]="Female",Table2[[#This Row],[Gender]]="F"),"F",""))</f>
        <v>M</v>
      </c>
      <c r="F371" t="s">
        <v>64</v>
      </c>
      <c r="G371" t="s">
        <v>66</v>
      </c>
      <c r="H371" t="s">
        <v>43</v>
      </c>
      <c r="I371" t="s">
        <v>1060</v>
      </c>
      <c r="J371" t="str">
        <f>IF(ISNUMBER(SEARCH("India",Table2[[#This Row],[Emp_Name]])),"INR",
IF(ISNUMBER(SEARCH("Foreign",Table2[[#This Row],[Emp_Name]])),Table2[[#This Row],[Currency]],Table2[[#This Row],[Currency]]))</f>
        <v>INR</v>
      </c>
      <c r="K371">
        <v>28000</v>
      </c>
      <c r="L371">
        <v>12</v>
      </c>
      <c r="M371">
        <f>IF(Table2[[#This Row],[Num_Month]]&lt;&gt;12,12,Table2[[#This Row],[Num_Month]])</f>
        <v>12</v>
      </c>
      <c r="N371">
        <f>IF(Table2[[#This Row],[Monthly_Salary]]="","",Table2[[#This Row],[Monthly_Salary]]*Table2[[#This Row],[Num_Month_Final]])</f>
        <v>336000</v>
      </c>
      <c r="O371">
        <v>2</v>
      </c>
      <c r="P371">
        <f>IF(Table2[[#This Row],[Exp_Years]]&lt;0,ABS(Table2[[#This Row],[Exp_Years]]),Table2[[#This Row],[Exp_Years]])</f>
        <v>2</v>
      </c>
      <c r="Q371">
        <v>2</v>
      </c>
      <c r="S371" t="str">
        <f>IF(Table2[[#This Row],[Performance_Rating]]&gt;=3,Table2[[#This Row],[Monthly_Salary]]*0.3,"")</f>
        <v/>
      </c>
      <c r="T371">
        <v>85</v>
      </c>
      <c r="U371">
        <v>5</v>
      </c>
      <c r="V371">
        <v>5</v>
      </c>
      <c r="W371" t="s">
        <v>37</v>
      </c>
      <c r="X371" t="s">
        <v>38</v>
      </c>
      <c r="Y371" t="str">
        <f>IF(Table2[[#This Row],[Work_Mode]]&lt;&gt;"",Table2[[#This Row],[Work_Mode]],
IF(ISNUMBER(SEARCH("India",Table2[[#This Row],[Emp_Name]])),"Office",
IF(ISNUMBER(SEARCH("Foreign",Table2[[#This Row],[Emp_Name]])),"Remote","")))</f>
        <v>Hybrid</v>
      </c>
      <c r="Z371">
        <v>20</v>
      </c>
      <c r="AA37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371" t="s">
        <v>39</v>
      </c>
      <c r="AC371" t="str">
        <f>IF(COUNTIF(Table2[Emp_ID],Table2[[#This Row],[Emp_ID]])&gt;1,"Duplicate","Unique")</f>
        <v>Unique</v>
      </c>
      <c r="AE371" s="2"/>
      <c r="AG371" t="str">
        <f>IF(Table2[[#This Row],[Monthly_Salary]]="","Exclude",
IF(Table2[[#This Row],[Row_Status]]="Mismatch","Exclude",
IF(AND(Table2[[#This Row],[Row_Status]]="Exact Duplicate",
COUNTIFS(Table2[Emp_ID],Table2[[#This Row],[Emp_ID]],Table2[Row_Concat],Table2[[#This Row],[Row_Concat]],
Table2[Row_Number],"&lt;"&amp;Table2[[#This Row],[Row_Number]])&gt;=1),"Delete","")))</f>
        <v/>
      </c>
      <c r="AH371" t="str">
        <f>VLOOKUP(Table2[[#This Row],[Department]],Raw_2!A:B,2,0)</f>
        <v>Night</v>
      </c>
      <c r="AI371">
        <f>VLOOKUP(Table2[[#This Row],[Department]],Raw_2!A:C,3,0)</f>
        <v>20</v>
      </c>
    </row>
    <row r="372" spans="1:35">
      <c r="A372" t="s">
        <v>783</v>
      </c>
      <c r="B372" t="s">
        <v>784</v>
      </c>
      <c r="C372">
        <v>25</v>
      </c>
      <c r="E372" t="str">
        <f>IF(OR(Table2[[#This Row],[Gender]]="Male",Table2[[#This Row],[Gender]]="M"),"M",
IF(OR(Table2[[#This Row],[Gender]]="Female",Table2[[#This Row],[Gender]]="F"),"F",""))</f>
        <v/>
      </c>
      <c r="F372" t="s">
        <v>73</v>
      </c>
      <c r="G372" t="s">
        <v>36</v>
      </c>
      <c r="H372" t="s">
        <v>43</v>
      </c>
      <c r="I372" t="s">
        <v>1060</v>
      </c>
      <c r="J372" t="str">
        <f>IF(ISNUMBER(SEARCH("India",Table2[[#This Row],[Emp_Name]])),"INR",
IF(ISNUMBER(SEARCH("Foreign",Table2[[#This Row],[Emp_Name]])),Table2[[#This Row],[Currency]],Table2[[#This Row],[Currency]]))</f>
        <v>INR</v>
      </c>
      <c r="K372">
        <v>24000</v>
      </c>
      <c r="L372">
        <v>12</v>
      </c>
      <c r="M372">
        <f>IF(Table2[[#This Row],[Num_Month]]&lt;&gt;12,12,Table2[[#This Row],[Num_Month]])</f>
        <v>12</v>
      </c>
      <c r="N372">
        <f>IF(Table2[[#This Row],[Monthly_Salary]]="","",Table2[[#This Row],[Monthly_Salary]]*Table2[[#This Row],[Num_Month_Final]])</f>
        <v>288000</v>
      </c>
      <c r="O372">
        <v>1</v>
      </c>
      <c r="P372">
        <f>IF(Table2[[#This Row],[Exp_Years]]&lt;0,ABS(Table2[[#This Row],[Exp_Years]]),Table2[[#This Row],[Exp_Years]])</f>
        <v>1</v>
      </c>
      <c r="Q372">
        <v>2</v>
      </c>
      <c r="S372" t="str">
        <f>IF(Table2[[#This Row],[Performance_Rating]]&gt;=3,Table2[[#This Row],[Monthly_Salary]]*0.3,"")</f>
        <v/>
      </c>
      <c r="T372">
        <v>88</v>
      </c>
      <c r="U372">
        <v>10</v>
      </c>
      <c r="V372">
        <v>1</v>
      </c>
      <c r="W372" t="s">
        <v>21</v>
      </c>
      <c r="X372" t="s">
        <v>38</v>
      </c>
      <c r="Y372" t="str">
        <f>IF(Table2[[#This Row],[Work_Mode]]&lt;&gt;"",Table2[[#This Row],[Work_Mode]],
IF(ISNUMBER(SEARCH("India",Table2[[#This Row],[Emp_Name]])),"Office",
IF(ISNUMBER(SEARCH("Foreign",Table2[[#This Row],[Emp_Name]])),"Remote","")))</f>
        <v>Hybrid</v>
      </c>
      <c r="Z372">
        <v>5</v>
      </c>
      <c r="AA37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72" t="s">
        <v>39</v>
      </c>
      <c r="AC372" t="str">
        <f>IF(COUNTIF(Table2[Emp_ID],Table2[[#This Row],[Emp_ID]])&gt;1,"Duplicate","Unique")</f>
        <v>Unique</v>
      </c>
      <c r="AE372" s="2"/>
      <c r="AG372" t="str">
        <f>IF(Table2[[#This Row],[Monthly_Salary]]="","Exclude",
IF(Table2[[#This Row],[Row_Status]]="Mismatch","Exclude",
IF(AND(Table2[[#This Row],[Row_Status]]="Exact Duplicate",
COUNTIFS(Table2[Emp_ID],Table2[[#This Row],[Emp_ID]],Table2[Row_Concat],Table2[[#This Row],[Row_Concat]],
Table2[Row_Number],"&lt;"&amp;Table2[[#This Row],[Row_Number]])&gt;=1),"Delete","")))</f>
        <v/>
      </c>
      <c r="AH372" t="str">
        <f>VLOOKUP(Table2[[#This Row],[Department]],Raw_2!A:B,2,0)</f>
        <v>Day</v>
      </c>
      <c r="AI372">
        <f>VLOOKUP(Table2[[#This Row],[Department]],Raw_2!A:C,3,0)</f>
        <v>25</v>
      </c>
    </row>
    <row r="373" spans="1:35">
      <c r="A373" t="s">
        <v>785</v>
      </c>
      <c r="B373" t="s">
        <v>786</v>
      </c>
      <c r="C373">
        <v>24</v>
      </c>
      <c r="E373" t="str">
        <f>IF(OR(Table2[[#This Row],[Gender]]="Male",Table2[[#This Row],[Gender]]="M"),"M",
IF(OR(Table2[[#This Row],[Gender]]="Female",Table2[[#This Row],[Gender]]="F"),"F",""))</f>
        <v/>
      </c>
      <c r="F373" t="s">
        <v>73</v>
      </c>
      <c r="G373" t="s">
        <v>27</v>
      </c>
      <c r="H373" t="s">
        <v>43</v>
      </c>
      <c r="I373" t="s">
        <v>1059</v>
      </c>
      <c r="J373" t="str">
        <f>IF(ISNUMBER(SEARCH("India",Table2[[#This Row],[Emp_Name]])),"INR",
IF(ISNUMBER(SEARCH("Foreign",Table2[[#This Row],[Emp_Name]])),Table2[[#This Row],[Currency]],Table2[[#This Row],[Currency]]))</f>
        <v>USD</v>
      </c>
      <c r="K373">
        <v>23000</v>
      </c>
      <c r="L373">
        <v>12</v>
      </c>
      <c r="M373">
        <f>IF(Table2[[#This Row],[Num_Month]]&lt;&gt;12,12,Table2[[#This Row],[Num_Month]])</f>
        <v>12</v>
      </c>
      <c r="N373">
        <f>IF(Table2[[#This Row],[Monthly_Salary]]="","",Table2[[#This Row],[Monthly_Salary]]*Table2[[#This Row],[Num_Month_Final]])</f>
        <v>276000</v>
      </c>
      <c r="O373">
        <v>2</v>
      </c>
      <c r="P373">
        <f>IF(Table2[[#This Row],[Exp_Years]]&lt;0,ABS(Table2[[#This Row],[Exp_Years]]),Table2[[#This Row],[Exp_Years]])</f>
        <v>2</v>
      </c>
      <c r="Q373">
        <v>4</v>
      </c>
      <c r="R373">
        <v>16000</v>
      </c>
      <c r="S373">
        <f>IF(Table2[[#This Row],[Performance_Rating]]&gt;=3,Table2[[#This Row],[Monthly_Salary]]*0.3,"")</f>
        <v>6900</v>
      </c>
      <c r="T373">
        <v>88</v>
      </c>
      <c r="U373">
        <v>10</v>
      </c>
      <c r="V373">
        <v>5</v>
      </c>
      <c r="W373" t="s">
        <v>37</v>
      </c>
      <c r="X373" t="s">
        <v>28</v>
      </c>
      <c r="Y373" t="str">
        <f>IF(Table2[[#This Row],[Work_Mode]]&lt;&gt;"",Table2[[#This Row],[Work_Mode]],
IF(ISNUMBER(SEARCH("India",Table2[[#This Row],[Emp_Name]])),"Office",
IF(ISNUMBER(SEARCH("Foreign",Table2[[#This Row],[Emp_Name]])),"Remote","")))</f>
        <v>Remote</v>
      </c>
      <c r="Z373">
        <v>5</v>
      </c>
      <c r="AA37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73" t="s">
        <v>22</v>
      </c>
      <c r="AC373" t="str">
        <f>IF(COUNTIF(Table2[Emp_ID],Table2[[#This Row],[Emp_ID]])&gt;1,"Duplicate","Unique")</f>
        <v>Unique</v>
      </c>
      <c r="AE373" s="2"/>
      <c r="AG373" t="str">
        <f>IF(Table2[[#This Row],[Monthly_Salary]]="","Exclude",
IF(Table2[[#This Row],[Row_Status]]="Mismatch","Exclude",
IF(AND(Table2[[#This Row],[Row_Status]]="Exact Duplicate",
COUNTIFS(Table2[Emp_ID],Table2[[#This Row],[Emp_ID]],Table2[Row_Concat],Table2[[#This Row],[Row_Concat]],
Table2[Row_Number],"&lt;"&amp;Table2[[#This Row],[Row_Number]])&gt;=1),"Delete","")))</f>
        <v/>
      </c>
      <c r="AH373" t="str">
        <f>VLOOKUP(Table2[[#This Row],[Department]],Raw_2!A:B,2,0)</f>
        <v>Day</v>
      </c>
      <c r="AI373">
        <f>VLOOKUP(Table2[[#This Row],[Department]],Raw_2!A:C,3,0)</f>
        <v>12</v>
      </c>
    </row>
    <row r="374" spans="1:35">
      <c r="A374" t="s">
        <v>787</v>
      </c>
      <c r="B374" t="s">
        <v>788</v>
      </c>
      <c r="C374">
        <v>23</v>
      </c>
      <c r="D374" t="s">
        <v>46</v>
      </c>
      <c r="E374" t="str">
        <f>IF(OR(Table2[[#This Row],[Gender]]="Male",Table2[[#This Row],[Gender]]="M"),"M",
IF(OR(Table2[[#This Row],[Gender]]="Female",Table2[[#This Row],[Gender]]="F"),"F",""))</f>
        <v>M</v>
      </c>
      <c r="F374" t="s">
        <v>50</v>
      </c>
      <c r="G374" t="s">
        <v>18</v>
      </c>
      <c r="H374" t="s">
        <v>43</v>
      </c>
      <c r="I374" t="s">
        <v>1060</v>
      </c>
      <c r="J374" t="str">
        <f>IF(ISNUMBER(SEARCH("India",Table2[[#This Row],[Emp_Name]])),"INR",
IF(ISNUMBER(SEARCH("Foreign",Table2[[#This Row],[Emp_Name]])),Table2[[#This Row],[Currency]],Table2[[#This Row],[Currency]]))</f>
        <v>INR</v>
      </c>
      <c r="K374">
        <v>23000</v>
      </c>
      <c r="L374">
        <v>12</v>
      </c>
      <c r="M374">
        <f>IF(Table2[[#This Row],[Num_Month]]&lt;&gt;12,12,Table2[[#This Row],[Num_Month]])</f>
        <v>12</v>
      </c>
      <c r="N374">
        <f>IF(Table2[[#This Row],[Monthly_Salary]]="","",Table2[[#This Row],[Monthly_Salary]]*Table2[[#This Row],[Num_Month_Final]])</f>
        <v>276000</v>
      </c>
      <c r="O374">
        <v>2</v>
      </c>
      <c r="P374">
        <f>IF(Table2[[#This Row],[Exp_Years]]&lt;0,ABS(Table2[[#This Row],[Exp_Years]]),Table2[[#This Row],[Exp_Years]])</f>
        <v>2</v>
      </c>
      <c r="Q374">
        <v>1</v>
      </c>
      <c r="S374" t="str">
        <f>IF(Table2[[#This Row],[Performance_Rating]]&gt;=3,Table2[[#This Row],[Monthly_Salary]]*0.3,"")</f>
        <v/>
      </c>
      <c r="T374">
        <v>85</v>
      </c>
      <c r="U374">
        <v>15</v>
      </c>
      <c r="V374">
        <v>2</v>
      </c>
      <c r="W374" t="s">
        <v>37</v>
      </c>
      <c r="X374" t="s">
        <v>28</v>
      </c>
      <c r="Y374" t="str">
        <f>IF(Table2[[#This Row],[Work_Mode]]&lt;&gt;"",Table2[[#This Row],[Work_Mode]],
IF(ISNUMBER(SEARCH("India",Table2[[#This Row],[Emp_Name]])),"Office",
IF(ISNUMBER(SEARCH("Foreign",Table2[[#This Row],[Emp_Name]])),"Remote","")))</f>
        <v>Remote</v>
      </c>
      <c r="Z374">
        <v>10</v>
      </c>
      <c r="AA37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374" t="s">
        <v>39</v>
      </c>
      <c r="AC374" t="str">
        <f>IF(COUNTIF(Table2[Emp_ID],Table2[[#This Row],[Emp_ID]])&gt;1,"Duplicate","Unique")</f>
        <v>Unique</v>
      </c>
      <c r="AE374" s="2"/>
      <c r="AG374" t="str">
        <f>IF(Table2[[#This Row],[Monthly_Salary]]="","Exclude",
IF(Table2[[#This Row],[Row_Status]]="Mismatch","Exclude",
IF(AND(Table2[[#This Row],[Row_Status]]="Exact Duplicate",
COUNTIFS(Table2[Emp_ID],Table2[[#This Row],[Emp_ID]],Table2[Row_Concat],Table2[[#This Row],[Row_Concat]],
Table2[Row_Number],"&lt;"&amp;Table2[[#This Row],[Row_Number]])&gt;=1),"Delete","")))</f>
        <v/>
      </c>
      <c r="AH374" t="str">
        <f>VLOOKUP(Table2[[#This Row],[Department]],Raw_2!A:B,2,0)</f>
        <v>Day</v>
      </c>
      <c r="AI374">
        <f>VLOOKUP(Table2[[#This Row],[Department]],Raw_2!A:C,3,0)</f>
        <v>10</v>
      </c>
    </row>
    <row r="375" spans="1:35">
      <c r="A375" t="s">
        <v>789</v>
      </c>
      <c r="B375" t="s">
        <v>790</v>
      </c>
      <c r="C375">
        <v>25</v>
      </c>
      <c r="D375" t="s">
        <v>16</v>
      </c>
      <c r="E375" t="str">
        <f>IF(OR(Table2[[#This Row],[Gender]]="Male",Table2[[#This Row],[Gender]]="M"),"M",
IF(OR(Table2[[#This Row],[Gender]]="Female",Table2[[#This Row],[Gender]]="F"),"F",""))</f>
        <v>M</v>
      </c>
      <c r="F375" t="s">
        <v>65</v>
      </c>
      <c r="G375" t="s">
        <v>42</v>
      </c>
      <c r="H375" t="s">
        <v>43</v>
      </c>
      <c r="I375" t="s">
        <v>1060</v>
      </c>
      <c r="J375" t="str">
        <f>IF(ISNUMBER(SEARCH("India",Table2[[#This Row],[Emp_Name]])),"INR",
IF(ISNUMBER(SEARCH("Foreign",Table2[[#This Row],[Emp_Name]])),Table2[[#This Row],[Currency]],Table2[[#This Row],[Currency]]))</f>
        <v>INR</v>
      </c>
      <c r="K375">
        <v>23000</v>
      </c>
      <c r="L375">
        <v>12</v>
      </c>
      <c r="M375">
        <f>IF(Table2[[#This Row],[Num_Month]]&lt;&gt;12,12,Table2[[#This Row],[Num_Month]])</f>
        <v>12</v>
      </c>
      <c r="N375">
        <f>IF(Table2[[#This Row],[Monthly_Salary]]="","",Table2[[#This Row],[Monthly_Salary]]*Table2[[#This Row],[Num_Month_Final]])</f>
        <v>276000</v>
      </c>
      <c r="O375">
        <v>2</v>
      </c>
      <c r="P375">
        <f>IF(Table2[[#This Row],[Exp_Years]]&lt;0,ABS(Table2[[#This Row],[Exp_Years]]),Table2[[#This Row],[Exp_Years]])</f>
        <v>2</v>
      </c>
      <c r="Q375">
        <v>2</v>
      </c>
      <c r="S375" t="str">
        <f>IF(Table2[[#This Row],[Performance_Rating]]&gt;=3,Table2[[#This Row],[Monthly_Salary]]*0.3,"")</f>
        <v/>
      </c>
      <c r="T375">
        <v>80</v>
      </c>
      <c r="U375">
        <v>13</v>
      </c>
      <c r="V375">
        <v>2</v>
      </c>
      <c r="W375" t="s">
        <v>21</v>
      </c>
      <c r="X375" t="s">
        <v>38</v>
      </c>
      <c r="Y375" t="str">
        <f>IF(Table2[[#This Row],[Work_Mode]]&lt;&gt;"",Table2[[#This Row],[Work_Mode]],
IF(ISNUMBER(SEARCH("India",Table2[[#This Row],[Emp_Name]])),"Office",
IF(ISNUMBER(SEARCH("Foreign",Table2[[#This Row],[Emp_Name]])),"Remote","")))</f>
        <v>Hybrid</v>
      </c>
      <c r="Z375">
        <v>5</v>
      </c>
      <c r="AA37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75" t="s">
        <v>39</v>
      </c>
      <c r="AC375" t="str">
        <f>IF(COUNTIF(Table2[Emp_ID],Table2[[#This Row],[Emp_ID]])&gt;1,"Duplicate","Unique")</f>
        <v>Unique</v>
      </c>
      <c r="AE375" s="2"/>
      <c r="AG375" t="str">
        <f>IF(Table2[[#This Row],[Monthly_Salary]]="","Exclude",
IF(Table2[[#This Row],[Row_Status]]="Mismatch","Exclude",
IF(AND(Table2[[#This Row],[Row_Status]]="Exact Duplicate",
COUNTIFS(Table2[Emp_ID],Table2[[#This Row],[Emp_ID]],Table2[Row_Concat],Table2[[#This Row],[Row_Concat]],
Table2[Row_Number],"&lt;"&amp;Table2[[#This Row],[Row_Number]])&gt;=1),"Delete","")))</f>
        <v/>
      </c>
      <c r="AH375" t="str">
        <f>VLOOKUP(Table2[[#This Row],[Department]],Raw_2!A:B,2,0)</f>
        <v>Day</v>
      </c>
      <c r="AI375">
        <f>VLOOKUP(Table2[[#This Row],[Department]],Raw_2!A:C,3,0)</f>
        <v>14</v>
      </c>
    </row>
    <row r="376" spans="1:35">
      <c r="A376" t="s">
        <v>791</v>
      </c>
      <c r="B376" t="s">
        <v>792</v>
      </c>
      <c r="C376">
        <v>25</v>
      </c>
      <c r="D376" t="s">
        <v>16</v>
      </c>
      <c r="E376" t="str">
        <f>IF(OR(Table2[[#This Row],[Gender]]="Male",Table2[[#This Row],[Gender]]="M"),"M",
IF(OR(Table2[[#This Row],[Gender]]="Female",Table2[[#This Row],[Gender]]="F"),"F",""))</f>
        <v>M</v>
      </c>
      <c r="F376" t="s">
        <v>57</v>
      </c>
      <c r="G376" t="s">
        <v>18</v>
      </c>
      <c r="H376" t="s">
        <v>43</v>
      </c>
      <c r="I376" t="s">
        <v>1060</v>
      </c>
      <c r="J376" t="str">
        <f>IF(ISNUMBER(SEARCH("India",Table2[[#This Row],[Emp_Name]])),"INR",
IF(ISNUMBER(SEARCH("Foreign",Table2[[#This Row],[Emp_Name]])),Table2[[#This Row],[Currency]],Table2[[#This Row],[Currency]]))</f>
        <v>INR</v>
      </c>
      <c r="K376">
        <v>9700</v>
      </c>
      <c r="L376">
        <v>12</v>
      </c>
      <c r="M376">
        <f>IF(Table2[[#This Row],[Num_Month]]&lt;&gt;12,12,Table2[[#This Row],[Num_Month]])</f>
        <v>12</v>
      </c>
      <c r="N376">
        <f>IF(Table2[[#This Row],[Monthly_Salary]]="","",Table2[[#This Row],[Monthly_Salary]]*Table2[[#This Row],[Num_Month_Final]])</f>
        <v>116400</v>
      </c>
      <c r="O376">
        <v>1</v>
      </c>
      <c r="P376">
        <f>IF(Table2[[#This Row],[Exp_Years]]&lt;0,ABS(Table2[[#This Row],[Exp_Years]]),Table2[[#This Row],[Exp_Years]])</f>
        <v>1</v>
      </c>
      <c r="Q376">
        <v>4</v>
      </c>
      <c r="R376">
        <v>18000</v>
      </c>
      <c r="S376">
        <f>IF(Table2[[#This Row],[Performance_Rating]]&gt;=3,Table2[[#This Row],[Monthly_Salary]]*0.3,"")</f>
        <v>2910</v>
      </c>
      <c r="T376">
        <v>85</v>
      </c>
      <c r="U376">
        <v>13</v>
      </c>
      <c r="V376">
        <v>2</v>
      </c>
      <c r="W376" t="s">
        <v>37</v>
      </c>
      <c r="X376" t="s">
        <v>38</v>
      </c>
      <c r="Y376" t="str">
        <f>IF(Table2[[#This Row],[Work_Mode]]&lt;&gt;"",Table2[[#This Row],[Work_Mode]],
IF(ISNUMBER(SEARCH("India",Table2[[#This Row],[Emp_Name]])),"Office",
IF(ISNUMBER(SEARCH("Foreign",Table2[[#This Row],[Emp_Name]])),"Remote","")))</f>
        <v>Hybrid</v>
      </c>
      <c r="AA37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76" t="s">
        <v>22</v>
      </c>
      <c r="AC376" t="str">
        <f>IF(COUNTIF(Table2[Emp_ID],Table2[[#This Row],[Emp_ID]])&gt;1,"Duplicate","Unique")</f>
        <v>Unique</v>
      </c>
      <c r="AE376" s="2"/>
      <c r="AG376" t="str">
        <f>IF(Table2[[#This Row],[Monthly_Salary]]="","Exclude",
IF(Table2[[#This Row],[Row_Status]]="Mismatch","Exclude",
IF(AND(Table2[[#This Row],[Row_Status]]="Exact Duplicate",
COUNTIFS(Table2[Emp_ID],Table2[[#This Row],[Emp_ID]],Table2[Row_Concat],Table2[[#This Row],[Row_Concat]],
Table2[Row_Number],"&lt;"&amp;Table2[[#This Row],[Row_Number]])&gt;=1),"Delete","")))</f>
        <v/>
      </c>
      <c r="AH376" t="str">
        <f>VLOOKUP(Table2[[#This Row],[Department]],Raw_2!A:B,2,0)</f>
        <v>Day</v>
      </c>
      <c r="AI376">
        <f>VLOOKUP(Table2[[#This Row],[Department]],Raw_2!A:C,3,0)</f>
        <v>10</v>
      </c>
    </row>
    <row r="377" spans="1:35">
      <c r="A377" t="s">
        <v>793</v>
      </c>
      <c r="B377" t="s">
        <v>794</v>
      </c>
      <c r="C377">
        <v>25</v>
      </c>
      <c r="D377" t="s">
        <v>16</v>
      </c>
      <c r="E377" t="str">
        <f>IF(OR(Table2[[#This Row],[Gender]]="Male",Table2[[#This Row],[Gender]]="M"),"M",
IF(OR(Table2[[#This Row],[Gender]]="Female",Table2[[#This Row],[Gender]]="F"),"F",""))</f>
        <v>M</v>
      </c>
      <c r="F377" t="s">
        <v>47</v>
      </c>
      <c r="G377" t="s">
        <v>18</v>
      </c>
      <c r="H377" t="s">
        <v>43</v>
      </c>
      <c r="I377" t="s">
        <v>1060</v>
      </c>
      <c r="J377" t="str">
        <f>IF(ISNUMBER(SEARCH("India",Table2[[#This Row],[Emp_Name]])),"INR",
IF(ISNUMBER(SEARCH("Foreign",Table2[[#This Row],[Emp_Name]])),Table2[[#This Row],[Currency]],Table2[[#This Row],[Currency]]))</f>
        <v>INR</v>
      </c>
      <c r="K377">
        <v>23000</v>
      </c>
      <c r="L377">
        <v>12</v>
      </c>
      <c r="M377">
        <f>IF(Table2[[#This Row],[Num_Month]]&lt;&gt;12,12,Table2[[#This Row],[Num_Month]])</f>
        <v>12</v>
      </c>
      <c r="N377">
        <f>IF(Table2[[#This Row],[Monthly_Salary]]="","",Table2[[#This Row],[Monthly_Salary]]*Table2[[#This Row],[Num_Month_Final]])</f>
        <v>276000</v>
      </c>
      <c r="O377">
        <v>2</v>
      </c>
      <c r="P377">
        <f>IF(Table2[[#This Row],[Exp_Years]]&lt;0,ABS(Table2[[#This Row],[Exp_Years]]),Table2[[#This Row],[Exp_Years]])</f>
        <v>2</v>
      </c>
      <c r="Q377">
        <v>2</v>
      </c>
      <c r="S377" t="str">
        <f>IF(Table2[[#This Row],[Performance_Rating]]&gt;=3,Table2[[#This Row],[Monthly_Salary]]*0.3,"")</f>
        <v/>
      </c>
      <c r="T377">
        <v>85</v>
      </c>
      <c r="U377">
        <v>10</v>
      </c>
      <c r="V377">
        <v>1</v>
      </c>
      <c r="W377" t="s">
        <v>21</v>
      </c>
      <c r="X377" t="s">
        <v>38</v>
      </c>
      <c r="Y377" t="str">
        <f>IF(Table2[[#This Row],[Work_Mode]]&lt;&gt;"",Table2[[#This Row],[Work_Mode]],
IF(ISNUMBER(SEARCH("India",Table2[[#This Row],[Emp_Name]])),"Office",
IF(ISNUMBER(SEARCH("Foreign",Table2[[#This Row],[Emp_Name]])),"Remote","")))</f>
        <v>Hybrid</v>
      </c>
      <c r="AA37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77" t="s">
        <v>39</v>
      </c>
      <c r="AC377" t="str">
        <f>IF(COUNTIF(Table2[Emp_ID],Table2[[#This Row],[Emp_ID]])&gt;1,"Duplicate","Unique")</f>
        <v>Unique</v>
      </c>
      <c r="AE377" s="2"/>
      <c r="AG377" t="str">
        <f>IF(Table2[[#This Row],[Monthly_Salary]]="","Exclude",
IF(Table2[[#This Row],[Row_Status]]="Mismatch","Exclude",
IF(AND(Table2[[#This Row],[Row_Status]]="Exact Duplicate",
COUNTIFS(Table2[Emp_ID],Table2[[#This Row],[Emp_ID]],Table2[Row_Concat],Table2[[#This Row],[Row_Concat]],
Table2[Row_Number],"&lt;"&amp;Table2[[#This Row],[Row_Number]])&gt;=1),"Delete","")))</f>
        <v/>
      </c>
      <c r="AH377" t="str">
        <f>VLOOKUP(Table2[[#This Row],[Department]],Raw_2!A:B,2,0)</f>
        <v>Day</v>
      </c>
      <c r="AI377">
        <f>VLOOKUP(Table2[[#This Row],[Department]],Raw_2!A:C,3,0)</f>
        <v>10</v>
      </c>
    </row>
    <row r="378" spans="1:35">
      <c r="A378" t="s">
        <v>795</v>
      </c>
      <c r="B378" t="s">
        <v>796</v>
      </c>
      <c r="C378">
        <v>25</v>
      </c>
      <c r="D378" t="s">
        <v>34</v>
      </c>
      <c r="E378" t="str">
        <f>IF(OR(Table2[[#This Row],[Gender]]="Male",Table2[[#This Row],[Gender]]="M"),"M",
IF(OR(Table2[[#This Row],[Gender]]="Female",Table2[[#This Row],[Gender]]="F"),"F",""))</f>
        <v>F</v>
      </c>
      <c r="F378" t="s">
        <v>50</v>
      </c>
      <c r="G378" t="s">
        <v>42</v>
      </c>
      <c r="H378" t="s">
        <v>43</v>
      </c>
      <c r="I378" t="s">
        <v>1059</v>
      </c>
      <c r="J378" t="str">
        <f>IF(ISNUMBER(SEARCH("India",Table2[[#This Row],[Emp_Name]])),"INR",
IF(ISNUMBER(SEARCH("Foreign",Table2[[#This Row],[Emp_Name]])),Table2[[#This Row],[Currency]],Table2[[#This Row],[Currency]]))</f>
        <v>USD</v>
      </c>
      <c r="K378">
        <v>24000</v>
      </c>
      <c r="L378">
        <v>12</v>
      </c>
      <c r="M378">
        <f>IF(Table2[[#This Row],[Num_Month]]&lt;&gt;12,12,Table2[[#This Row],[Num_Month]])</f>
        <v>12</v>
      </c>
      <c r="N378">
        <f>IF(Table2[[#This Row],[Monthly_Salary]]="","",Table2[[#This Row],[Monthly_Salary]]*Table2[[#This Row],[Num_Month_Final]])</f>
        <v>288000</v>
      </c>
      <c r="O378">
        <v>1</v>
      </c>
      <c r="P378">
        <f>IF(Table2[[#This Row],[Exp_Years]]&lt;0,ABS(Table2[[#This Row],[Exp_Years]]),Table2[[#This Row],[Exp_Years]])</f>
        <v>1</v>
      </c>
      <c r="Q378">
        <v>1</v>
      </c>
      <c r="S378" t="str">
        <f>IF(Table2[[#This Row],[Performance_Rating]]&gt;=3,Table2[[#This Row],[Monthly_Salary]]*0.3,"")</f>
        <v/>
      </c>
      <c r="T378">
        <v>95</v>
      </c>
      <c r="U378">
        <v>13</v>
      </c>
      <c r="V378">
        <v>2</v>
      </c>
      <c r="X378" t="s">
        <v>28</v>
      </c>
      <c r="Y378" t="str">
        <f>IF(Table2[[#This Row],[Work_Mode]]&lt;&gt;"",Table2[[#This Row],[Work_Mode]],
IF(ISNUMBER(SEARCH("India",Table2[[#This Row],[Emp_Name]])),"Office",
IF(ISNUMBER(SEARCH("Foreign",Table2[[#This Row],[Emp_Name]])),"Remote","")))</f>
        <v>Remote</v>
      </c>
      <c r="Z378">
        <v>5</v>
      </c>
      <c r="AA37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78" t="s">
        <v>39</v>
      </c>
      <c r="AC378" t="str">
        <f>IF(COUNTIF(Table2[Emp_ID],Table2[[#This Row],[Emp_ID]])&gt;1,"Duplicate","Unique")</f>
        <v>Unique</v>
      </c>
      <c r="AE378" s="2"/>
      <c r="AG378" t="str">
        <f>IF(Table2[[#This Row],[Monthly_Salary]]="","Exclude",
IF(Table2[[#This Row],[Row_Status]]="Mismatch","Exclude",
IF(AND(Table2[[#This Row],[Row_Status]]="Exact Duplicate",
COUNTIFS(Table2[Emp_ID],Table2[[#This Row],[Emp_ID]],Table2[Row_Concat],Table2[[#This Row],[Row_Concat]],
Table2[Row_Number],"&lt;"&amp;Table2[[#This Row],[Row_Number]])&gt;=1),"Delete","")))</f>
        <v/>
      </c>
      <c r="AH378" t="str">
        <f>VLOOKUP(Table2[[#This Row],[Department]],Raw_2!A:B,2,0)</f>
        <v>Day</v>
      </c>
      <c r="AI378">
        <f>VLOOKUP(Table2[[#This Row],[Department]],Raw_2!A:C,3,0)</f>
        <v>14</v>
      </c>
    </row>
    <row r="379" spans="1:35">
      <c r="A379" t="s">
        <v>797</v>
      </c>
      <c r="B379" t="s">
        <v>798</v>
      </c>
      <c r="C379">
        <v>25</v>
      </c>
      <c r="E379" t="str">
        <f>IF(OR(Table2[[#This Row],[Gender]]="Male",Table2[[#This Row],[Gender]]="M"),"M",
IF(OR(Table2[[#This Row],[Gender]]="Female",Table2[[#This Row],[Gender]]="F"),"F",""))</f>
        <v/>
      </c>
      <c r="F379" t="s">
        <v>17</v>
      </c>
      <c r="G379" t="s">
        <v>27</v>
      </c>
      <c r="H379" t="s">
        <v>43</v>
      </c>
      <c r="I379" t="s">
        <v>1060</v>
      </c>
      <c r="J379" t="str">
        <f>IF(ISNUMBER(SEARCH("India",Table2[[#This Row],[Emp_Name]])),"INR",
IF(ISNUMBER(SEARCH("Foreign",Table2[[#This Row],[Emp_Name]])),Table2[[#This Row],[Currency]],Table2[[#This Row],[Currency]]))</f>
        <v>INR</v>
      </c>
      <c r="K379">
        <v>23000</v>
      </c>
      <c r="L379">
        <v>12</v>
      </c>
      <c r="M379">
        <f>IF(Table2[[#This Row],[Num_Month]]&lt;&gt;12,12,Table2[[#This Row],[Num_Month]])</f>
        <v>12</v>
      </c>
      <c r="N379">
        <f>IF(Table2[[#This Row],[Monthly_Salary]]="","",Table2[[#This Row],[Monthly_Salary]]*Table2[[#This Row],[Num_Month_Final]])</f>
        <v>276000</v>
      </c>
      <c r="O379">
        <v>2</v>
      </c>
      <c r="P379">
        <f>IF(Table2[[#This Row],[Exp_Years]]&lt;0,ABS(Table2[[#This Row],[Exp_Years]]),Table2[[#This Row],[Exp_Years]])</f>
        <v>2</v>
      </c>
      <c r="Q379">
        <v>1</v>
      </c>
      <c r="S379" t="str">
        <f>IF(Table2[[#This Row],[Performance_Rating]]&gt;=3,Table2[[#This Row],[Monthly_Salary]]*0.3,"")</f>
        <v/>
      </c>
      <c r="T379">
        <v>85</v>
      </c>
      <c r="U379">
        <v>5</v>
      </c>
      <c r="V379">
        <v>5</v>
      </c>
      <c r="W379" t="s">
        <v>21</v>
      </c>
      <c r="X379" t="s">
        <v>38</v>
      </c>
      <c r="Y379" t="str">
        <f>IF(Table2[[#This Row],[Work_Mode]]&lt;&gt;"",Table2[[#This Row],[Work_Mode]],
IF(ISNUMBER(SEARCH("India",Table2[[#This Row],[Emp_Name]])),"Office",
IF(ISNUMBER(SEARCH("Foreign",Table2[[#This Row],[Emp_Name]])),"Remote","")))</f>
        <v>Hybrid</v>
      </c>
      <c r="AA37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79" t="s">
        <v>39</v>
      </c>
      <c r="AC379" t="str">
        <f>IF(COUNTIF(Table2[Emp_ID],Table2[[#This Row],[Emp_ID]])&gt;1,"Duplicate","Unique")</f>
        <v>Unique</v>
      </c>
      <c r="AE379" s="2"/>
      <c r="AG379" t="str">
        <f>IF(Table2[[#This Row],[Monthly_Salary]]="","Exclude",
IF(Table2[[#This Row],[Row_Status]]="Mismatch","Exclude",
IF(AND(Table2[[#This Row],[Row_Status]]="Exact Duplicate",
COUNTIFS(Table2[Emp_ID],Table2[[#This Row],[Emp_ID]],Table2[Row_Concat],Table2[[#This Row],[Row_Concat]],
Table2[Row_Number],"&lt;"&amp;Table2[[#This Row],[Row_Number]])&gt;=1),"Delete","")))</f>
        <v/>
      </c>
      <c r="AH379" t="str">
        <f>VLOOKUP(Table2[[#This Row],[Department]],Raw_2!A:B,2,0)</f>
        <v>Day</v>
      </c>
      <c r="AI379">
        <f>VLOOKUP(Table2[[#This Row],[Department]],Raw_2!A:C,3,0)</f>
        <v>12</v>
      </c>
    </row>
    <row r="380" spans="1:35">
      <c r="A380" t="s">
        <v>799</v>
      </c>
      <c r="B380" t="s">
        <v>800</v>
      </c>
      <c r="C380">
        <v>23</v>
      </c>
      <c r="D380" t="s">
        <v>34</v>
      </c>
      <c r="E380" t="str">
        <f>IF(OR(Table2[[#This Row],[Gender]]="Male",Table2[[#This Row],[Gender]]="M"),"M",
IF(OR(Table2[[#This Row],[Gender]]="Female",Table2[[#This Row],[Gender]]="F"),"F",""))</f>
        <v>F</v>
      </c>
      <c r="F380" t="s">
        <v>35</v>
      </c>
      <c r="G380" t="s">
        <v>42</v>
      </c>
      <c r="H380" t="s">
        <v>43</v>
      </c>
      <c r="I380" t="s">
        <v>1060</v>
      </c>
      <c r="J380" t="str">
        <f>IF(ISNUMBER(SEARCH("India",Table2[[#This Row],[Emp_Name]])),"INR",
IF(ISNUMBER(SEARCH("Foreign",Table2[[#This Row],[Emp_Name]])),Table2[[#This Row],[Currency]],Table2[[#This Row],[Currency]]))</f>
        <v>INR</v>
      </c>
      <c r="K380">
        <v>23000</v>
      </c>
      <c r="L380">
        <v>12</v>
      </c>
      <c r="M380">
        <f>IF(Table2[[#This Row],[Num_Month]]&lt;&gt;12,12,Table2[[#This Row],[Num_Month]])</f>
        <v>12</v>
      </c>
      <c r="N380">
        <f>IF(Table2[[#This Row],[Monthly_Salary]]="","",Table2[[#This Row],[Monthly_Salary]]*Table2[[#This Row],[Num_Month_Final]])</f>
        <v>276000</v>
      </c>
      <c r="O380">
        <v>2</v>
      </c>
      <c r="P380">
        <f>IF(Table2[[#This Row],[Exp_Years]]&lt;0,ABS(Table2[[#This Row],[Exp_Years]]),Table2[[#This Row],[Exp_Years]])</f>
        <v>2</v>
      </c>
      <c r="Q380">
        <v>1</v>
      </c>
      <c r="S380" t="str">
        <f>IF(Table2[[#This Row],[Performance_Rating]]&gt;=3,Table2[[#This Row],[Monthly_Salary]]*0.3,"")</f>
        <v/>
      </c>
      <c r="T380">
        <v>88</v>
      </c>
      <c r="U380">
        <v>10</v>
      </c>
      <c r="V380">
        <v>5</v>
      </c>
      <c r="W380" t="s">
        <v>21</v>
      </c>
      <c r="X380" t="s">
        <v>38</v>
      </c>
      <c r="Y380" t="str">
        <f>IF(Table2[[#This Row],[Work_Mode]]&lt;&gt;"",Table2[[#This Row],[Work_Mode]],
IF(ISNUMBER(SEARCH("India",Table2[[#This Row],[Emp_Name]])),"Office",
IF(ISNUMBER(SEARCH("Foreign",Table2[[#This Row],[Emp_Name]])),"Remote","")))</f>
        <v>Hybrid</v>
      </c>
      <c r="Z380">
        <v>5</v>
      </c>
      <c r="AA38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80" t="s">
        <v>39</v>
      </c>
      <c r="AC380" t="str">
        <f>IF(COUNTIF(Table2[Emp_ID],Table2[[#This Row],[Emp_ID]])&gt;1,"Duplicate","Unique")</f>
        <v>Unique</v>
      </c>
      <c r="AE380" s="2"/>
      <c r="AG380" t="str">
        <f>IF(Table2[[#This Row],[Monthly_Salary]]="","Exclude",
IF(Table2[[#This Row],[Row_Status]]="Mismatch","Exclude",
IF(AND(Table2[[#This Row],[Row_Status]]="Exact Duplicate",
COUNTIFS(Table2[Emp_ID],Table2[[#This Row],[Emp_ID]],Table2[Row_Concat],Table2[[#This Row],[Row_Concat]],
Table2[Row_Number],"&lt;"&amp;Table2[[#This Row],[Row_Number]])&gt;=1),"Delete","")))</f>
        <v/>
      </c>
      <c r="AH380" t="str">
        <f>VLOOKUP(Table2[[#This Row],[Department]],Raw_2!A:B,2,0)</f>
        <v>Day</v>
      </c>
      <c r="AI380">
        <f>VLOOKUP(Table2[[#This Row],[Department]],Raw_2!A:C,3,0)</f>
        <v>14</v>
      </c>
    </row>
    <row r="381" spans="1:35">
      <c r="A381" t="s">
        <v>801</v>
      </c>
      <c r="B381" t="s">
        <v>802</v>
      </c>
      <c r="C381">
        <v>23</v>
      </c>
      <c r="D381" t="s">
        <v>25</v>
      </c>
      <c r="E381" t="str">
        <f>IF(OR(Table2[[#This Row],[Gender]]="Male",Table2[[#This Row],[Gender]]="M"),"M",
IF(OR(Table2[[#This Row],[Gender]]="Female",Table2[[#This Row],[Gender]]="F"),"F",""))</f>
        <v>F</v>
      </c>
      <c r="F381" t="s">
        <v>64</v>
      </c>
      <c r="G381" t="s">
        <v>18</v>
      </c>
      <c r="H381" t="s">
        <v>43</v>
      </c>
      <c r="I381" t="s">
        <v>1060</v>
      </c>
      <c r="J381" t="str">
        <f>IF(ISNUMBER(SEARCH("India",Table2[[#This Row],[Emp_Name]])),"INR",
IF(ISNUMBER(SEARCH("Foreign",Table2[[#This Row],[Emp_Name]])),Table2[[#This Row],[Currency]],Table2[[#This Row],[Currency]]))</f>
        <v>INR</v>
      </c>
      <c r="K381">
        <v>19500</v>
      </c>
      <c r="L381">
        <v>12</v>
      </c>
      <c r="M381">
        <f>IF(Table2[[#This Row],[Num_Month]]&lt;&gt;12,12,Table2[[#This Row],[Num_Month]])</f>
        <v>12</v>
      </c>
      <c r="N381">
        <f>IF(Table2[[#This Row],[Monthly_Salary]]="","",Table2[[#This Row],[Monthly_Salary]]*Table2[[#This Row],[Num_Month_Final]])</f>
        <v>234000</v>
      </c>
      <c r="O381">
        <v>1</v>
      </c>
      <c r="P381">
        <f>IF(Table2[[#This Row],[Exp_Years]]&lt;0,ABS(Table2[[#This Row],[Exp_Years]]),Table2[[#This Row],[Exp_Years]])</f>
        <v>1</v>
      </c>
      <c r="S381" t="str">
        <f>IF(Table2[[#This Row],[Performance_Rating]]&gt;=3,Table2[[#This Row],[Monthly_Salary]]*0.3,"")</f>
        <v/>
      </c>
      <c r="T381">
        <v>85</v>
      </c>
      <c r="U381">
        <v>10</v>
      </c>
      <c r="V381">
        <v>8</v>
      </c>
      <c r="X381" t="s">
        <v>28</v>
      </c>
      <c r="Y381" t="str">
        <f>IF(Table2[[#This Row],[Work_Mode]]&lt;&gt;"",Table2[[#This Row],[Work_Mode]],
IF(ISNUMBER(SEARCH("India",Table2[[#This Row],[Emp_Name]])),"Office",
IF(ISNUMBER(SEARCH("Foreign",Table2[[#This Row],[Emp_Name]])),"Remote","")))</f>
        <v>Remote</v>
      </c>
      <c r="AA38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81" t="s">
        <v>1054</v>
      </c>
      <c r="AC381" t="str">
        <f>IF(COUNTIF(Table2[Emp_ID],Table2[[#This Row],[Emp_ID]])&gt;1,"Duplicate","Unique")</f>
        <v>Unique</v>
      </c>
      <c r="AE381" s="2"/>
      <c r="AG381" t="str">
        <f>IF(Table2[[#This Row],[Monthly_Salary]]="","Exclude",
IF(Table2[[#This Row],[Row_Status]]="Mismatch","Exclude",
IF(AND(Table2[[#This Row],[Row_Status]]="Exact Duplicate",
COUNTIFS(Table2[Emp_ID],Table2[[#This Row],[Emp_ID]],Table2[Row_Concat],Table2[[#This Row],[Row_Concat]],
Table2[Row_Number],"&lt;"&amp;Table2[[#This Row],[Row_Number]])&gt;=1),"Delete","")))</f>
        <v/>
      </c>
      <c r="AH381" t="str">
        <f>VLOOKUP(Table2[[#This Row],[Department]],Raw_2!A:B,2,0)</f>
        <v>Day</v>
      </c>
      <c r="AI381">
        <f>VLOOKUP(Table2[[#This Row],[Department]],Raw_2!A:C,3,0)</f>
        <v>10</v>
      </c>
    </row>
    <row r="382" spans="1:35">
      <c r="A382" t="s">
        <v>803</v>
      </c>
      <c r="B382" t="s">
        <v>804</v>
      </c>
      <c r="C382">
        <v>26</v>
      </c>
      <c r="D382" t="s">
        <v>25</v>
      </c>
      <c r="E382" t="str">
        <f>IF(OR(Table2[[#This Row],[Gender]]="Male",Table2[[#This Row],[Gender]]="M"),"M",
IF(OR(Table2[[#This Row],[Gender]]="Female",Table2[[#This Row],[Gender]]="F"),"F",""))</f>
        <v>F</v>
      </c>
      <c r="F382" t="s">
        <v>50</v>
      </c>
      <c r="G382" t="s">
        <v>42</v>
      </c>
      <c r="H382" t="s">
        <v>1048</v>
      </c>
      <c r="I382" t="s">
        <v>1060</v>
      </c>
      <c r="J382" t="str">
        <f>IF(ISNUMBER(SEARCH("India",Table2[[#This Row],[Emp_Name]])),"INR",
IF(ISNUMBER(SEARCH("Foreign",Table2[[#This Row],[Emp_Name]])),Table2[[#This Row],[Currency]],Table2[[#This Row],[Currency]]))</f>
        <v>INR</v>
      </c>
      <c r="K382">
        <v>60000</v>
      </c>
      <c r="L382">
        <v>12</v>
      </c>
      <c r="M382">
        <f>IF(Table2[[#This Row],[Num_Month]]&lt;&gt;12,12,Table2[[#This Row],[Num_Month]])</f>
        <v>12</v>
      </c>
      <c r="N382">
        <f>IF(Table2[[#This Row],[Monthly_Salary]]="","",Table2[[#This Row],[Monthly_Salary]]*Table2[[#This Row],[Num_Month_Final]])</f>
        <v>720000</v>
      </c>
      <c r="O382">
        <v>4</v>
      </c>
      <c r="P382">
        <f>IF(Table2[[#This Row],[Exp_Years]]&lt;0,ABS(Table2[[#This Row],[Exp_Years]]),Table2[[#This Row],[Exp_Years]])</f>
        <v>4</v>
      </c>
      <c r="Q382">
        <v>2</v>
      </c>
      <c r="S382" t="str">
        <f>IF(Table2[[#This Row],[Performance_Rating]]&gt;=3,Table2[[#This Row],[Monthly_Salary]]*0.3,"")</f>
        <v/>
      </c>
      <c r="T382">
        <v>90</v>
      </c>
      <c r="U382">
        <v>5</v>
      </c>
      <c r="V382">
        <v>2</v>
      </c>
      <c r="W382" t="s">
        <v>37</v>
      </c>
      <c r="X382" t="s">
        <v>38</v>
      </c>
      <c r="Y382" t="str">
        <f>IF(Table2[[#This Row],[Work_Mode]]&lt;&gt;"",Table2[[#This Row],[Work_Mode]],
IF(ISNUMBER(SEARCH("India",Table2[[#This Row],[Emp_Name]])),"Office",
IF(ISNUMBER(SEARCH("Foreign",Table2[[#This Row],[Emp_Name]])),"Remote","")))</f>
        <v>Hybrid</v>
      </c>
      <c r="Z382">
        <v>5</v>
      </c>
      <c r="AA38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382" t="s">
        <v>39</v>
      </c>
      <c r="AC382" t="str">
        <f>IF(COUNTIF(Table2[Emp_ID],Table2[[#This Row],[Emp_ID]])&gt;1,"Duplicate","Unique")</f>
        <v>Unique</v>
      </c>
      <c r="AE382" s="2"/>
      <c r="AG382" t="str">
        <f>IF(Table2[[#This Row],[Monthly_Salary]]="","Exclude",
IF(Table2[[#This Row],[Row_Status]]="Mismatch","Exclude",
IF(AND(Table2[[#This Row],[Row_Status]]="Exact Duplicate",
COUNTIFS(Table2[Emp_ID],Table2[[#This Row],[Emp_ID]],Table2[Row_Concat],Table2[[#This Row],[Row_Concat]],
Table2[Row_Number],"&lt;"&amp;Table2[[#This Row],[Row_Number]])&gt;=1),"Delete","")))</f>
        <v/>
      </c>
      <c r="AH382" t="str">
        <f>VLOOKUP(Table2[[#This Row],[Department]],Raw_2!A:B,2,0)</f>
        <v>Day</v>
      </c>
      <c r="AI382">
        <f>VLOOKUP(Table2[[#This Row],[Department]],Raw_2!A:C,3,0)</f>
        <v>14</v>
      </c>
    </row>
    <row r="383" spans="1:35">
      <c r="A383" t="s">
        <v>805</v>
      </c>
      <c r="B383" t="s">
        <v>806</v>
      </c>
      <c r="C383">
        <v>26</v>
      </c>
      <c r="D383" t="s">
        <v>46</v>
      </c>
      <c r="E383" t="str">
        <f>IF(OR(Table2[[#This Row],[Gender]]="Male",Table2[[#This Row],[Gender]]="M"),"M",
IF(OR(Table2[[#This Row],[Gender]]="Female",Table2[[#This Row],[Gender]]="F"),"F",""))</f>
        <v>M</v>
      </c>
      <c r="F383" t="s">
        <v>17</v>
      </c>
      <c r="G383" t="s">
        <v>42</v>
      </c>
      <c r="H383" t="s">
        <v>1045</v>
      </c>
      <c r="I383" t="s">
        <v>1060</v>
      </c>
      <c r="J383" t="str">
        <f>IF(ISNUMBER(SEARCH("India",Table2[[#This Row],[Emp_Name]])),"INR",
IF(ISNUMBER(SEARCH("Foreign",Table2[[#This Row],[Emp_Name]])),Table2[[#This Row],[Currency]],Table2[[#This Row],[Currency]]))</f>
        <v>INR</v>
      </c>
      <c r="K383">
        <v>78000</v>
      </c>
      <c r="L383">
        <v>12</v>
      </c>
      <c r="M383">
        <f>IF(Table2[[#This Row],[Num_Month]]&lt;&gt;12,12,Table2[[#This Row],[Num_Month]])</f>
        <v>12</v>
      </c>
      <c r="N383">
        <f>IF(Table2[[#This Row],[Monthly_Salary]]="","",Table2[[#This Row],[Monthly_Salary]]*Table2[[#This Row],[Num_Month_Final]])</f>
        <v>936000</v>
      </c>
      <c r="O383">
        <v>7</v>
      </c>
      <c r="P383">
        <f>IF(Table2[[#This Row],[Exp_Years]]&lt;0,ABS(Table2[[#This Row],[Exp_Years]]),Table2[[#This Row],[Exp_Years]])</f>
        <v>7</v>
      </c>
      <c r="Q383">
        <v>2</v>
      </c>
      <c r="S383" t="str">
        <f>IF(Table2[[#This Row],[Performance_Rating]]&gt;=3,Table2[[#This Row],[Monthly_Salary]]*0.3,"")</f>
        <v/>
      </c>
      <c r="T383">
        <v>95</v>
      </c>
      <c r="U383">
        <v>15</v>
      </c>
      <c r="V383">
        <v>3</v>
      </c>
      <c r="W383" t="s">
        <v>37</v>
      </c>
      <c r="X383" t="s">
        <v>19</v>
      </c>
      <c r="Y383" t="str">
        <f>IF(Table2[[#This Row],[Work_Mode]]&lt;&gt;"",Table2[[#This Row],[Work_Mode]],
IF(ISNUMBER(SEARCH("India",Table2[[#This Row],[Emp_Name]])),"Office",
IF(ISNUMBER(SEARCH("Foreign",Table2[[#This Row],[Emp_Name]])),"Remote","")))</f>
        <v>Office</v>
      </c>
      <c r="AA38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83" t="s">
        <v>39</v>
      </c>
      <c r="AC383" t="str">
        <f>IF(COUNTIF(Table2[Emp_ID],Table2[[#This Row],[Emp_ID]])&gt;1,"Duplicate","Unique")</f>
        <v>Unique</v>
      </c>
      <c r="AE383" s="2"/>
      <c r="AG383" t="str">
        <f>IF(Table2[[#This Row],[Monthly_Salary]]="","Exclude",
IF(Table2[[#This Row],[Row_Status]]="Mismatch","Exclude",
IF(AND(Table2[[#This Row],[Row_Status]]="Exact Duplicate",
COUNTIFS(Table2[Emp_ID],Table2[[#This Row],[Emp_ID]],Table2[Row_Concat],Table2[[#This Row],[Row_Concat]],
Table2[Row_Number],"&lt;"&amp;Table2[[#This Row],[Row_Number]])&gt;=1),"Delete","")))</f>
        <v/>
      </c>
      <c r="AH383" t="str">
        <f>VLOOKUP(Table2[[#This Row],[Department]],Raw_2!A:B,2,0)</f>
        <v>Day</v>
      </c>
      <c r="AI383">
        <f>VLOOKUP(Table2[[#This Row],[Department]],Raw_2!A:C,3,0)</f>
        <v>14</v>
      </c>
    </row>
    <row r="384" spans="1:35">
      <c r="A384" t="s">
        <v>807</v>
      </c>
      <c r="B384" t="s">
        <v>808</v>
      </c>
      <c r="C384">
        <v>23</v>
      </c>
      <c r="D384" t="s">
        <v>25</v>
      </c>
      <c r="E384" t="str">
        <f>IF(OR(Table2[[#This Row],[Gender]]="Male",Table2[[#This Row],[Gender]]="M"),"M",
IF(OR(Table2[[#This Row],[Gender]]="Female",Table2[[#This Row],[Gender]]="F"),"F",""))</f>
        <v>F</v>
      </c>
      <c r="F384" t="s">
        <v>57</v>
      </c>
      <c r="G384" t="s">
        <v>42</v>
      </c>
      <c r="H384" t="s">
        <v>43</v>
      </c>
      <c r="I384" t="s">
        <v>1060</v>
      </c>
      <c r="J384" t="str">
        <f>IF(ISNUMBER(SEARCH("India",Table2[[#This Row],[Emp_Name]])),"INR",
IF(ISNUMBER(SEARCH("Foreign",Table2[[#This Row],[Emp_Name]])),Table2[[#This Row],[Currency]],Table2[[#This Row],[Currency]]))</f>
        <v>INR</v>
      </c>
      <c r="K384">
        <v>24000</v>
      </c>
      <c r="L384">
        <v>12</v>
      </c>
      <c r="M384">
        <f>IF(Table2[[#This Row],[Num_Month]]&lt;&gt;12,12,Table2[[#This Row],[Num_Month]])</f>
        <v>12</v>
      </c>
      <c r="N384">
        <f>IF(Table2[[#This Row],[Monthly_Salary]]="","",Table2[[#This Row],[Monthly_Salary]]*Table2[[#This Row],[Num_Month_Final]])</f>
        <v>288000</v>
      </c>
      <c r="O384">
        <v>1</v>
      </c>
      <c r="P384">
        <f>IF(Table2[[#This Row],[Exp_Years]]&lt;0,ABS(Table2[[#This Row],[Exp_Years]]),Table2[[#This Row],[Exp_Years]])</f>
        <v>1</v>
      </c>
      <c r="Q384">
        <v>2</v>
      </c>
      <c r="S384" t="str">
        <f>IF(Table2[[#This Row],[Performance_Rating]]&gt;=3,Table2[[#This Row],[Monthly_Salary]]*0.3,"")</f>
        <v/>
      </c>
      <c r="T384">
        <v>80</v>
      </c>
      <c r="U384">
        <v>10</v>
      </c>
      <c r="V384">
        <v>2</v>
      </c>
      <c r="W384" t="s">
        <v>21</v>
      </c>
      <c r="X384" t="s">
        <v>38</v>
      </c>
      <c r="Y384" t="str">
        <f>IF(Table2[[#This Row],[Work_Mode]]&lt;&gt;"",Table2[[#This Row],[Work_Mode]],
IF(ISNUMBER(SEARCH("India",Table2[[#This Row],[Emp_Name]])),"Office",
IF(ISNUMBER(SEARCH("Foreign",Table2[[#This Row],[Emp_Name]])),"Remote","")))</f>
        <v>Hybrid</v>
      </c>
      <c r="Z384">
        <v>5</v>
      </c>
      <c r="AA38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84" t="s">
        <v>39</v>
      </c>
      <c r="AC384" t="str">
        <f>IF(COUNTIF(Table2[Emp_ID],Table2[[#This Row],[Emp_ID]])&gt;1,"Duplicate","Unique")</f>
        <v>Unique</v>
      </c>
      <c r="AE384" s="2"/>
      <c r="AG384" t="str">
        <f>IF(Table2[[#This Row],[Monthly_Salary]]="","Exclude",
IF(Table2[[#This Row],[Row_Status]]="Mismatch","Exclude",
IF(AND(Table2[[#This Row],[Row_Status]]="Exact Duplicate",
COUNTIFS(Table2[Emp_ID],Table2[[#This Row],[Emp_ID]],Table2[Row_Concat],Table2[[#This Row],[Row_Concat]],
Table2[Row_Number],"&lt;"&amp;Table2[[#This Row],[Row_Number]])&gt;=1),"Delete","")))</f>
        <v/>
      </c>
      <c r="AH384" t="str">
        <f>VLOOKUP(Table2[[#This Row],[Department]],Raw_2!A:B,2,0)</f>
        <v>Day</v>
      </c>
      <c r="AI384">
        <f>VLOOKUP(Table2[[#This Row],[Department]],Raw_2!A:C,3,0)</f>
        <v>14</v>
      </c>
    </row>
    <row r="385" spans="1:35">
      <c r="A385" t="s">
        <v>809</v>
      </c>
      <c r="B385" t="s">
        <v>810</v>
      </c>
      <c r="C385">
        <v>28</v>
      </c>
      <c r="D385" t="s">
        <v>34</v>
      </c>
      <c r="E385" t="str">
        <f>IF(OR(Table2[[#This Row],[Gender]]="Male",Table2[[#This Row],[Gender]]="M"),"M",
IF(OR(Table2[[#This Row],[Gender]]="Female",Table2[[#This Row],[Gender]]="F"),"F",""))</f>
        <v>F</v>
      </c>
      <c r="F385" t="s">
        <v>64</v>
      </c>
      <c r="G385" t="s">
        <v>36</v>
      </c>
      <c r="H385" t="s">
        <v>1048</v>
      </c>
      <c r="I385" t="s">
        <v>1060</v>
      </c>
      <c r="J385" t="str">
        <f>IF(ISNUMBER(SEARCH("India",Table2[[#This Row],[Emp_Name]])),"INR",
IF(ISNUMBER(SEARCH("Foreign",Table2[[#This Row],[Emp_Name]])),Table2[[#This Row],[Currency]],Table2[[#This Row],[Currency]]))</f>
        <v>INR</v>
      </c>
      <c r="K385">
        <v>69000</v>
      </c>
      <c r="L385">
        <v>12</v>
      </c>
      <c r="M385">
        <f>IF(Table2[[#This Row],[Num_Month]]&lt;&gt;12,12,Table2[[#This Row],[Num_Month]])</f>
        <v>12</v>
      </c>
      <c r="N385">
        <f>IF(Table2[[#This Row],[Monthly_Salary]]="","",Table2[[#This Row],[Monthly_Salary]]*Table2[[#This Row],[Num_Month_Final]])</f>
        <v>828000</v>
      </c>
      <c r="O385">
        <v>5</v>
      </c>
      <c r="P385">
        <f>IF(Table2[[#This Row],[Exp_Years]]&lt;0,ABS(Table2[[#This Row],[Exp_Years]]),Table2[[#This Row],[Exp_Years]])</f>
        <v>5</v>
      </c>
      <c r="Q385">
        <v>1</v>
      </c>
      <c r="S385" t="str">
        <f>IF(Table2[[#This Row],[Performance_Rating]]&gt;=3,Table2[[#This Row],[Monthly_Salary]]*0.3,"")</f>
        <v/>
      </c>
      <c r="T385">
        <v>90</v>
      </c>
      <c r="U385">
        <v>5</v>
      </c>
      <c r="V385">
        <v>3</v>
      </c>
      <c r="X385" t="s">
        <v>38</v>
      </c>
      <c r="Y385" t="str">
        <f>IF(Table2[[#This Row],[Work_Mode]]&lt;&gt;"",Table2[[#This Row],[Work_Mode]],
IF(ISNUMBER(SEARCH("India",Table2[[#This Row],[Emp_Name]])),"Office",
IF(ISNUMBER(SEARCH("Foreign",Table2[[#This Row],[Emp_Name]])),"Remote","")))</f>
        <v>Hybrid</v>
      </c>
      <c r="Z385">
        <v>20</v>
      </c>
      <c r="AA38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385" t="s">
        <v>39</v>
      </c>
      <c r="AC385" t="str">
        <f>IF(COUNTIF(Table2[Emp_ID],Table2[[#This Row],[Emp_ID]])&gt;1,"Duplicate","Unique")</f>
        <v>Unique</v>
      </c>
      <c r="AE385" s="2"/>
      <c r="AG385" t="str">
        <f>IF(Table2[[#This Row],[Monthly_Salary]]="","Exclude",
IF(Table2[[#This Row],[Row_Status]]="Mismatch","Exclude",
IF(AND(Table2[[#This Row],[Row_Status]]="Exact Duplicate",
COUNTIFS(Table2[Emp_ID],Table2[[#This Row],[Emp_ID]],Table2[Row_Concat],Table2[[#This Row],[Row_Concat]],
Table2[Row_Number],"&lt;"&amp;Table2[[#This Row],[Row_Number]])&gt;=1),"Delete","")))</f>
        <v/>
      </c>
      <c r="AH385" t="str">
        <f>VLOOKUP(Table2[[#This Row],[Department]],Raw_2!A:B,2,0)</f>
        <v>Day</v>
      </c>
      <c r="AI385">
        <f>VLOOKUP(Table2[[#This Row],[Department]],Raw_2!A:C,3,0)</f>
        <v>25</v>
      </c>
    </row>
    <row r="386" spans="1:35">
      <c r="A386" t="s">
        <v>811</v>
      </c>
      <c r="B386" t="s">
        <v>812</v>
      </c>
      <c r="C386">
        <v>25</v>
      </c>
      <c r="D386" t="s">
        <v>16</v>
      </c>
      <c r="E386" t="str">
        <f>IF(OR(Table2[[#This Row],[Gender]]="Male",Table2[[#This Row],[Gender]]="M"),"M",
IF(OR(Table2[[#This Row],[Gender]]="Female",Table2[[#This Row],[Gender]]="F"),"F",""))</f>
        <v>M</v>
      </c>
      <c r="F386" t="s">
        <v>47</v>
      </c>
      <c r="G386" t="s">
        <v>42</v>
      </c>
      <c r="H386" t="s">
        <v>43</v>
      </c>
      <c r="I386" t="s">
        <v>1060</v>
      </c>
      <c r="J386" t="str">
        <f>IF(ISNUMBER(SEARCH("India",Table2[[#This Row],[Emp_Name]])),"INR",
IF(ISNUMBER(SEARCH("Foreign",Table2[[#This Row],[Emp_Name]])),Table2[[#This Row],[Currency]],Table2[[#This Row],[Currency]]))</f>
        <v>INR</v>
      </c>
      <c r="K386">
        <v>24000</v>
      </c>
      <c r="L386">
        <v>12</v>
      </c>
      <c r="M386">
        <f>IF(Table2[[#This Row],[Num_Month]]&lt;&gt;12,12,Table2[[#This Row],[Num_Month]])</f>
        <v>12</v>
      </c>
      <c r="N386">
        <f>IF(Table2[[#This Row],[Monthly_Salary]]="","",Table2[[#This Row],[Monthly_Salary]]*Table2[[#This Row],[Num_Month_Final]])</f>
        <v>288000</v>
      </c>
      <c r="O386">
        <v>1</v>
      </c>
      <c r="P386">
        <f>IF(Table2[[#This Row],[Exp_Years]]&lt;0,ABS(Table2[[#This Row],[Exp_Years]]),Table2[[#This Row],[Exp_Years]])</f>
        <v>1</v>
      </c>
      <c r="Q386">
        <v>4</v>
      </c>
      <c r="R386">
        <v>16000</v>
      </c>
      <c r="S386">
        <f>IF(Table2[[#This Row],[Performance_Rating]]&gt;=3,Table2[[#This Row],[Monthly_Salary]]*0.3,"")</f>
        <v>7200</v>
      </c>
      <c r="T386">
        <v>95</v>
      </c>
      <c r="U386">
        <v>13</v>
      </c>
      <c r="V386">
        <v>5</v>
      </c>
      <c r="W386" t="s">
        <v>21</v>
      </c>
      <c r="X386" t="s">
        <v>28</v>
      </c>
      <c r="Y386" t="str">
        <f>IF(Table2[[#This Row],[Work_Mode]]&lt;&gt;"",Table2[[#This Row],[Work_Mode]],
IF(ISNUMBER(SEARCH("India",Table2[[#This Row],[Emp_Name]])),"Office",
IF(ISNUMBER(SEARCH("Foreign",Table2[[#This Row],[Emp_Name]])),"Remote","")))</f>
        <v>Remote</v>
      </c>
      <c r="AA38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86" t="s">
        <v>58</v>
      </c>
      <c r="AC386" t="str">
        <f>IF(COUNTIF(Table2[Emp_ID],Table2[[#This Row],[Emp_ID]])&gt;1,"Duplicate","Unique")</f>
        <v>Unique</v>
      </c>
      <c r="AE386" s="2"/>
      <c r="AG386" t="str">
        <f>IF(Table2[[#This Row],[Monthly_Salary]]="","Exclude",
IF(Table2[[#This Row],[Row_Status]]="Mismatch","Exclude",
IF(AND(Table2[[#This Row],[Row_Status]]="Exact Duplicate",
COUNTIFS(Table2[Emp_ID],Table2[[#This Row],[Emp_ID]],Table2[Row_Concat],Table2[[#This Row],[Row_Concat]],
Table2[Row_Number],"&lt;"&amp;Table2[[#This Row],[Row_Number]])&gt;=1),"Delete","")))</f>
        <v/>
      </c>
      <c r="AH386" t="str">
        <f>VLOOKUP(Table2[[#This Row],[Department]],Raw_2!A:B,2,0)</f>
        <v>Day</v>
      </c>
      <c r="AI386">
        <f>VLOOKUP(Table2[[#This Row],[Department]],Raw_2!A:C,3,0)</f>
        <v>14</v>
      </c>
    </row>
    <row r="387" spans="1:35">
      <c r="A387" t="s">
        <v>813</v>
      </c>
      <c r="B387" t="s">
        <v>814</v>
      </c>
      <c r="C387">
        <v>24</v>
      </c>
      <c r="D387" t="s">
        <v>46</v>
      </c>
      <c r="E387" t="str">
        <f>IF(OR(Table2[[#This Row],[Gender]]="Male",Table2[[#This Row],[Gender]]="M"),"M",
IF(OR(Table2[[#This Row],[Gender]]="Female",Table2[[#This Row],[Gender]]="F"),"F",""))</f>
        <v>M</v>
      </c>
      <c r="F387" t="s">
        <v>17</v>
      </c>
      <c r="G387" t="s">
        <v>27</v>
      </c>
      <c r="H387" t="s">
        <v>43</v>
      </c>
      <c r="I387" t="s">
        <v>1060</v>
      </c>
      <c r="J387" t="str">
        <f>IF(ISNUMBER(SEARCH("India",Table2[[#This Row],[Emp_Name]])),"INR",
IF(ISNUMBER(SEARCH("Foreign",Table2[[#This Row],[Emp_Name]])),Table2[[#This Row],[Currency]],Table2[[#This Row],[Currency]]))</f>
        <v>INR</v>
      </c>
      <c r="K387">
        <v>28000</v>
      </c>
      <c r="L387">
        <v>12</v>
      </c>
      <c r="M387">
        <f>IF(Table2[[#This Row],[Num_Month]]&lt;&gt;12,12,Table2[[#This Row],[Num_Month]])</f>
        <v>12</v>
      </c>
      <c r="N387">
        <f>IF(Table2[[#This Row],[Monthly_Salary]]="","",Table2[[#This Row],[Monthly_Salary]]*Table2[[#This Row],[Num_Month_Final]])</f>
        <v>336000</v>
      </c>
      <c r="O387">
        <v>2</v>
      </c>
      <c r="P387">
        <f>IF(Table2[[#This Row],[Exp_Years]]&lt;0,ABS(Table2[[#This Row],[Exp_Years]]),Table2[[#This Row],[Exp_Years]])</f>
        <v>2</v>
      </c>
      <c r="Q387">
        <v>3</v>
      </c>
      <c r="R387">
        <v>13400</v>
      </c>
      <c r="S387">
        <f>IF(Table2[[#This Row],[Performance_Rating]]&gt;=3,Table2[[#This Row],[Monthly_Salary]]*0.3,"")</f>
        <v>8400</v>
      </c>
      <c r="T387">
        <v>95</v>
      </c>
      <c r="U387">
        <v>5</v>
      </c>
      <c r="V387">
        <v>6</v>
      </c>
      <c r="W387" t="s">
        <v>37</v>
      </c>
      <c r="X387" t="s">
        <v>38</v>
      </c>
      <c r="Y387" t="str">
        <f>IF(Table2[[#This Row],[Work_Mode]]&lt;&gt;"",Table2[[#This Row],[Work_Mode]],
IF(ISNUMBER(SEARCH("India",Table2[[#This Row],[Emp_Name]])),"Office",
IF(ISNUMBER(SEARCH("Foreign",Table2[[#This Row],[Emp_Name]])),"Remote","")))</f>
        <v>Hybrid</v>
      </c>
      <c r="AA38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87" t="s">
        <v>22</v>
      </c>
      <c r="AC387" t="str">
        <f>IF(COUNTIF(Table2[Emp_ID],Table2[[#This Row],[Emp_ID]])&gt;1,"Duplicate","Unique")</f>
        <v>Unique</v>
      </c>
      <c r="AE387" s="2"/>
      <c r="AG387" t="str">
        <f>IF(Table2[[#This Row],[Monthly_Salary]]="","Exclude",
IF(Table2[[#This Row],[Row_Status]]="Mismatch","Exclude",
IF(AND(Table2[[#This Row],[Row_Status]]="Exact Duplicate",
COUNTIFS(Table2[Emp_ID],Table2[[#This Row],[Emp_ID]],Table2[Row_Concat],Table2[[#This Row],[Row_Concat]],
Table2[Row_Number],"&lt;"&amp;Table2[[#This Row],[Row_Number]])&gt;=1),"Delete","")))</f>
        <v/>
      </c>
      <c r="AH387" t="str">
        <f>VLOOKUP(Table2[[#This Row],[Department]],Raw_2!A:B,2,0)</f>
        <v>Day</v>
      </c>
      <c r="AI387">
        <f>VLOOKUP(Table2[[#This Row],[Department]],Raw_2!A:C,3,0)</f>
        <v>12</v>
      </c>
    </row>
    <row r="388" spans="1:35">
      <c r="A388" t="s">
        <v>815</v>
      </c>
      <c r="B388" t="s">
        <v>816</v>
      </c>
      <c r="C388">
        <v>25</v>
      </c>
      <c r="D388" t="s">
        <v>34</v>
      </c>
      <c r="E388" t="str">
        <f>IF(OR(Table2[[#This Row],[Gender]]="Male",Table2[[#This Row],[Gender]]="M"),"M",
IF(OR(Table2[[#This Row],[Gender]]="Female",Table2[[#This Row],[Gender]]="F"),"F",""))</f>
        <v>F</v>
      </c>
      <c r="F388" t="s">
        <v>50</v>
      </c>
      <c r="G388" t="s">
        <v>36</v>
      </c>
      <c r="H388" t="s">
        <v>43</v>
      </c>
      <c r="I388" t="s">
        <v>1060</v>
      </c>
      <c r="J388" t="str">
        <f>IF(ISNUMBER(SEARCH("India",Table2[[#This Row],[Emp_Name]])),"INR",
IF(ISNUMBER(SEARCH("Foreign",Table2[[#This Row],[Emp_Name]])),Table2[[#This Row],[Currency]],Table2[[#This Row],[Currency]]))</f>
        <v>INR</v>
      </c>
      <c r="K388">
        <v>24000</v>
      </c>
      <c r="L388">
        <v>12</v>
      </c>
      <c r="M388">
        <f>IF(Table2[[#This Row],[Num_Month]]&lt;&gt;12,12,Table2[[#This Row],[Num_Month]])</f>
        <v>12</v>
      </c>
      <c r="N388">
        <f>IF(Table2[[#This Row],[Monthly_Salary]]="","",Table2[[#This Row],[Monthly_Salary]]*Table2[[#This Row],[Num_Month_Final]])</f>
        <v>288000</v>
      </c>
      <c r="O388">
        <v>1</v>
      </c>
      <c r="P388">
        <f>IF(Table2[[#This Row],[Exp_Years]]&lt;0,ABS(Table2[[#This Row],[Exp_Years]]),Table2[[#This Row],[Exp_Years]])</f>
        <v>1</v>
      </c>
      <c r="Q388">
        <v>4</v>
      </c>
      <c r="R388">
        <v>16000</v>
      </c>
      <c r="S388">
        <f>IF(Table2[[#This Row],[Performance_Rating]]&gt;=3,Table2[[#This Row],[Monthly_Salary]]*0.3,"")</f>
        <v>7200</v>
      </c>
      <c r="T388">
        <v>90</v>
      </c>
      <c r="U388">
        <v>15</v>
      </c>
      <c r="V388">
        <v>11</v>
      </c>
      <c r="X388" t="s">
        <v>38</v>
      </c>
      <c r="Y388" t="str">
        <f>IF(Table2[[#This Row],[Work_Mode]]&lt;&gt;"",Table2[[#This Row],[Work_Mode]],
IF(ISNUMBER(SEARCH("India",Table2[[#This Row],[Emp_Name]])),"Office",
IF(ISNUMBER(SEARCH("Foreign",Table2[[#This Row],[Emp_Name]])),"Remote","")))</f>
        <v>Hybrid</v>
      </c>
      <c r="AA38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88" t="s">
        <v>22</v>
      </c>
      <c r="AC388" t="str">
        <f>IF(COUNTIF(Table2[Emp_ID],Table2[[#This Row],[Emp_ID]])&gt;1,"Duplicate","Unique")</f>
        <v>Unique</v>
      </c>
      <c r="AE388" s="2"/>
      <c r="AG388" t="str">
        <f>IF(Table2[[#This Row],[Monthly_Salary]]="","Exclude",
IF(Table2[[#This Row],[Row_Status]]="Mismatch","Exclude",
IF(AND(Table2[[#This Row],[Row_Status]]="Exact Duplicate",
COUNTIFS(Table2[Emp_ID],Table2[[#This Row],[Emp_ID]],Table2[Row_Concat],Table2[[#This Row],[Row_Concat]],
Table2[Row_Number],"&lt;"&amp;Table2[[#This Row],[Row_Number]])&gt;=1),"Delete","")))</f>
        <v/>
      </c>
      <c r="AH388" t="str">
        <f>VLOOKUP(Table2[[#This Row],[Department]],Raw_2!A:B,2,0)</f>
        <v>Day</v>
      </c>
      <c r="AI388">
        <f>VLOOKUP(Table2[[#This Row],[Department]],Raw_2!A:C,3,0)</f>
        <v>25</v>
      </c>
    </row>
    <row r="389" spans="1:35">
      <c r="A389" t="s">
        <v>817</v>
      </c>
      <c r="B389" t="s">
        <v>818</v>
      </c>
      <c r="C389">
        <v>24</v>
      </c>
      <c r="D389" t="s">
        <v>34</v>
      </c>
      <c r="E389" t="str">
        <f>IF(OR(Table2[[#This Row],[Gender]]="Male",Table2[[#This Row],[Gender]]="M"),"M",
IF(OR(Table2[[#This Row],[Gender]]="Female",Table2[[#This Row],[Gender]]="F"),"F",""))</f>
        <v>F</v>
      </c>
      <c r="F389" t="s">
        <v>26</v>
      </c>
      <c r="G389" t="s">
        <v>66</v>
      </c>
      <c r="H389" t="s">
        <v>43</v>
      </c>
      <c r="I389" t="s">
        <v>1059</v>
      </c>
      <c r="J389" t="str">
        <f>IF(ISNUMBER(SEARCH("India",Table2[[#This Row],[Emp_Name]])),"INR",
IF(ISNUMBER(SEARCH("Foreign",Table2[[#This Row],[Emp_Name]])),Table2[[#This Row],[Currency]],Table2[[#This Row],[Currency]]))</f>
        <v>USD</v>
      </c>
      <c r="K389">
        <v>28000</v>
      </c>
      <c r="L389">
        <v>12</v>
      </c>
      <c r="M389">
        <f>IF(Table2[[#This Row],[Num_Month]]&lt;&gt;12,12,Table2[[#This Row],[Num_Month]])</f>
        <v>12</v>
      </c>
      <c r="N389">
        <f>IF(Table2[[#This Row],[Monthly_Salary]]="","",Table2[[#This Row],[Monthly_Salary]]*Table2[[#This Row],[Num_Month_Final]])</f>
        <v>336000</v>
      </c>
      <c r="O389">
        <v>2</v>
      </c>
      <c r="P389">
        <f>IF(Table2[[#This Row],[Exp_Years]]&lt;0,ABS(Table2[[#This Row],[Exp_Years]]),Table2[[#This Row],[Exp_Years]])</f>
        <v>2</v>
      </c>
      <c r="Q389">
        <v>1</v>
      </c>
      <c r="S389" t="str">
        <f>IF(Table2[[#This Row],[Performance_Rating]]&gt;=3,Table2[[#This Row],[Monthly_Salary]]*0.3,"")</f>
        <v/>
      </c>
      <c r="T389">
        <v>85</v>
      </c>
      <c r="U389">
        <v>10</v>
      </c>
      <c r="V389">
        <v>5</v>
      </c>
      <c r="X389" t="s">
        <v>28</v>
      </c>
      <c r="Y389" t="str">
        <f>IF(Table2[[#This Row],[Work_Mode]]&lt;&gt;"",Table2[[#This Row],[Work_Mode]],
IF(ISNUMBER(SEARCH("India",Table2[[#This Row],[Emp_Name]])),"Office",
IF(ISNUMBER(SEARCH("Foreign",Table2[[#This Row],[Emp_Name]])),"Remote","")))</f>
        <v>Remote</v>
      </c>
      <c r="AA38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89" t="s">
        <v>39</v>
      </c>
      <c r="AC389" t="str">
        <f>IF(COUNTIF(Table2[Emp_ID],Table2[[#This Row],[Emp_ID]])&gt;1,"Duplicate","Unique")</f>
        <v>Unique</v>
      </c>
      <c r="AE389" s="2"/>
      <c r="AG389" t="str">
        <f>IF(Table2[[#This Row],[Monthly_Salary]]="","Exclude",
IF(Table2[[#This Row],[Row_Status]]="Mismatch","Exclude",
IF(AND(Table2[[#This Row],[Row_Status]]="Exact Duplicate",
COUNTIFS(Table2[Emp_ID],Table2[[#This Row],[Emp_ID]],Table2[Row_Concat],Table2[[#This Row],[Row_Concat]],
Table2[Row_Number],"&lt;"&amp;Table2[[#This Row],[Row_Number]])&gt;=1),"Delete","")))</f>
        <v/>
      </c>
      <c r="AH389" t="str">
        <f>VLOOKUP(Table2[[#This Row],[Department]],Raw_2!A:B,2,0)</f>
        <v>Night</v>
      </c>
      <c r="AI389">
        <f>VLOOKUP(Table2[[#This Row],[Department]],Raw_2!A:C,3,0)</f>
        <v>20</v>
      </c>
    </row>
    <row r="390" spans="1:35">
      <c r="A390" t="s">
        <v>819</v>
      </c>
      <c r="B390" t="s">
        <v>820</v>
      </c>
      <c r="C390">
        <v>30</v>
      </c>
      <c r="D390" t="s">
        <v>46</v>
      </c>
      <c r="E390" t="str">
        <f>IF(OR(Table2[[#This Row],[Gender]]="Male",Table2[[#This Row],[Gender]]="M"),"M",
IF(OR(Table2[[#This Row],[Gender]]="Female",Table2[[#This Row],[Gender]]="F"),"F",""))</f>
        <v>M</v>
      </c>
      <c r="F390" t="s">
        <v>35</v>
      </c>
      <c r="G390" t="s">
        <v>42</v>
      </c>
      <c r="H390" t="s">
        <v>1045</v>
      </c>
      <c r="I390" t="s">
        <v>1060</v>
      </c>
      <c r="J390" t="str">
        <f>IF(ISNUMBER(SEARCH("India",Table2[[#This Row],[Emp_Name]])),"INR",
IF(ISNUMBER(SEARCH("Foreign",Table2[[#This Row],[Emp_Name]])),Table2[[#This Row],[Currency]],Table2[[#This Row],[Currency]]))</f>
        <v>INR</v>
      </c>
      <c r="K390">
        <v>78000</v>
      </c>
      <c r="L390">
        <v>12</v>
      </c>
      <c r="M390">
        <f>IF(Table2[[#This Row],[Num_Month]]&lt;&gt;12,12,Table2[[#This Row],[Num_Month]])</f>
        <v>12</v>
      </c>
      <c r="N390">
        <f>IF(Table2[[#This Row],[Monthly_Salary]]="","",Table2[[#This Row],[Monthly_Salary]]*Table2[[#This Row],[Num_Month_Final]])</f>
        <v>936000</v>
      </c>
      <c r="O390">
        <v>5</v>
      </c>
      <c r="P390">
        <f>IF(Table2[[#This Row],[Exp_Years]]&lt;0,ABS(Table2[[#This Row],[Exp_Years]]),Table2[[#This Row],[Exp_Years]])</f>
        <v>5</v>
      </c>
      <c r="Q390">
        <v>5</v>
      </c>
      <c r="S390">
        <f>IF(Table2[[#This Row],[Performance_Rating]]&gt;=3,Table2[[#This Row],[Monthly_Salary]]*0.3,"")</f>
        <v>23400</v>
      </c>
      <c r="T390">
        <v>90</v>
      </c>
      <c r="U390">
        <v>15</v>
      </c>
      <c r="V390">
        <v>1</v>
      </c>
      <c r="X390" t="s">
        <v>38</v>
      </c>
      <c r="Y390" t="str">
        <f>IF(Table2[[#This Row],[Work_Mode]]&lt;&gt;"",Table2[[#This Row],[Work_Mode]],
IF(ISNUMBER(SEARCH("India",Table2[[#This Row],[Emp_Name]])),"Office",
IF(ISNUMBER(SEARCH("Foreign",Table2[[#This Row],[Emp_Name]])),"Remote","")))</f>
        <v>Hybrid</v>
      </c>
      <c r="Z390">
        <v>20</v>
      </c>
      <c r="AA39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390" t="s">
        <v>58</v>
      </c>
      <c r="AC390" t="str">
        <f>IF(COUNTIF(Table2[Emp_ID],Table2[[#This Row],[Emp_ID]])&gt;1,"Duplicate","Unique")</f>
        <v>Unique</v>
      </c>
      <c r="AE390" s="2"/>
      <c r="AG390" t="str">
        <f>IF(Table2[[#This Row],[Monthly_Salary]]="","Exclude",
IF(Table2[[#This Row],[Row_Status]]="Mismatch","Exclude",
IF(AND(Table2[[#This Row],[Row_Status]]="Exact Duplicate",
COUNTIFS(Table2[Emp_ID],Table2[[#This Row],[Emp_ID]],Table2[Row_Concat],Table2[[#This Row],[Row_Concat]],
Table2[Row_Number],"&lt;"&amp;Table2[[#This Row],[Row_Number]])&gt;=1),"Delete","")))</f>
        <v/>
      </c>
      <c r="AH390" t="str">
        <f>VLOOKUP(Table2[[#This Row],[Department]],Raw_2!A:B,2,0)</f>
        <v>Day</v>
      </c>
      <c r="AI390">
        <f>VLOOKUP(Table2[[#This Row],[Department]],Raw_2!A:C,3,0)</f>
        <v>14</v>
      </c>
    </row>
    <row r="391" spans="1:35">
      <c r="A391" t="s">
        <v>821</v>
      </c>
      <c r="B391" t="s">
        <v>822</v>
      </c>
      <c r="C391">
        <v>24</v>
      </c>
      <c r="D391" t="s">
        <v>16</v>
      </c>
      <c r="E391" t="str">
        <f>IF(OR(Table2[[#This Row],[Gender]]="Male",Table2[[#This Row],[Gender]]="M"),"M",
IF(OR(Table2[[#This Row],[Gender]]="Female",Table2[[#This Row],[Gender]]="F"),"F",""))</f>
        <v>M</v>
      </c>
      <c r="F391" t="s">
        <v>73</v>
      </c>
      <c r="G391" t="s">
        <v>42</v>
      </c>
      <c r="H391" t="s">
        <v>43</v>
      </c>
      <c r="I391" t="s">
        <v>1059</v>
      </c>
      <c r="J391" t="str">
        <f>IF(ISNUMBER(SEARCH("India",Table2[[#This Row],[Emp_Name]])),"INR",
IF(ISNUMBER(SEARCH("Foreign",Table2[[#This Row],[Emp_Name]])),Table2[[#This Row],[Currency]],Table2[[#This Row],[Currency]]))</f>
        <v>USD</v>
      </c>
      <c r="K391">
        <v>28000</v>
      </c>
      <c r="L391">
        <v>12</v>
      </c>
      <c r="M391">
        <f>IF(Table2[[#This Row],[Num_Month]]&lt;&gt;12,12,Table2[[#This Row],[Num_Month]])</f>
        <v>12</v>
      </c>
      <c r="N391">
        <f>IF(Table2[[#This Row],[Monthly_Salary]]="","",Table2[[#This Row],[Monthly_Salary]]*Table2[[#This Row],[Num_Month_Final]])</f>
        <v>336000</v>
      </c>
      <c r="O391">
        <v>2</v>
      </c>
      <c r="P391">
        <f>IF(Table2[[#This Row],[Exp_Years]]&lt;0,ABS(Table2[[#This Row],[Exp_Years]]),Table2[[#This Row],[Exp_Years]])</f>
        <v>2</v>
      </c>
      <c r="Q391">
        <v>3</v>
      </c>
      <c r="R391">
        <v>13400</v>
      </c>
      <c r="S391">
        <f>IF(Table2[[#This Row],[Performance_Rating]]&gt;=3,Table2[[#This Row],[Monthly_Salary]]*0.3,"")</f>
        <v>8400</v>
      </c>
      <c r="T391">
        <v>80</v>
      </c>
      <c r="U391">
        <v>15</v>
      </c>
      <c r="V391">
        <v>3</v>
      </c>
      <c r="X391" t="s">
        <v>28</v>
      </c>
      <c r="Y391" t="str">
        <f>IF(Table2[[#This Row],[Work_Mode]]&lt;&gt;"",Table2[[#This Row],[Work_Mode]],
IF(ISNUMBER(SEARCH("India",Table2[[#This Row],[Emp_Name]])),"Office",
IF(ISNUMBER(SEARCH("Foreign",Table2[[#This Row],[Emp_Name]])),"Remote","")))</f>
        <v>Remote</v>
      </c>
      <c r="Z391">
        <v>20</v>
      </c>
      <c r="AA39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391" t="s">
        <v>22</v>
      </c>
      <c r="AC391" t="str">
        <f>IF(COUNTIF(Table2[Emp_ID],Table2[[#This Row],[Emp_ID]])&gt;1,"Duplicate","Unique")</f>
        <v>Unique</v>
      </c>
      <c r="AE391" s="2"/>
      <c r="AG391" t="str">
        <f>IF(Table2[[#This Row],[Monthly_Salary]]="","Exclude",
IF(Table2[[#This Row],[Row_Status]]="Mismatch","Exclude",
IF(AND(Table2[[#This Row],[Row_Status]]="Exact Duplicate",
COUNTIFS(Table2[Emp_ID],Table2[[#This Row],[Emp_ID]],Table2[Row_Concat],Table2[[#This Row],[Row_Concat]],
Table2[Row_Number],"&lt;"&amp;Table2[[#This Row],[Row_Number]])&gt;=1),"Delete","")))</f>
        <v/>
      </c>
      <c r="AH391" t="str">
        <f>VLOOKUP(Table2[[#This Row],[Department]],Raw_2!A:B,2,0)</f>
        <v>Day</v>
      </c>
      <c r="AI391">
        <f>VLOOKUP(Table2[[#This Row],[Department]],Raw_2!A:C,3,0)</f>
        <v>14</v>
      </c>
    </row>
    <row r="392" spans="1:35">
      <c r="A392" t="s">
        <v>823</v>
      </c>
      <c r="B392" t="s">
        <v>824</v>
      </c>
      <c r="C392">
        <v>23</v>
      </c>
      <c r="D392" t="s">
        <v>46</v>
      </c>
      <c r="E392" t="str">
        <f>IF(OR(Table2[[#This Row],[Gender]]="Male",Table2[[#This Row],[Gender]]="M"),"M",
IF(OR(Table2[[#This Row],[Gender]]="Female",Table2[[#This Row],[Gender]]="F"),"F",""))</f>
        <v>M</v>
      </c>
      <c r="F392" t="s">
        <v>47</v>
      </c>
      <c r="G392" t="s">
        <v>18</v>
      </c>
      <c r="H392" t="s">
        <v>43</v>
      </c>
      <c r="I392" t="s">
        <v>1060</v>
      </c>
      <c r="J392" t="str">
        <f>IF(ISNUMBER(SEARCH("India",Table2[[#This Row],[Emp_Name]])),"INR",
IF(ISNUMBER(SEARCH("Foreign",Table2[[#This Row],[Emp_Name]])),Table2[[#This Row],[Currency]],Table2[[#This Row],[Currency]]))</f>
        <v>INR</v>
      </c>
      <c r="K392">
        <v>28000</v>
      </c>
      <c r="L392">
        <v>12</v>
      </c>
      <c r="M392">
        <f>IF(Table2[[#This Row],[Num_Month]]&lt;&gt;12,12,Table2[[#This Row],[Num_Month]])</f>
        <v>12</v>
      </c>
      <c r="N392">
        <f>IF(Table2[[#This Row],[Monthly_Salary]]="","",Table2[[#This Row],[Monthly_Salary]]*Table2[[#This Row],[Num_Month_Final]])</f>
        <v>336000</v>
      </c>
      <c r="O392">
        <v>2</v>
      </c>
      <c r="P392">
        <f>IF(Table2[[#This Row],[Exp_Years]]&lt;0,ABS(Table2[[#This Row],[Exp_Years]]),Table2[[#This Row],[Exp_Years]])</f>
        <v>2</v>
      </c>
      <c r="Q392">
        <v>1</v>
      </c>
      <c r="S392" t="str">
        <f>IF(Table2[[#This Row],[Performance_Rating]]&gt;=3,Table2[[#This Row],[Monthly_Salary]]*0.3,"")</f>
        <v/>
      </c>
      <c r="T392">
        <v>85</v>
      </c>
      <c r="U392">
        <v>15</v>
      </c>
      <c r="V392">
        <v>2</v>
      </c>
      <c r="W392" t="s">
        <v>37</v>
      </c>
      <c r="X392" t="s">
        <v>38</v>
      </c>
      <c r="Y392" t="str">
        <f>IF(Table2[[#This Row],[Work_Mode]]&lt;&gt;"",Table2[[#This Row],[Work_Mode]],
IF(ISNUMBER(SEARCH("India",Table2[[#This Row],[Emp_Name]])),"Office",
IF(ISNUMBER(SEARCH("Foreign",Table2[[#This Row],[Emp_Name]])),"Remote","")))</f>
        <v>Hybrid</v>
      </c>
      <c r="Z392">
        <v>10</v>
      </c>
      <c r="AA39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392" t="s">
        <v>39</v>
      </c>
      <c r="AC392" t="str">
        <f>IF(COUNTIF(Table2[Emp_ID],Table2[[#This Row],[Emp_ID]])&gt;1,"Duplicate","Unique")</f>
        <v>Unique</v>
      </c>
      <c r="AE392" s="2"/>
      <c r="AG392" t="str">
        <f>IF(Table2[[#This Row],[Monthly_Salary]]="","Exclude",
IF(Table2[[#This Row],[Row_Status]]="Mismatch","Exclude",
IF(AND(Table2[[#This Row],[Row_Status]]="Exact Duplicate",
COUNTIFS(Table2[Emp_ID],Table2[[#This Row],[Emp_ID]],Table2[Row_Concat],Table2[[#This Row],[Row_Concat]],
Table2[Row_Number],"&lt;"&amp;Table2[[#This Row],[Row_Number]])&gt;=1),"Delete","")))</f>
        <v/>
      </c>
      <c r="AH392" t="str">
        <f>VLOOKUP(Table2[[#This Row],[Department]],Raw_2!A:B,2,0)</f>
        <v>Day</v>
      </c>
      <c r="AI392">
        <f>VLOOKUP(Table2[[#This Row],[Department]],Raw_2!A:C,3,0)</f>
        <v>10</v>
      </c>
    </row>
    <row r="393" spans="1:35">
      <c r="A393" t="s">
        <v>825</v>
      </c>
      <c r="B393" t="s">
        <v>826</v>
      </c>
      <c r="C393">
        <v>23</v>
      </c>
      <c r="D393" t="s">
        <v>16</v>
      </c>
      <c r="E393" t="str">
        <f>IF(OR(Table2[[#This Row],[Gender]]="Male",Table2[[#This Row],[Gender]]="M"),"M",
IF(OR(Table2[[#This Row],[Gender]]="Female",Table2[[#This Row],[Gender]]="F"),"F",""))</f>
        <v>M</v>
      </c>
      <c r="F393" t="s">
        <v>61</v>
      </c>
      <c r="G393" t="s">
        <v>42</v>
      </c>
      <c r="H393" t="s">
        <v>43</v>
      </c>
      <c r="I393" t="s">
        <v>1060</v>
      </c>
      <c r="J393" t="str">
        <f>IF(ISNUMBER(SEARCH("India",Table2[[#This Row],[Emp_Name]])),"INR",
IF(ISNUMBER(SEARCH("Foreign",Table2[[#This Row],[Emp_Name]])),Table2[[#This Row],[Currency]],Table2[[#This Row],[Currency]]))</f>
        <v>INR</v>
      </c>
      <c r="K393">
        <v>24000</v>
      </c>
      <c r="L393">
        <v>12</v>
      </c>
      <c r="M393">
        <f>IF(Table2[[#This Row],[Num_Month]]&lt;&gt;12,12,Table2[[#This Row],[Num_Month]])</f>
        <v>12</v>
      </c>
      <c r="N393">
        <f>IF(Table2[[#This Row],[Monthly_Salary]]="","",Table2[[#This Row],[Monthly_Salary]]*Table2[[#This Row],[Num_Month_Final]])</f>
        <v>288000</v>
      </c>
      <c r="O393">
        <v>1</v>
      </c>
      <c r="P393">
        <f>IF(Table2[[#This Row],[Exp_Years]]&lt;0,ABS(Table2[[#This Row],[Exp_Years]]),Table2[[#This Row],[Exp_Years]])</f>
        <v>1</v>
      </c>
      <c r="Q393">
        <v>4</v>
      </c>
      <c r="R393">
        <v>16000</v>
      </c>
      <c r="S393">
        <f>IF(Table2[[#This Row],[Performance_Rating]]&gt;=3,Table2[[#This Row],[Monthly_Salary]]*0.3,"")</f>
        <v>7200</v>
      </c>
      <c r="T393">
        <v>95</v>
      </c>
      <c r="U393">
        <v>13</v>
      </c>
      <c r="V393">
        <v>5</v>
      </c>
      <c r="X393" t="s">
        <v>38</v>
      </c>
      <c r="Y393" t="str">
        <f>IF(Table2[[#This Row],[Work_Mode]]&lt;&gt;"",Table2[[#This Row],[Work_Mode]],
IF(ISNUMBER(SEARCH("India",Table2[[#This Row],[Emp_Name]])),"Office",
IF(ISNUMBER(SEARCH("Foreign",Table2[[#This Row],[Emp_Name]])),"Remote","")))</f>
        <v>Hybrid</v>
      </c>
      <c r="Z393">
        <v>20</v>
      </c>
      <c r="AA39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393" t="s">
        <v>58</v>
      </c>
      <c r="AC393" t="str">
        <f>IF(COUNTIF(Table2[Emp_ID],Table2[[#This Row],[Emp_ID]])&gt;1,"Duplicate","Unique")</f>
        <v>Unique</v>
      </c>
      <c r="AE393" s="2"/>
      <c r="AG393" t="str">
        <f>IF(Table2[[#This Row],[Monthly_Salary]]="","Exclude",
IF(Table2[[#This Row],[Row_Status]]="Mismatch","Exclude",
IF(AND(Table2[[#This Row],[Row_Status]]="Exact Duplicate",
COUNTIFS(Table2[Emp_ID],Table2[[#This Row],[Emp_ID]],Table2[Row_Concat],Table2[[#This Row],[Row_Concat]],
Table2[Row_Number],"&lt;"&amp;Table2[[#This Row],[Row_Number]])&gt;=1),"Delete","")))</f>
        <v/>
      </c>
      <c r="AH393" t="str">
        <f>VLOOKUP(Table2[[#This Row],[Department]],Raw_2!A:B,2,0)</f>
        <v>Day</v>
      </c>
      <c r="AI393">
        <f>VLOOKUP(Table2[[#This Row],[Department]],Raw_2!A:C,3,0)</f>
        <v>14</v>
      </c>
    </row>
    <row r="394" spans="1:35">
      <c r="A394" t="s">
        <v>827</v>
      </c>
      <c r="B394" t="s">
        <v>828</v>
      </c>
      <c r="C394">
        <v>27</v>
      </c>
      <c r="D394" t="s">
        <v>25</v>
      </c>
      <c r="E394" t="str">
        <f>IF(OR(Table2[[#This Row],[Gender]]="Male",Table2[[#This Row],[Gender]]="M"),"M",
IF(OR(Table2[[#This Row],[Gender]]="Female",Table2[[#This Row],[Gender]]="F"),"F",""))</f>
        <v>F</v>
      </c>
      <c r="F394" t="s">
        <v>17</v>
      </c>
      <c r="G394" t="s">
        <v>31</v>
      </c>
      <c r="H394" t="s">
        <v>1045</v>
      </c>
      <c r="I394" t="s">
        <v>1060</v>
      </c>
      <c r="J394" t="str">
        <f>IF(ISNUMBER(SEARCH("India",Table2[[#This Row],[Emp_Name]])),"INR",
IF(ISNUMBER(SEARCH("Foreign",Table2[[#This Row],[Emp_Name]])),Table2[[#This Row],[Currency]],Table2[[#This Row],[Currency]]))</f>
        <v>INR</v>
      </c>
      <c r="K394">
        <v>82000</v>
      </c>
      <c r="L394">
        <v>12</v>
      </c>
      <c r="M394">
        <f>IF(Table2[[#This Row],[Num_Month]]&lt;&gt;12,12,Table2[[#This Row],[Num_Month]])</f>
        <v>12</v>
      </c>
      <c r="N394">
        <f>IF(Table2[[#This Row],[Monthly_Salary]]="","",Table2[[#This Row],[Monthly_Salary]]*Table2[[#This Row],[Num_Month_Final]])</f>
        <v>984000</v>
      </c>
      <c r="O394">
        <v>6</v>
      </c>
      <c r="P394">
        <f>IF(Table2[[#This Row],[Exp_Years]]&lt;0,ABS(Table2[[#This Row],[Exp_Years]]),Table2[[#This Row],[Exp_Years]])</f>
        <v>6</v>
      </c>
      <c r="Q394">
        <v>2</v>
      </c>
      <c r="S394" t="str">
        <f>IF(Table2[[#This Row],[Performance_Rating]]&gt;=3,Table2[[#This Row],[Monthly_Salary]]*0.3,"")</f>
        <v/>
      </c>
      <c r="T394">
        <v>85</v>
      </c>
      <c r="U394">
        <v>15</v>
      </c>
      <c r="V394">
        <v>5</v>
      </c>
      <c r="W394" t="s">
        <v>37</v>
      </c>
      <c r="X394" t="s">
        <v>28</v>
      </c>
      <c r="Y394" t="str">
        <f>IF(Table2[[#This Row],[Work_Mode]]&lt;&gt;"",Table2[[#This Row],[Work_Mode]],
IF(ISNUMBER(SEARCH("India",Table2[[#This Row],[Emp_Name]])),"Office",
IF(ISNUMBER(SEARCH("Foreign",Table2[[#This Row],[Emp_Name]])),"Remote","")))</f>
        <v>Remote</v>
      </c>
      <c r="AA39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94" t="s">
        <v>39</v>
      </c>
      <c r="AC394" t="str">
        <f>IF(COUNTIF(Table2[Emp_ID],Table2[[#This Row],[Emp_ID]])&gt;1,"Duplicate","Unique")</f>
        <v>Unique</v>
      </c>
      <c r="AE394" s="2"/>
      <c r="AG394" t="str">
        <f>IF(Table2[[#This Row],[Monthly_Salary]]="","Exclude",
IF(Table2[[#This Row],[Row_Status]]="Mismatch","Exclude",
IF(AND(Table2[[#This Row],[Row_Status]]="Exact Duplicate",
COUNTIFS(Table2[Emp_ID],Table2[[#This Row],[Emp_ID]],Table2[Row_Concat],Table2[[#This Row],[Row_Concat]],
Table2[Row_Number],"&lt;"&amp;Table2[[#This Row],[Row_Number]])&gt;=1),"Delete","")))</f>
        <v/>
      </c>
      <c r="AH394" t="str">
        <f>VLOOKUP(Table2[[#This Row],[Department]],Raw_2!A:B,2,0)</f>
        <v>Night</v>
      </c>
      <c r="AI394">
        <f>VLOOKUP(Table2[[#This Row],[Department]],Raw_2!A:C,3,0)</f>
        <v>13</v>
      </c>
    </row>
    <row r="395" spans="1:35">
      <c r="A395" t="s">
        <v>829</v>
      </c>
      <c r="B395" t="s">
        <v>830</v>
      </c>
      <c r="C395">
        <v>24</v>
      </c>
      <c r="D395" t="s">
        <v>16</v>
      </c>
      <c r="E395" t="str">
        <f>IF(OR(Table2[[#This Row],[Gender]]="Male",Table2[[#This Row],[Gender]]="M"),"M",
IF(OR(Table2[[#This Row],[Gender]]="Female",Table2[[#This Row],[Gender]]="F"),"F",""))</f>
        <v>M</v>
      </c>
      <c r="F395" t="s">
        <v>64</v>
      </c>
      <c r="G395" t="s">
        <v>42</v>
      </c>
      <c r="H395" t="s">
        <v>43</v>
      </c>
      <c r="I395" t="s">
        <v>1060</v>
      </c>
      <c r="J395" t="str">
        <f>IF(ISNUMBER(SEARCH("India",Table2[[#This Row],[Emp_Name]])),"INR",
IF(ISNUMBER(SEARCH("Foreign",Table2[[#This Row],[Emp_Name]])),Table2[[#This Row],[Currency]],Table2[[#This Row],[Currency]]))</f>
        <v>INR</v>
      </c>
      <c r="K395">
        <v>25000</v>
      </c>
      <c r="L395">
        <v>12</v>
      </c>
      <c r="M395">
        <f>IF(Table2[[#This Row],[Num_Month]]&lt;&gt;12,12,Table2[[#This Row],[Num_Month]])</f>
        <v>12</v>
      </c>
      <c r="N395">
        <f>IF(Table2[[#This Row],[Monthly_Salary]]="","",Table2[[#This Row],[Monthly_Salary]]*Table2[[#This Row],[Num_Month_Final]])</f>
        <v>300000</v>
      </c>
      <c r="O395">
        <v>1</v>
      </c>
      <c r="P395">
        <f>IF(Table2[[#This Row],[Exp_Years]]&lt;0,ABS(Table2[[#This Row],[Exp_Years]]),Table2[[#This Row],[Exp_Years]])</f>
        <v>1</v>
      </c>
      <c r="Q395">
        <v>1</v>
      </c>
      <c r="S395" t="str">
        <f>IF(Table2[[#This Row],[Performance_Rating]]&gt;=3,Table2[[#This Row],[Monthly_Salary]]*0.3,"")</f>
        <v/>
      </c>
      <c r="T395">
        <v>85</v>
      </c>
      <c r="U395">
        <v>15</v>
      </c>
      <c r="V395">
        <v>9</v>
      </c>
      <c r="X395" t="s">
        <v>38</v>
      </c>
      <c r="Y395" t="str">
        <f>IF(Table2[[#This Row],[Work_Mode]]&lt;&gt;"",Table2[[#This Row],[Work_Mode]],
IF(ISNUMBER(SEARCH("India",Table2[[#This Row],[Emp_Name]])),"Office",
IF(ISNUMBER(SEARCH("Foreign",Table2[[#This Row],[Emp_Name]])),"Remote","")))</f>
        <v>Hybrid</v>
      </c>
      <c r="Z395">
        <v>10</v>
      </c>
      <c r="AA39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395" t="s">
        <v>39</v>
      </c>
      <c r="AC395" t="str">
        <f>IF(COUNTIF(Table2[Emp_ID],Table2[[#This Row],[Emp_ID]])&gt;1,"Duplicate","Unique")</f>
        <v>Unique</v>
      </c>
      <c r="AE395" s="2"/>
      <c r="AG395" t="str">
        <f>IF(Table2[[#This Row],[Monthly_Salary]]="","Exclude",
IF(Table2[[#This Row],[Row_Status]]="Mismatch","Exclude",
IF(AND(Table2[[#This Row],[Row_Status]]="Exact Duplicate",
COUNTIFS(Table2[Emp_ID],Table2[[#This Row],[Emp_ID]],Table2[Row_Concat],Table2[[#This Row],[Row_Concat]],
Table2[Row_Number],"&lt;"&amp;Table2[[#This Row],[Row_Number]])&gt;=1),"Delete","")))</f>
        <v/>
      </c>
      <c r="AH395" t="str">
        <f>VLOOKUP(Table2[[#This Row],[Department]],Raw_2!A:B,2,0)</f>
        <v>Day</v>
      </c>
      <c r="AI395">
        <f>VLOOKUP(Table2[[#This Row],[Department]],Raw_2!A:C,3,0)</f>
        <v>14</v>
      </c>
    </row>
    <row r="396" spans="1:35">
      <c r="A396" t="s">
        <v>831</v>
      </c>
      <c r="B396" t="s">
        <v>832</v>
      </c>
      <c r="C396">
        <v>24</v>
      </c>
      <c r="D396" t="s">
        <v>34</v>
      </c>
      <c r="E396" t="str">
        <f>IF(OR(Table2[[#This Row],[Gender]]="Male",Table2[[#This Row],[Gender]]="M"),"M",
IF(OR(Table2[[#This Row],[Gender]]="Female",Table2[[#This Row],[Gender]]="F"),"F",""))</f>
        <v>F</v>
      </c>
      <c r="F396" t="s">
        <v>61</v>
      </c>
      <c r="G396" t="s">
        <v>42</v>
      </c>
      <c r="H396" t="s">
        <v>43</v>
      </c>
      <c r="I396" t="s">
        <v>1060</v>
      </c>
      <c r="J396" t="str">
        <f>IF(ISNUMBER(SEARCH("India",Table2[[#This Row],[Emp_Name]])),"INR",
IF(ISNUMBER(SEARCH("Foreign",Table2[[#This Row],[Emp_Name]])),Table2[[#This Row],[Currency]],Table2[[#This Row],[Currency]]))</f>
        <v>INR</v>
      </c>
      <c r="K396">
        <v>24000</v>
      </c>
      <c r="L396">
        <v>12</v>
      </c>
      <c r="M396">
        <f>IF(Table2[[#This Row],[Num_Month]]&lt;&gt;12,12,Table2[[#This Row],[Num_Month]])</f>
        <v>12</v>
      </c>
      <c r="N396">
        <f>IF(Table2[[#This Row],[Monthly_Salary]]="","",Table2[[#This Row],[Monthly_Salary]]*Table2[[#This Row],[Num_Month_Final]])</f>
        <v>288000</v>
      </c>
      <c r="O396">
        <v>1</v>
      </c>
      <c r="P396">
        <f>IF(Table2[[#This Row],[Exp_Years]]&lt;0,ABS(Table2[[#This Row],[Exp_Years]]),Table2[[#This Row],[Exp_Years]])</f>
        <v>1</v>
      </c>
      <c r="Q396">
        <v>4</v>
      </c>
      <c r="R396">
        <v>16000</v>
      </c>
      <c r="S396">
        <f>IF(Table2[[#This Row],[Performance_Rating]]&gt;=3,Table2[[#This Row],[Monthly_Salary]]*0.3,"")</f>
        <v>7200</v>
      </c>
      <c r="T396">
        <v>95</v>
      </c>
      <c r="U396">
        <v>15</v>
      </c>
      <c r="V396">
        <v>3</v>
      </c>
      <c r="W396" t="s">
        <v>21</v>
      </c>
      <c r="X396" t="s">
        <v>38</v>
      </c>
      <c r="Y396" t="str">
        <f>IF(Table2[[#This Row],[Work_Mode]]&lt;&gt;"",Table2[[#This Row],[Work_Mode]],
IF(ISNUMBER(SEARCH("India",Table2[[#This Row],[Emp_Name]])),"Office",
IF(ISNUMBER(SEARCH("Foreign",Table2[[#This Row],[Emp_Name]])),"Remote","")))</f>
        <v>Hybrid</v>
      </c>
      <c r="AA39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396" t="s">
        <v>58</v>
      </c>
      <c r="AC396" t="str">
        <f>IF(COUNTIF(Table2[Emp_ID],Table2[[#This Row],[Emp_ID]])&gt;1,"Duplicate","Unique")</f>
        <v>Unique</v>
      </c>
      <c r="AE396" s="2"/>
      <c r="AG396" t="str">
        <f>IF(Table2[[#This Row],[Monthly_Salary]]="","Exclude",
IF(Table2[[#This Row],[Row_Status]]="Mismatch","Exclude",
IF(AND(Table2[[#This Row],[Row_Status]]="Exact Duplicate",
COUNTIFS(Table2[Emp_ID],Table2[[#This Row],[Emp_ID]],Table2[Row_Concat],Table2[[#This Row],[Row_Concat]],
Table2[Row_Number],"&lt;"&amp;Table2[[#This Row],[Row_Number]])&gt;=1),"Delete","")))</f>
        <v/>
      </c>
      <c r="AH396" t="str">
        <f>VLOOKUP(Table2[[#This Row],[Department]],Raw_2!A:B,2,0)</f>
        <v>Day</v>
      </c>
      <c r="AI396">
        <f>VLOOKUP(Table2[[#This Row],[Department]],Raw_2!A:C,3,0)</f>
        <v>14</v>
      </c>
    </row>
    <row r="397" spans="1:35">
      <c r="A397" t="s">
        <v>833</v>
      </c>
      <c r="B397" t="s">
        <v>834</v>
      </c>
      <c r="C397">
        <v>24</v>
      </c>
      <c r="D397" t="s">
        <v>34</v>
      </c>
      <c r="E397" t="str">
        <f>IF(OR(Table2[[#This Row],[Gender]]="Male",Table2[[#This Row],[Gender]]="M"),"M",
IF(OR(Table2[[#This Row],[Gender]]="Female",Table2[[#This Row],[Gender]]="F"),"F",""))</f>
        <v>F</v>
      </c>
      <c r="F397" t="s">
        <v>64</v>
      </c>
      <c r="G397" t="s">
        <v>31</v>
      </c>
      <c r="H397" t="s">
        <v>43</v>
      </c>
      <c r="I397" t="s">
        <v>1060</v>
      </c>
      <c r="J397" t="str">
        <f>IF(ISNUMBER(SEARCH("India",Table2[[#This Row],[Emp_Name]])),"INR",
IF(ISNUMBER(SEARCH("Foreign",Table2[[#This Row],[Emp_Name]])),Table2[[#This Row],[Currency]],Table2[[#This Row],[Currency]]))</f>
        <v>INR</v>
      </c>
      <c r="K397">
        <v>24000</v>
      </c>
      <c r="L397">
        <v>12</v>
      </c>
      <c r="M397">
        <f>IF(Table2[[#This Row],[Num_Month]]&lt;&gt;12,12,Table2[[#This Row],[Num_Month]])</f>
        <v>12</v>
      </c>
      <c r="N397">
        <f>IF(Table2[[#This Row],[Monthly_Salary]]="","",Table2[[#This Row],[Monthly_Salary]]*Table2[[#This Row],[Num_Month_Final]])</f>
        <v>288000</v>
      </c>
      <c r="O397">
        <v>1</v>
      </c>
      <c r="P397">
        <f>IF(Table2[[#This Row],[Exp_Years]]&lt;0,ABS(Table2[[#This Row],[Exp_Years]]),Table2[[#This Row],[Exp_Years]])</f>
        <v>1</v>
      </c>
      <c r="Q397">
        <v>1</v>
      </c>
      <c r="S397" t="str">
        <f>IF(Table2[[#This Row],[Performance_Rating]]&gt;=3,Table2[[#This Row],[Monthly_Salary]]*0.3,"")</f>
        <v/>
      </c>
      <c r="T397">
        <v>85</v>
      </c>
      <c r="U397">
        <v>10</v>
      </c>
      <c r="V397">
        <v>5</v>
      </c>
      <c r="W397" t="s">
        <v>21</v>
      </c>
      <c r="X397" t="s">
        <v>38</v>
      </c>
      <c r="Y397" t="str">
        <f>IF(Table2[[#This Row],[Work_Mode]]&lt;&gt;"",Table2[[#This Row],[Work_Mode]],
IF(ISNUMBER(SEARCH("India",Table2[[#This Row],[Emp_Name]])),"Office",
IF(ISNUMBER(SEARCH("Foreign",Table2[[#This Row],[Emp_Name]])),"Remote","")))</f>
        <v>Hybrid</v>
      </c>
      <c r="Z397">
        <v>5</v>
      </c>
      <c r="AA39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397" t="s">
        <v>39</v>
      </c>
      <c r="AC397" t="str">
        <f>IF(COUNTIF(Table2[Emp_ID],Table2[[#This Row],[Emp_ID]])&gt;1,"Duplicate","Unique")</f>
        <v>Unique</v>
      </c>
      <c r="AE397" s="2"/>
      <c r="AG397" t="str">
        <f>IF(Table2[[#This Row],[Monthly_Salary]]="","Exclude",
IF(Table2[[#This Row],[Row_Status]]="Mismatch","Exclude",
IF(AND(Table2[[#This Row],[Row_Status]]="Exact Duplicate",
COUNTIFS(Table2[Emp_ID],Table2[[#This Row],[Emp_ID]],Table2[Row_Concat],Table2[[#This Row],[Row_Concat]],
Table2[Row_Number],"&lt;"&amp;Table2[[#This Row],[Row_Number]])&gt;=1),"Delete","")))</f>
        <v/>
      </c>
      <c r="AH397" t="str">
        <f>VLOOKUP(Table2[[#This Row],[Department]],Raw_2!A:B,2,0)</f>
        <v>Night</v>
      </c>
      <c r="AI397">
        <f>VLOOKUP(Table2[[#This Row],[Department]],Raw_2!A:C,3,0)</f>
        <v>13</v>
      </c>
    </row>
    <row r="398" spans="1:35">
      <c r="A398" t="s">
        <v>835</v>
      </c>
      <c r="B398" t="s">
        <v>836</v>
      </c>
      <c r="C398">
        <v>23</v>
      </c>
      <c r="E398" t="str">
        <f>IF(OR(Table2[[#This Row],[Gender]]="Male",Table2[[#This Row],[Gender]]="M"),"M",
IF(OR(Table2[[#This Row],[Gender]]="Female",Table2[[#This Row],[Gender]]="F"),"F",""))</f>
        <v/>
      </c>
      <c r="F398" t="s">
        <v>57</v>
      </c>
      <c r="G398" t="s">
        <v>66</v>
      </c>
      <c r="H398" t="s">
        <v>43</v>
      </c>
      <c r="I398" t="s">
        <v>1060</v>
      </c>
      <c r="J398" t="str">
        <f>IF(ISNUMBER(SEARCH("India",Table2[[#This Row],[Emp_Name]])),"INR",
IF(ISNUMBER(SEARCH("Foreign",Table2[[#This Row],[Emp_Name]])),Table2[[#This Row],[Currency]],Table2[[#This Row],[Currency]]))</f>
        <v>INR</v>
      </c>
      <c r="K398">
        <v>24000</v>
      </c>
      <c r="L398">
        <v>12</v>
      </c>
      <c r="M398">
        <f>IF(Table2[[#This Row],[Num_Month]]&lt;&gt;12,12,Table2[[#This Row],[Num_Month]])</f>
        <v>12</v>
      </c>
      <c r="N398">
        <f>IF(Table2[[#This Row],[Monthly_Salary]]="","",Table2[[#This Row],[Monthly_Salary]]*Table2[[#This Row],[Num_Month_Final]])</f>
        <v>288000</v>
      </c>
      <c r="O398">
        <v>1</v>
      </c>
      <c r="P398">
        <f>IF(Table2[[#This Row],[Exp_Years]]&lt;0,ABS(Table2[[#This Row],[Exp_Years]]),Table2[[#This Row],[Exp_Years]])</f>
        <v>1</v>
      </c>
      <c r="Q398">
        <v>1</v>
      </c>
      <c r="S398" t="str">
        <f>IF(Table2[[#This Row],[Performance_Rating]]&gt;=3,Table2[[#This Row],[Monthly_Salary]]*0.3,"")</f>
        <v/>
      </c>
      <c r="T398">
        <v>80</v>
      </c>
      <c r="U398">
        <v>13</v>
      </c>
      <c r="V398">
        <v>5</v>
      </c>
      <c r="W398" t="s">
        <v>21</v>
      </c>
      <c r="X398" t="s">
        <v>19</v>
      </c>
      <c r="Y398" t="str">
        <f>IF(Table2[[#This Row],[Work_Mode]]&lt;&gt;"",Table2[[#This Row],[Work_Mode]],
IF(ISNUMBER(SEARCH("India",Table2[[#This Row],[Emp_Name]])),"Office",
IF(ISNUMBER(SEARCH("Foreign",Table2[[#This Row],[Emp_Name]])),"Remote","")))</f>
        <v>Office</v>
      </c>
      <c r="Z398">
        <v>20</v>
      </c>
      <c r="AA39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398" t="s">
        <v>39</v>
      </c>
      <c r="AC398" t="str">
        <f>IF(COUNTIF(Table2[Emp_ID],Table2[[#This Row],[Emp_ID]])&gt;1,"Duplicate","Unique")</f>
        <v>Unique</v>
      </c>
      <c r="AE398" s="2"/>
      <c r="AG398" t="str">
        <f>IF(Table2[[#This Row],[Monthly_Salary]]="","Exclude",
IF(Table2[[#This Row],[Row_Status]]="Mismatch","Exclude",
IF(AND(Table2[[#This Row],[Row_Status]]="Exact Duplicate",
COUNTIFS(Table2[Emp_ID],Table2[[#This Row],[Emp_ID]],Table2[Row_Concat],Table2[[#This Row],[Row_Concat]],
Table2[Row_Number],"&lt;"&amp;Table2[[#This Row],[Row_Number]])&gt;=1),"Delete","")))</f>
        <v/>
      </c>
      <c r="AH398" t="str">
        <f>VLOOKUP(Table2[[#This Row],[Department]],Raw_2!A:B,2,0)</f>
        <v>Night</v>
      </c>
      <c r="AI398">
        <f>VLOOKUP(Table2[[#This Row],[Department]],Raw_2!A:C,3,0)</f>
        <v>20</v>
      </c>
    </row>
    <row r="399" spans="1:35">
      <c r="A399" t="s">
        <v>837</v>
      </c>
      <c r="B399" t="s">
        <v>838</v>
      </c>
      <c r="C399">
        <v>24</v>
      </c>
      <c r="D399" t="s">
        <v>34</v>
      </c>
      <c r="E399" t="str">
        <f>IF(OR(Table2[[#This Row],[Gender]]="Male",Table2[[#This Row],[Gender]]="M"),"M",
IF(OR(Table2[[#This Row],[Gender]]="Female",Table2[[#This Row],[Gender]]="F"),"F",""))</f>
        <v>F</v>
      </c>
      <c r="F399" t="s">
        <v>65</v>
      </c>
      <c r="G399" t="s">
        <v>42</v>
      </c>
      <c r="H399" t="s">
        <v>1045</v>
      </c>
      <c r="I399" t="s">
        <v>1059</v>
      </c>
      <c r="J399" t="str">
        <f>IF(ISNUMBER(SEARCH("India",Table2[[#This Row],[Emp_Name]])),"INR",
IF(ISNUMBER(SEARCH("Foreign",Table2[[#This Row],[Emp_Name]])),Table2[[#This Row],[Currency]],Table2[[#This Row],[Currency]]))</f>
        <v>USD</v>
      </c>
      <c r="K399">
        <v>81000</v>
      </c>
      <c r="L399">
        <v>12</v>
      </c>
      <c r="M399">
        <f>IF(Table2[[#This Row],[Num_Month]]&lt;&gt;12,12,Table2[[#This Row],[Num_Month]])</f>
        <v>12</v>
      </c>
      <c r="N399">
        <f>IF(Table2[[#This Row],[Monthly_Salary]]="","",Table2[[#This Row],[Monthly_Salary]]*Table2[[#This Row],[Num_Month_Final]])</f>
        <v>972000</v>
      </c>
      <c r="O399">
        <v>6</v>
      </c>
      <c r="P399">
        <f>IF(Table2[[#This Row],[Exp_Years]]&lt;0,ABS(Table2[[#This Row],[Exp_Years]]),Table2[[#This Row],[Exp_Years]])</f>
        <v>6</v>
      </c>
      <c r="Q399">
        <v>5</v>
      </c>
      <c r="S399">
        <f>IF(Table2[[#This Row],[Performance_Rating]]&gt;=3,Table2[[#This Row],[Monthly_Salary]]*0.3,"")</f>
        <v>24300</v>
      </c>
      <c r="T399">
        <v>85</v>
      </c>
      <c r="U399">
        <v>13</v>
      </c>
      <c r="V399">
        <v>1</v>
      </c>
      <c r="W399" t="s">
        <v>37</v>
      </c>
      <c r="X399" t="s">
        <v>28</v>
      </c>
      <c r="Y399" t="str">
        <f>IF(Table2[[#This Row],[Work_Mode]]&lt;&gt;"",Table2[[#This Row],[Work_Mode]],
IF(ISNUMBER(SEARCH("India",Table2[[#This Row],[Emp_Name]])),"Office",
IF(ISNUMBER(SEARCH("Foreign",Table2[[#This Row],[Emp_Name]])),"Remote","")))</f>
        <v>Remote</v>
      </c>
      <c r="Z399">
        <v>20</v>
      </c>
      <c r="AA39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399" t="s">
        <v>58</v>
      </c>
      <c r="AC399" t="str">
        <f>IF(COUNTIF(Table2[Emp_ID],Table2[[#This Row],[Emp_ID]])&gt;1,"Duplicate","Unique")</f>
        <v>Unique</v>
      </c>
      <c r="AE399" s="2"/>
      <c r="AG399" t="str">
        <f>IF(Table2[[#This Row],[Monthly_Salary]]="","Exclude",
IF(Table2[[#This Row],[Row_Status]]="Mismatch","Exclude",
IF(AND(Table2[[#This Row],[Row_Status]]="Exact Duplicate",
COUNTIFS(Table2[Emp_ID],Table2[[#This Row],[Emp_ID]],Table2[Row_Concat],Table2[[#This Row],[Row_Concat]],
Table2[Row_Number],"&lt;"&amp;Table2[[#This Row],[Row_Number]])&gt;=1),"Delete","")))</f>
        <v/>
      </c>
      <c r="AH399" t="str">
        <f>VLOOKUP(Table2[[#This Row],[Department]],Raw_2!A:B,2,0)</f>
        <v>Day</v>
      </c>
      <c r="AI399">
        <f>VLOOKUP(Table2[[#This Row],[Department]],Raw_2!A:C,3,0)</f>
        <v>14</v>
      </c>
    </row>
    <row r="400" spans="1:35">
      <c r="A400" t="s">
        <v>839</v>
      </c>
      <c r="B400" t="s">
        <v>840</v>
      </c>
      <c r="C400">
        <v>23</v>
      </c>
      <c r="D400" t="s">
        <v>46</v>
      </c>
      <c r="E400" t="str">
        <f>IF(OR(Table2[[#This Row],[Gender]]="Male",Table2[[#This Row],[Gender]]="M"),"M",
IF(OR(Table2[[#This Row],[Gender]]="Female",Table2[[#This Row],[Gender]]="F"),"F",""))</f>
        <v>M</v>
      </c>
      <c r="F400" t="s">
        <v>73</v>
      </c>
      <c r="G400" t="s">
        <v>66</v>
      </c>
      <c r="H400" t="s">
        <v>43</v>
      </c>
      <c r="I400" t="s">
        <v>1060</v>
      </c>
      <c r="J400" t="str">
        <f>IF(ISNUMBER(SEARCH("India",Table2[[#This Row],[Emp_Name]])),"INR",
IF(ISNUMBER(SEARCH("Foreign",Table2[[#This Row],[Emp_Name]])),Table2[[#This Row],[Currency]],Table2[[#This Row],[Currency]]))</f>
        <v>INR</v>
      </c>
      <c r="K400">
        <v>29000</v>
      </c>
      <c r="L400">
        <v>12</v>
      </c>
      <c r="M400">
        <f>IF(Table2[[#This Row],[Num_Month]]&lt;&gt;12,12,Table2[[#This Row],[Num_Month]])</f>
        <v>12</v>
      </c>
      <c r="N400">
        <f>IF(Table2[[#This Row],[Monthly_Salary]]="","",Table2[[#This Row],[Monthly_Salary]]*Table2[[#This Row],[Num_Month_Final]])</f>
        <v>348000</v>
      </c>
      <c r="O400">
        <v>2</v>
      </c>
      <c r="P400">
        <f>IF(Table2[[#This Row],[Exp_Years]]&lt;0,ABS(Table2[[#This Row],[Exp_Years]]),Table2[[#This Row],[Exp_Years]])</f>
        <v>2</v>
      </c>
      <c r="Q400">
        <v>5</v>
      </c>
      <c r="R400">
        <v>20000</v>
      </c>
      <c r="S400">
        <f>IF(Table2[[#This Row],[Performance_Rating]]&gt;=3,Table2[[#This Row],[Monthly_Salary]]*0.3,"")</f>
        <v>8700</v>
      </c>
      <c r="T400">
        <v>95</v>
      </c>
      <c r="U400">
        <v>10</v>
      </c>
      <c r="V400">
        <v>2</v>
      </c>
      <c r="X400" t="s">
        <v>38</v>
      </c>
      <c r="Y400" t="str">
        <f>IF(Table2[[#This Row],[Work_Mode]]&lt;&gt;"",Table2[[#This Row],[Work_Mode]],
IF(ISNUMBER(SEARCH("India",Table2[[#This Row],[Emp_Name]])),"Office",
IF(ISNUMBER(SEARCH("Foreign",Table2[[#This Row],[Emp_Name]])),"Remote","")))</f>
        <v>Hybrid</v>
      </c>
      <c r="AA40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00" t="s">
        <v>58</v>
      </c>
      <c r="AC400" t="str">
        <f>IF(COUNTIF(Table2[Emp_ID],Table2[[#This Row],[Emp_ID]])&gt;1,"Duplicate","Unique")</f>
        <v>Unique</v>
      </c>
      <c r="AE400" s="2"/>
      <c r="AG400" t="str">
        <f>IF(Table2[[#This Row],[Monthly_Salary]]="","Exclude",
IF(Table2[[#This Row],[Row_Status]]="Mismatch","Exclude",
IF(AND(Table2[[#This Row],[Row_Status]]="Exact Duplicate",
COUNTIFS(Table2[Emp_ID],Table2[[#This Row],[Emp_ID]],Table2[Row_Concat],Table2[[#This Row],[Row_Concat]],
Table2[Row_Number],"&lt;"&amp;Table2[[#This Row],[Row_Number]])&gt;=1),"Delete","")))</f>
        <v/>
      </c>
      <c r="AH400" t="str">
        <f>VLOOKUP(Table2[[#This Row],[Department]],Raw_2!A:B,2,0)</f>
        <v>Night</v>
      </c>
      <c r="AI400">
        <f>VLOOKUP(Table2[[#This Row],[Department]],Raw_2!A:C,3,0)</f>
        <v>20</v>
      </c>
    </row>
    <row r="401" spans="1:35">
      <c r="A401" t="s">
        <v>841</v>
      </c>
      <c r="B401" t="s">
        <v>842</v>
      </c>
      <c r="C401">
        <v>24</v>
      </c>
      <c r="D401" t="s">
        <v>25</v>
      </c>
      <c r="E401" t="str">
        <f>IF(OR(Table2[[#This Row],[Gender]]="Male",Table2[[#This Row],[Gender]]="M"),"M",
IF(OR(Table2[[#This Row],[Gender]]="Female",Table2[[#This Row],[Gender]]="F"),"F",""))</f>
        <v>F</v>
      </c>
      <c r="F401" t="s">
        <v>73</v>
      </c>
      <c r="G401" t="s">
        <v>42</v>
      </c>
      <c r="H401" t="s">
        <v>43</v>
      </c>
      <c r="I401" t="s">
        <v>1059</v>
      </c>
      <c r="J401" t="str">
        <f>IF(ISNUMBER(SEARCH("India",Table2[[#This Row],[Emp_Name]])),"INR",
IF(ISNUMBER(SEARCH("Foreign",Table2[[#This Row],[Emp_Name]])),Table2[[#This Row],[Currency]],Table2[[#This Row],[Currency]]))</f>
        <v>USD</v>
      </c>
      <c r="K401">
        <v>29000</v>
      </c>
      <c r="L401">
        <v>12</v>
      </c>
      <c r="M401">
        <f>IF(Table2[[#This Row],[Num_Month]]&lt;&gt;12,12,Table2[[#This Row],[Num_Month]])</f>
        <v>12</v>
      </c>
      <c r="N401">
        <f>IF(Table2[[#This Row],[Monthly_Salary]]="","",Table2[[#This Row],[Monthly_Salary]]*Table2[[#This Row],[Num_Month_Final]])</f>
        <v>348000</v>
      </c>
      <c r="O401">
        <v>2</v>
      </c>
      <c r="P401">
        <f>IF(Table2[[#This Row],[Exp_Years]]&lt;0,ABS(Table2[[#This Row],[Exp_Years]]),Table2[[#This Row],[Exp_Years]])</f>
        <v>2</v>
      </c>
      <c r="Q401">
        <v>4</v>
      </c>
      <c r="R401">
        <v>16000</v>
      </c>
      <c r="S401">
        <f>IF(Table2[[#This Row],[Performance_Rating]]&gt;=3,Table2[[#This Row],[Monthly_Salary]]*0.3,"")</f>
        <v>8700</v>
      </c>
      <c r="T401">
        <v>90</v>
      </c>
      <c r="U401">
        <v>15</v>
      </c>
      <c r="V401">
        <v>3</v>
      </c>
      <c r="W401" t="s">
        <v>21</v>
      </c>
      <c r="X401" t="s">
        <v>28</v>
      </c>
      <c r="Y401" t="str">
        <f>IF(Table2[[#This Row],[Work_Mode]]&lt;&gt;"",Table2[[#This Row],[Work_Mode]],
IF(ISNUMBER(SEARCH("India",Table2[[#This Row],[Emp_Name]])),"Office",
IF(ISNUMBER(SEARCH("Foreign",Table2[[#This Row],[Emp_Name]])),"Remote","")))</f>
        <v>Remote</v>
      </c>
      <c r="Z401">
        <v>5</v>
      </c>
      <c r="AA40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401" t="s">
        <v>22</v>
      </c>
      <c r="AC401" t="str">
        <f>IF(COUNTIF(Table2[Emp_ID],Table2[[#This Row],[Emp_ID]])&gt;1,"Duplicate","Unique")</f>
        <v>Unique</v>
      </c>
      <c r="AE401" s="2"/>
      <c r="AG401" t="str">
        <f>IF(Table2[[#This Row],[Monthly_Salary]]="","Exclude",
IF(Table2[[#This Row],[Row_Status]]="Mismatch","Exclude",
IF(AND(Table2[[#This Row],[Row_Status]]="Exact Duplicate",
COUNTIFS(Table2[Emp_ID],Table2[[#This Row],[Emp_ID]],Table2[Row_Concat],Table2[[#This Row],[Row_Concat]],
Table2[Row_Number],"&lt;"&amp;Table2[[#This Row],[Row_Number]])&gt;=1),"Delete","")))</f>
        <v/>
      </c>
      <c r="AH401" t="str">
        <f>VLOOKUP(Table2[[#This Row],[Department]],Raw_2!A:B,2,0)</f>
        <v>Day</v>
      </c>
      <c r="AI401">
        <f>VLOOKUP(Table2[[#This Row],[Department]],Raw_2!A:C,3,0)</f>
        <v>14</v>
      </c>
    </row>
    <row r="402" spans="1:35">
      <c r="A402" t="s">
        <v>843</v>
      </c>
      <c r="B402" t="s">
        <v>844</v>
      </c>
      <c r="C402">
        <v>25</v>
      </c>
      <c r="D402" t="s">
        <v>46</v>
      </c>
      <c r="E402" t="str">
        <f>IF(OR(Table2[[#This Row],[Gender]]="Male",Table2[[#This Row],[Gender]]="M"),"M",
IF(OR(Table2[[#This Row],[Gender]]="Female",Table2[[#This Row],[Gender]]="F"),"F",""))</f>
        <v>M</v>
      </c>
      <c r="F402" t="s">
        <v>35</v>
      </c>
      <c r="G402" t="s">
        <v>31</v>
      </c>
      <c r="H402" t="s">
        <v>43</v>
      </c>
      <c r="I402" t="s">
        <v>1059</v>
      </c>
      <c r="J402" t="str">
        <f>IF(ISNUMBER(SEARCH("India",Table2[[#This Row],[Emp_Name]])),"INR",
IF(ISNUMBER(SEARCH("Foreign",Table2[[#This Row],[Emp_Name]])),Table2[[#This Row],[Currency]],Table2[[#This Row],[Currency]]))</f>
        <v>USD</v>
      </c>
      <c r="K402">
        <v>29000</v>
      </c>
      <c r="L402">
        <v>12</v>
      </c>
      <c r="M402">
        <f>IF(Table2[[#This Row],[Num_Month]]&lt;&gt;12,12,Table2[[#This Row],[Num_Month]])</f>
        <v>12</v>
      </c>
      <c r="N402">
        <f>IF(Table2[[#This Row],[Monthly_Salary]]="","",Table2[[#This Row],[Monthly_Salary]]*Table2[[#This Row],[Num_Month_Final]])</f>
        <v>348000</v>
      </c>
      <c r="O402">
        <v>2</v>
      </c>
      <c r="P402">
        <f>IF(Table2[[#This Row],[Exp_Years]]&lt;0,ABS(Table2[[#This Row],[Exp_Years]]),Table2[[#This Row],[Exp_Years]])</f>
        <v>2</v>
      </c>
      <c r="Q402">
        <v>3</v>
      </c>
      <c r="R402">
        <v>11400</v>
      </c>
      <c r="S402">
        <f>IF(Table2[[#This Row],[Performance_Rating]]&gt;=3,Table2[[#This Row],[Monthly_Salary]]*0.3,"")</f>
        <v>8700</v>
      </c>
      <c r="T402">
        <v>95</v>
      </c>
      <c r="U402">
        <v>13</v>
      </c>
      <c r="V402">
        <v>3</v>
      </c>
      <c r="X402" t="s">
        <v>28</v>
      </c>
      <c r="Y402" t="str">
        <f>IF(Table2[[#This Row],[Work_Mode]]&lt;&gt;"",Table2[[#This Row],[Work_Mode]],
IF(ISNUMBER(SEARCH("India",Table2[[#This Row],[Emp_Name]])),"Office",
IF(ISNUMBER(SEARCH("Foreign",Table2[[#This Row],[Emp_Name]])),"Remote","")))</f>
        <v>Remote</v>
      </c>
      <c r="Z402">
        <v>5</v>
      </c>
      <c r="AA40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402" t="s">
        <v>22</v>
      </c>
      <c r="AC402" t="str">
        <f>IF(COUNTIF(Table2[Emp_ID],Table2[[#This Row],[Emp_ID]])&gt;1,"Duplicate","Unique")</f>
        <v>Unique</v>
      </c>
      <c r="AE402" s="2"/>
      <c r="AG402" t="str">
        <f>IF(Table2[[#This Row],[Monthly_Salary]]="","Exclude",
IF(Table2[[#This Row],[Row_Status]]="Mismatch","Exclude",
IF(AND(Table2[[#This Row],[Row_Status]]="Exact Duplicate",
COUNTIFS(Table2[Emp_ID],Table2[[#This Row],[Emp_ID]],Table2[Row_Concat],Table2[[#This Row],[Row_Concat]],
Table2[Row_Number],"&lt;"&amp;Table2[[#This Row],[Row_Number]])&gt;=1),"Delete","")))</f>
        <v/>
      </c>
      <c r="AH402" t="str">
        <f>VLOOKUP(Table2[[#This Row],[Department]],Raw_2!A:B,2,0)</f>
        <v>Night</v>
      </c>
      <c r="AI402">
        <f>VLOOKUP(Table2[[#This Row],[Department]],Raw_2!A:C,3,0)</f>
        <v>13</v>
      </c>
    </row>
    <row r="403" spans="1:35">
      <c r="A403" t="s">
        <v>845</v>
      </c>
      <c r="B403" t="s">
        <v>846</v>
      </c>
      <c r="C403">
        <v>25</v>
      </c>
      <c r="D403" t="s">
        <v>46</v>
      </c>
      <c r="E403" t="str">
        <f>IF(OR(Table2[[#This Row],[Gender]]="Male",Table2[[#This Row],[Gender]]="M"),"M",
IF(OR(Table2[[#This Row],[Gender]]="Female",Table2[[#This Row],[Gender]]="F"),"F",""))</f>
        <v>M</v>
      </c>
      <c r="F403" t="s">
        <v>65</v>
      </c>
      <c r="G403" t="s">
        <v>18</v>
      </c>
      <c r="H403" t="s">
        <v>43</v>
      </c>
      <c r="I403" t="s">
        <v>1060</v>
      </c>
      <c r="J403" t="str">
        <f>IF(ISNUMBER(SEARCH("India",Table2[[#This Row],[Emp_Name]])),"INR",
IF(ISNUMBER(SEARCH("Foreign",Table2[[#This Row],[Emp_Name]])),Table2[[#This Row],[Currency]],Table2[[#This Row],[Currency]]))</f>
        <v>INR</v>
      </c>
      <c r="K403">
        <v>29000</v>
      </c>
      <c r="L403">
        <v>12</v>
      </c>
      <c r="M403">
        <f>IF(Table2[[#This Row],[Num_Month]]&lt;&gt;12,12,Table2[[#This Row],[Num_Month]])</f>
        <v>12</v>
      </c>
      <c r="N403">
        <f>IF(Table2[[#This Row],[Monthly_Salary]]="","",Table2[[#This Row],[Monthly_Salary]]*Table2[[#This Row],[Num_Month_Final]])</f>
        <v>348000</v>
      </c>
      <c r="O403">
        <v>2</v>
      </c>
      <c r="P403">
        <f>IF(Table2[[#This Row],[Exp_Years]]&lt;0,ABS(Table2[[#This Row],[Exp_Years]]),Table2[[#This Row],[Exp_Years]])</f>
        <v>2</v>
      </c>
      <c r="Q403">
        <v>3</v>
      </c>
      <c r="R403">
        <v>11400</v>
      </c>
      <c r="S403">
        <f>IF(Table2[[#This Row],[Performance_Rating]]&gt;=3,Table2[[#This Row],[Monthly_Salary]]*0.3,"")</f>
        <v>8700</v>
      </c>
      <c r="T403">
        <v>80</v>
      </c>
      <c r="U403">
        <v>13</v>
      </c>
      <c r="V403">
        <v>10</v>
      </c>
      <c r="X403" t="s">
        <v>38</v>
      </c>
      <c r="Y403" t="str">
        <f>IF(Table2[[#This Row],[Work_Mode]]&lt;&gt;"",Table2[[#This Row],[Work_Mode]],
IF(ISNUMBER(SEARCH("India",Table2[[#This Row],[Emp_Name]])),"Office",
IF(ISNUMBER(SEARCH("Foreign",Table2[[#This Row],[Emp_Name]])),"Remote","")))</f>
        <v>Hybrid</v>
      </c>
      <c r="Z403">
        <v>10</v>
      </c>
      <c r="AA40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403" t="s">
        <v>22</v>
      </c>
      <c r="AC403" t="str">
        <f>IF(COUNTIF(Table2[Emp_ID],Table2[[#This Row],[Emp_ID]])&gt;1,"Duplicate","Unique")</f>
        <v>Unique</v>
      </c>
      <c r="AE403" s="2"/>
      <c r="AG403" t="str">
        <f>IF(Table2[[#This Row],[Monthly_Salary]]="","Exclude",
IF(Table2[[#This Row],[Row_Status]]="Mismatch","Exclude",
IF(AND(Table2[[#This Row],[Row_Status]]="Exact Duplicate",
COUNTIFS(Table2[Emp_ID],Table2[[#This Row],[Emp_ID]],Table2[Row_Concat],Table2[[#This Row],[Row_Concat]],
Table2[Row_Number],"&lt;"&amp;Table2[[#This Row],[Row_Number]])&gt;=1),"Delete","")))</f>
        <v/>
      </c>
      <c r="AH403" t="str">
        <f>VLOOKUP(Table2[[#This Row],[Department]],Raw_2!A:B,2,0)</f>
        <v>Day</v>
      </c>
      <c r="AI403">
        <f>VLOOKUP(Table2[[#This Row],[Department]],Raw_2!A:C,3,0)</f>
        <v>10</v>
      </c>
    </row>
    <row r="404" spans="1:35">
      <c r="A404" t="s">
        <v>847</v>
      </c>
      <c r="B404" t="s">
        <v>848</v>
      </c>
      <c r="C404">
        <v>23</v>
      </c>
      <c r="D404" t="s">
        <v>46</v>
      </c>
      <c r="E404" t="str">
        <f>IF(OR(Table2[[#This Row],[Gender]]="Male",Table2[[#This Row],[Gender]]="M"),"M",
IF(OR(Table2[[#This Row],[Gender]]="Female",Table2[[#This Row],[Gender]]="F"),"F",""))</f>
        <v>M</v>
      </c>
      <c r="F404" t="s">
        <v>65</v>
      </c>
      <c r="G404" t="s">
        <v>66</v>
      </c>
      <c r="H404" t="s">
        <v>43</v>
      </c>
      <c r="I404" t="s">
        <v>1060</v>
      </c>
      <c r="J404" t="str">
        <f>IF(ISNUMBER(SEARCH("India",Table2[[#This Row],[Emp_Name]])),"INR",
IF(ISNUMBER(SEARCH("Foreign",Table2[[#This Row],[Emp_Name]])),Table2[[#This Row],[Currency]],Table2[[#This Row],[Currency]]))</f>
        <v>INR</v>
      </c>
      <c r="K404">
        <v>24000</v>
      </c>
      <c r="L404">
        <v>12</v>
      </c>
      <c r="M404">
        <f>IF(Table2[[#This Row],[Num_Month]]&lt;&gt;12,12,Table2[[#This Row],[Num_Month]])</f>
        <v>12</v>
      </c>
      <c r="N404">
        <f>IF(Table2[[#This Row],[Monthly_Salary]]="","",Table2[[#This Row],[Monthly_Salary]]*Table2[[#This Row],[Num_Month_Final]])</f>
        <v>288000</v>
      </c>
      <c r="O404">
        <v>1</v>
      </c>
      <c r="P404">
        <f>IF(Table2[[#This Row],[Exp_Years]]&lt;0,ABS(Table2[[#This Row],[Exp_Years]]),Table2[[#This Row],[Exp_Years]])</f>
        <v>1</v>
      </c>
      <c r="Q404">
        <v>3</v>
      </c>
      <c r="R404">
        <v>11400</v>
      </c>
      <c r="S404">
        <f>IF(Table2[[#This Row],[Performance_Rating]]&gt;=3,Table2[[#This Row],[Monthly_Salary]]*0.3,"")</f>
        <v>7200</v>
      </c>
      <c r="T404">
        <v>85</v>
      </c>
      <c r="U404">
        <v>5</v>
      </c>
      <c r="V404">
        <v>5</v>
      </c>
      <c r="W404" t="s">
        <v>37</v>
      </c>
      <c r="X404" t="s">
        <v>38</v>
      </c>
      <c r="Y404" t="str">
        <f>IF(Table2[[#This Row],[Work_Mode]]&lt;&gt;"",Table2[[#This Row],[Work_Mode]],
IF(ISNUMBER(SEARCH("India",Table2[[#This Row],[Emp_Name]])),"Office",
IF(ISNUMBER(SEARCH("Foreign",Table2[[#This Row],[Emp_Name]])),"Remote","")))</f>
        <v>Hybrid</v>
      </c>
      <c r="AA40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04" t="s">
        <v>22</v>
      </c>
      <c r="AC404" t="str">
        <f>IF(COUNTIF(Table2[Emp_ID],Table2[[#This Row],[Emp_ID]])&gt;1,"Duplicate","Unique")</f>
        <v>Unique</v>
      </c>
      <c r="AE404" s="2"/>
      <c r="AG404" t="str">
        <f>IF(Table2[[#This Row],[Monthly_Salary]]="","Exclude",
IF(Table2[[#This Row],[Row_Status]]="Mismatch","Exclude",
IF(AND(Table2[[#This Row],[Row_Status]]="Exact Duplicate",
COUNTIFS(Table2[Emp_ID],Table2[[#This Row],[Emp_ID]],Table2[Row_Concat],Table2[[#This Row],[Row_Concat]],
Table2[Row_Number],"&lt;"&amp;Table2[[#This Row],[Row_Number]])&gt;=1),"Delete","")))</f>
        <v/>
      </c>
      <c r="AH404" t="str">
        <f>VLOOKUP(Table2[[#This Row],[Department]],Raw_2!A:B,2,0)</f>
        <v>Night</v>
      </c>
      <c r="AI404">
        <f>VLOOKUP(Table2[[#This Row],[Department]],Raw_2!A:C,3,0)</f>
        <v>20</v>
      </c>
    </row>
    <row r="405" spans="1:35">
      <c r="A405" t="s">
        <v>849</v>
      </c>
      <c r="B405" t="s">
        <v>850</v>
      </c>
      <c r="C405">
        <v>38</v>
      </c>
      <c r="E405" t="str">
        <f>IF(OR(Table2[[#This Row],[Gender]]="Male",Table2[[#This Row],[Gender]]="M"),"M",
IF(OR(Table2[[#This Row],[Gender]]="Female",Table2[[#This Row],[Gender]]="F"),"F",""))</f>
        <v/>
      </c>
      <c r="F405" t="s">
        <v>17</v>
      </c>
      <c r="G405" t="s">
        <v>18</v>
      </c>
      <c r="H405" t="s">
        <v>32</v>
      </c>
      <c r="I405" t="s">
        <v>1060</v>
      </c>
      <c r="J405" t="str">
        <f>IF(ISNUMBER(SEARCH("India",Table2[[#This Row],[Emp_Name]])),"INR",
IF(ISNUMBER(SEARCH("Foreign",Table2[[#This Row],[Emp_Name]])),Table2[[#This Row],[Currency]],Table2[[#This Row],[Currency]]))</f>
        <v>INR</v>
      </c>
      <c r="K405">
        <v>90000</v>
      </c>
      <c r="L405">
        <v>12</v>
      </c>
      <c r="M405">
        <f>IF(Table2[[#This Row],[Num_Month]]&lt;&gt;12,12,Table2[[#This Row],[Num_Month]])</f>
        <v>12</v>
      </c>
      <c r="N405">
        <f>IF(Table2[[#This Row],[Monthly_Salary]]="","",Table2[[#This Row],[Monthly_Salary]]*Table2[[#This Row],[Num_Month_Final]])</f>
        <v>1080000</v>
      </c>
      <c r="O405">
        <v>12</v>
      </c>
      <c r="P405">
        <f>IF(Table2[[#This Row],[Exp_Years]]&lt;0,ABS(Table2[[#This Row],[Exp_Years]]),Table2[[#This Row],[Exp_Years]])</f>
        <v>12</v>
      </c>
      <c r="R405">
        <v>28417</v>
      </c>
      <c r="S405" t="str">
        <f>IF(Table2[[#This Row],[Performance_Rating]]&gt;=3,Table2[[#This Row],[Monthly_Salary]]*0.3,"")</f>
        <v/>
      </c>
      <c r="T405">
        <v>80</v>
      </c>
      <c r="U405">
        <v>13</v>
      </c>
      <c r="V405">
        <v>3</v>
      </c>
      <c r="X405" t="s">
        <v>28</v>
      </c>
      <c r="Y405" t="str">
        <f>IF(Table2[[#This Row],[Work_Mode]]&lt;&gt;"",Table2[[#This Row],[Work_Mode]],
IF(ISNUMBER(SEARCH("India",Table2[[#This Row],[Emp_Name]])),"Office",
IF(ISNUMBER(SEARCH("Foreign",Table2[[#This Row],[Emp_Name]])),"Remote","")))</f>
        <v>Remote</v>
      </c>
      <c r="Z405">
        <v>5</v>
      </c>
      <c r="AA40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1750</v>
      </c>
      <c r="AB405" t="s">
        <v>1054</v>
      </c>
      <c r="AC405" t="str">
        <f>IF(COUNTIF(Table2[Emp_ID],Table2[[#This Row],[Emp_ID]])&gt;1,"Duplicate","Unique")</f>
        <v>Unique</v>
      </c>
      <c r="AE405" s="2"/>
      <c r="AG405" t="str">
        <f>IF(Table2[[#This Row],[Monthly_Salary]]="","Exclude",
IF(Table2[[#This Row],[Row_Status]]="Mismatch","Exclude",
IF(AND(Table2[[#This Row],[Row_Status]]="Exact Duplicate",
COUNTIFS(Table2[Emp_ID],Table2[[#This Row],[Emp_ID]],Table2[Row_Concat],Table2[[#This Row],[Row_Concat]],
Table2[Row_Number],"&lt;"&amp;Table2[[#This Row],[Row_Number]])&gt;=1),"Delete","")))</f>
        <v/>
      </c>
      <c r="AH405" t="str">
        <f>VLOOKUP(Table2[[#This Row],[Department]],Raw_2!A:B,2,0)</f>
        <v>Day</v>
      </c>
      <c r="AI405">
        <f>VLOOKUP(Table2[[#This Row],[Department]],Raw_2!A:C,3,0)</f>
        <v>10</v>
      </c>
    </row>
    <row r="406" spans="1:35">
      <c r="A406" t="s">
        <v>851</v>
      </c>
      <c r="B406" t="s">
        <v>852</v>
      </c>
      <c r="C406">
        <v>30</v>
      </c>
      <c r="D406" t="s">
        <v>25</v>
      </c>
      <c r="E406" t="str">
        <f>IF(OR(Table2[[#This Row],[Gender]]="Male",Table2[[#This Row],[Gender]]="M"),"M",
IF(OR(Table2[[#This Row],[Gender]]="Female",Table2[[#This Row],[Gender]]="F"),"F",""))</f>
        <v>F</v>
      </c>
      <c r="F406" t="s">
        <v>17</v>
      </c>
      <c r="G406" t="s">
        <v>31</v>
      </c>
      <c r="H406" t="s">
        <v>82</v>
      </c>
      <c r="I406" t="s">
        <v>1060</v>
      </c>
      <c r="J406" t="str">
        <f>IF(ISNUMBER(SEARCH("India",Table2[[#This Row],[Emp_Name]])),"INR",
IF(ISNUMBER(SEARCH("Foreign",Table2[[#This Row],[Emp_Name]])),Table2[[#This Row],[Currency]],Table2[[#This Row],[Currency]]))</f>
        <v>INR</v>
      </c>
      <c r="K406">
        <v>84000</v>
      </c>
      <c r="L406">
        <v>12</v>
      </c>
      <c r="M406">
        <f>IF(Table2[[#This Row],[Num_Month]]&lt;&gt;12,12,Table2[[#This Row],[Num_Month]])</f>
        <v>12</v>
      </c>
      <c r="N406">
        <f>IF(Table2[[#This Row],[Monthly_Salary]]="","",Table2[[#This Row],[Monthly_Salary]]*Table2[[#This Row],[Num_Month_Final]])</f>
        <v>1008000</v>
      </c>
      <c r="O406">
        <v>7</v>
      </c>
      <c r="P406">
        <f>IF(Table2[[#This Row],[Exp_Years]]&lt;0,ABS(Table2[[#This Row],[Exp_Years]]),Table2[[#This Row],[Exp_Years]])</f>
        <v>7</v>
      </c>
      <c r="Q406">
        <v>3</v>
      </c>
      <c r="R406">
        <v>27000</v>
      </c>
      <c r="S406">
        <f>IF(Table2[[#This Row],[Performance_Rating]]&gt;=3,Table2[[#This Row],[Monthly_Salary]]*0.3,"")</f>
        <v>25200</v>
      </c>
      <c r="T406">
        <v>90</v>
      </c>
      <c r="U406">
        <v>10</v>
      </c>
      <c r="V406">
        <v>5</v>
      </c>
      <c r="X406" t="s">
        <v>38</v>
      </c>
      <c r="Y406" t="str">
        <f>IF(Table2[[#This Row],[Work_Mode]]&lt;&gt;"",Table2[[#This Row],[Work_Mode]],
IF(ISNUMBER(SEARCH("India",Table2[[#This Row],[Emp_Name]])),"Office",
IF(ISNUMBER(SEARCH("Foreign",Table2[[#This Row],[Emp_Name]])),"Remote","")))</f>
        <v>Hybrid</v>
      </c>
      <c r="Z406">
        <v>10</v>
      </c>
      <c r="AA40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3500</v>
      </c>
      <c r="AB406" t="s">
        <v>22</v>
      </c>
      <c r="AC406" t="str">
        <f>IF(COUNTIF(Table2[Emp_ID],Table2[[#This Row],[Emp_ID]])&gt;1,"Duplicate","Unique")</f>
        <v>Unique</v>
      </c>
      <c r="AE406" s="2"/>
      <c r="AG406" t="str">
        <f>IF(Table2[[#This Row],[Monthly_Salary]]="","Exclude",
IF(Table2[[#This Row],[Row_Status]]="Mismatch","Exclude",
IF(AND(Table2[[#This Row],[Row_Status]]="Exact Duplicate",
COUNTIFS(Table2[Emp_ID],Table2[[#This Row],[Emp_ID]],Table2[Row_Concat],Table2[[#This Row],[Row_Concat]],
Table2[Row_Number],"&lt;"&amp;Table2[[#This Row],[Row_Number]])&gt;=1),"Delete","")))</f>
        <v/>
      </c>
      <c r="AH406" t="str">
        <f>VLOOKUP(Table2[[#This Row],[Department]],Raw_2!A:B,2,0)</f>
        <v>Night</v>
      </c>
      <c r="AI406">
        <f>VLOOKUP(Table2[[#This Row],[Department]],Raw_2!A:C,3,0)</f>
        <v>13</v>
      </c>
    </row>
    <row r="407" spans="1:35">
      <c r="A407" t="s">
        <v>853</v>
      </c>
      <c r="B407" t="s">
        <v>854</v>
      </c>
      <c r="C407">
        <v>25</v>
      </c>
      <c r="D407" t="s">
        <v>46</v>
      </c>
      <c r="E407" t="str">
        <f>IF(OR(Table2[[#This Row],[Gender]]="Male",Table2[[#This Row],[Gender]]="M"),"M",
IF(OR(Table2[[#This Row],[Gender]]="Female",Table2[[#This Row],[Gender]]="F"),"F",""))</f>
        <v>M</v>
      </c>
      <c r="F407" t="s">
        <v>35</v>
      </c>
      <c r="G407" t="s">
        <v>31</v>
      </c>
      <c r="H407" t="s">
        <v>1045</v>
      </c>
      <c r="I407" t="s">
        <v>1060</v>
      </c>
      <c r="J407" t="str">
        <f>IF(ISNUMBER(SEARCH("India",Table2[[#This Row],[Emp_Name]])),"INR",
IF(ISNUMBER(SEARCH("Foreign",Table2[[#This Row],[Emp_Name]])),Table2[[#This Row],[Currency]],Table2[[#This Row],[Currency]]))</f>
        <v>INR</v>
      </c>
      <c r="K407">
        <v>78000</v>
      </c>
      <c r="L407">
        <v>12</v>
      </c>
      <c r="M407">
        <f>IF(Table2[[#This Row],[Num_Month]]&lt;&gt;12,12,Table2[[#This Row],[Num_Month]])</f>
        <v>12</v>
      </c>
      <c r="N407">
        <f>IF(Table2[[#This Row],[Monthly_Salary]]="","",Table2[[#This Row],[Monthly_Salary]]*Table2[[#This Row],[Num_Month_Final]])</f>
        <v>936000</v>
      </c>
      <c r="O407">
        <v>5</v>
      </c>
      <c r="P407">
        <f>IF(Table2[[#This Row],[Exp_Years]]&lt;0,ABS(Table2[[#This Row],[Exp_Years]]),Table2[[#This Row],[Exp_Years]])</f>
        <v>5</v>
      </c>
      <c r="Q407">
        <v>4</v>
      </c>
      <c r="R407">
        <v>10871</v>
      </c>
      <c r="S407">
        <f>IF(Table2[[#This Row],[Performance_Rating]]&gt;=3,Table2[[#This Row],[Monthly_Salary]]*0.3,"")</f>
        <v>23400</v>
      </c>
      <c r="T407">
        <v>80</v>
      </c>
      <c r="U407">
        <v>5</v>
      </c>
      <c r="V407">
        <v>2</v>
      </c>
      <c r="W407" t="s">
        <v>21</v>
      </c>
      <c r="X407" t="s">
        <v>19</v>
      </c>
      <c r="Y407" t="str">
        <f>IF(Table2[[#This Row],[Work_Mode]]&lt;&gt;"",Table2[[#This Row],[Work_Mode]],
IF(ISNUMBER(SEARCH("India",Table2[[#This Row],[Emp_Name]])),"Office",
IF(ISNUMBER(SEARCH("Foreign",Table2[[#This Row],[Emp_Name]])),"Remote","")))</f>
        <v>Office</v>
      </c>
      <c r="AA40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07" t="s">
        <v>58</v>
      </c>
      <c r="AC407" t="str">
        <f>IF(COUNTIF(Table2[Emp_ID],Table2[[#This Row],[Emp_ID]])&gt;1,"Duplicate","Unique")</f>
        <v>Unique</v>
      </c>
      <c r="AE407" s="2"/>
      <c r="AG407" t="str">
        <f>IF(Table2[[#This Row],[Monthly_Salary]]="","Exclude",
IF(Table2[[#This Row],[Row_Status]]="Mismatch","Exclude",
IF(AND(Table2[[#This Row],[Row_Status]]="Exact Duplicate",
COUNTIFS(Table2[Emp_ID],Table2[[#This Row],[Emp_ID]],Table2[Row_Concat],Table2[[#This Row],[Row_Concat]],
Table2[Row_Number],"&lt;"&amp;Table2[[#This Row],[Row_Number]])&gt;=1),"Delete","")))</f>
        <v/>
      </c>
      <c r="AH407" t="str">
        <f>VLOOKUP(Table2[[#This Row],[Department]],Raw_2!A:B,2,0)</f>
        <v>Night</v>
      </c>
      <c r="AI407">
        <f>VLOOKUP(Table2[[#This Row],[Department]],Raw_2!A:C,3,0)</f>
        <v>13</v>
      </c>
    </row>
    <row r="408" spans="1:35">
      <c r="A408" t="s">
        <v>855</v>
      </c>
      <c r="B408" t="s">
        <v>856</v>
      </c>
      <c r="C408">
        <v>24</v>
      </c>
      <c r="D408" t="s">
        <v>34</v>
      </c>
      <c r="E408" t="str">
        <f>IF(OR(Table2[[#This Row],[Gender]]="Male",Table2[[#This Row],[Gender]]="M"),"M",
IF(OR(Table2[[#This Row],[Gender]]="Female",Table2[[#This Row],[Gender]]="F"),"F",""))</f>
        <v>F</v>
      </c>
      <c r="F408" t="s">
        <v>64</v>
      </c>
      <c r="G408" t="s">
        <v>31</v>
      </c>
      <c r="H408" t="s">
        <v>43</v>
      </c>
      <c r="I408" t="s">
        <v>1060</v>
      </c>
      <c r="J408" t="str">
        <f>IF(ISNUMBER(SEARCH("India",Table2[[#This Row],[Emp_Name]])),"INR",
IF(ISNUMBER(SEARCH("Foreign",Table2[[#This Row],[Emp_Name]])),Table2[[#This Row],[Currency]],Table2[[#This Row],[Currency]]))</f>
        <v>INR</v>
      </c>
      <c r="K408">
        <v>24000</v>
      </c>
      <c r="L408">
        <v>12</v>
      </c>
      <c r="M408">
        <f>IF(Table2[[#This Row],[Num_Month]]&lt;&gt;12,12,Table2[[#This Row],[Num_Month]])</f>
        <v>12</v>
      </c>
      <c r="N408">
        <f>IF(Table2[[#This Row],[Monthly_Salary]]="","",Table2[[#This Row],[Monthly_Salary]]*Table2[[#This Row],[Num_Month_Final]])</f>
        <v>288000</v>
      </c>
      <c r="O408">
        <v>1</v>
      </c>
      <c r="P408">
        <f>IF(Table2[[#This Row],[Exp_Years]]&lt;0,ABS(Table2[[#This Row],[Exp_Years]]),Table2[[#This Row],[Exp_Years]])</f>
        <v>1</v>
      </c>
      <c r="Q408">
        <v>3</v>
      </c>
      <c r="R408">
        <v>13400</v>
      </c>
      <c r="S408">
        <f>IF(Table2[[#This Row],[Performance_Rating]]&gt;=3,Table2[[#This Row],[Monthly_Salary]]*0.3,"")</f>
        <v>7200</v>
      </c>
      <c r="T408">
        <v>95</v>
      </c>
      <c r="U408">
        <v>5</v>
      </c>
      <c r="V408">
        <v>1</v>
      </c>
      <c r="W408" t="s">
        <v>37</v>
      </c>
      <c r="X408" t="s">
        <v>38</v>
      </c>
      <c r="Y408" t="str">
        <f>IF(Table2[[#This Row],[Work_Mode]]&lt;&gt;"",Table2[[#This Row],[Work_Mode]],
IF(ISNUMBER(SEARCH("India",Table2[[#This Row],[Emp_Name]])),"Office",
IF(ISNUMBER(SEARCH("Foreign",Table2[[#This Row],[Emp_Name]])),"Remote","")))</f>
        <v>Hybrid</v>
      </c>
      <c r="Z408">
        <v>10</v>
      </c>
      <c r="AA40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408" t="s">
        <v>22</v>
      </c>
      <c r="AC408" t="str">
        <f>IF(COUNTIF(Table2[Emp_ID],Table2[[#This Row],[Emp_ID]])&gt;1,"Duplicate","Unique")</f>
        <v>Unique</v>
      </c>
      <c r="AE408" s="2"/>
      <c r="AG408" t="str">
        <f>IF(Table2[[#This Row],[Monthly_Salary]]="","Exclude",
IF(Table2[[#This Row],[Row_Status]]="Mismatch","Exclude",
IF(AND(Table2[[#This Row],[Row_Status]]="Exact Duplicate",
COUNTIFS(Table2[Emp_ID],Table2[[#This Row],[Emp_ID]],Table2[Row_Concat],Table2[[#This Row],[Row_Concat]],
Table2[Row_Number],"&lt;"&amp;Table2[[#This Row],[Row_Number]])&gt;=1),"Delete","")))</f>
        <v/>
      </c>
      <c r="AH408" t="str">
        <f>VLOOKUP(Table2[[#This Row],[Department]],Raw_2!A:B,2,0)</f>
        <v>Night</v>
      </c>
      <c r="AI408">
        <f>VLOOKUP(Table2[[#This Row],[Department]],Raw_2!A:C,3,0)</f>
        <v>13</v>
      </c>
    </row>
    <row r="409" spans="1:35">
      <c r="A409" t="s">
        <v>857</v>
      </c>
      <c r="B409" t="s">
        <v>858</v>
      </c>
      <c r="C409">
        <v>23</v>
      </c>
      <c r="D409" t="s">
        <v>25</v>
      </c>
      <c r="E409" t="str">
        <f>IF(OR(Table2[[#This Row],[Gender]]="Male",Table2[[#This Row],[Gender]]="M"),"M",
IF(OR(Table2[[#This Row],[Gender]]="Female",Table2[[#This Row],[Gender]]="F"),"F",""))</f>
        <v>F</v>
      </c>
      <c r="F409" t="s">
        <v>65</v>
      </c>
      <c r="G409" t="s">
        <v>66</v>
      </c>
      <c r="H409" t="s">
        <v>43</v>
      </c>
      <c r="I409" t="s">
        <v>1060</v>
      </c>
      <c r="J409" t="str">
        <f>IF(ISNUMBER(SEARCH("India",Table2[[#This Row],[Emp_Name]])),"INR",
IF(ISNUMBER(SEARCH("Foreign",Table2[[#This Row],[Emp_Name]])),Table2[[#This Row],[Currency]],Table2[[#This Row],[Currency]]))</f>
        <v>INR</v>
      </c>
      <c r="K409">
        <v>27000</v>
      </c>
      <c r="L409">
        <v>12</v>
      </c>
      <c r="M409">
        <f>IF(Table2[[#This Row],[Num_Month]]&lt;&gt;12,12,Table2[[#This Row],[Num_Month]])</f>
        <v>12</v>
      </c>
      <c r="N409">
        <f>IF(Table2[[#This Row],[Monthly_Salary]]="","",Table2[[#This Row],[Monthly_Salary]]*Table2[[#This Row],[Num_Month_Final]])</f>
        <v>324000</v>
      </c>
      <c r="O409">
        <v>2</v>
      </c>
      <c r="P409">
        <f>IF(Table2[[#This Row],[Exp_Years]]&lt;0,ABS(Table2[[#This Row],[Exp_Years]]),Table2[[#This Row],[Exp_Years]])</f>
        <v>2</v>
      </c>
      <c r="Q409">
        <v>5</v>
      </c>
      <c r="R409">
        <v>20000</v>
      </c>
      <c r="S409">
        <f>IF(Table2[[#This Row],[Performance_Rating]]&gt;=3,Table2[[#This Row],[Monthly_Salary]]*0.3,"")</f>
        <v>8100</v>
      </c>
      <c r="T409">
        <v>80</v>
      </c>
      <c r="U409">
        <v>5</v>
      </c>
      <c r="V409">
        <v>3</v>
      </c>
      <c r="W409" t="s">
        <v>37</v>
      </c>
      <c r="X409" t="s">
        <v>38</v>
      </c>
      <c r="Y409" t="str">
        <f>IF(Table2[[#This Row],[Work_Mode]]&lt;&gt;"",Table2[[#This Row],[Work_Mode]],
IF(ISNUMBER(SEARCH("India",Table2[[#This Row],[Emp_Name]])),"Office",
IF(ISNUMBER(SEARCH("Foreign",Table2[[#This Row],[Emp_Name]])),"Remote","")))</f>
        <v>Hybrid</v>
      </c>
      <c r="Z409">
        <v>10</v>
      </c>
      <c r="AA40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409" t="s">
        <v>58</v>
      </c>
      <c r="AC409" t="str">
        <f>IF(COUNTIF(Table2[Emp_ID],Table2[[#This Row],[Emp_ID]])&gt;1,"Duplicate","Unique")</f>
        <v>Unique</v>
      </c>
      <c r="AE409" s="2"/>
      <c r="AG409" t="str">
        <f>IF(Table2[[#This Row],[Monthly_Salary]]="","Exclude",
IF(Table2[[#This Row],[Row_Status]]="Mismatch","Exclude",
IF(AND(Table2[[#This Row],[Row_Status]]="Exact Duplicate",
COUNTIFS(Table2[Emp_ID],Table2[[#This Row],[Emp_ID]],Table2[Row_Concat],Table2[[#This Row],[Row_Concat]],
Table2[Row_Number],"&lt;"&amp;Table2[[#This Row],[Row_Number]])&gt;=1),"Delete","")))</f>
        <v/>
      </c>
      <c r="AH409" t="str">
        <f>VLOOKUP(Table2[[#This Row],[Department]],Raw_2!A:B,2,0)</f>
        <v>Night</v>
      </c>
      <c r="AI409">
        <f>VLOOKUP(Table2[[#This Row],[Department]],Raw_2!A:C,3,0)</f>
        <v>20</v>
      </c>
    </row>
    <row r="410" spans="1:35">
      <c r="A410" t="s">
        <v>859</v>
      </c>
      <c r="B410" t="s">
        <v>860</v>
      </c>
      <c r="C410">
        <v>25</v>
      </c>
      <c r="D410" t="s">
        <v>25</v>
      </c>
      <c r="E410" t="str">
        <f>IF(OR(Table2[[#This Row],[Gender]]="Male",Table2[[#This Row],[Gender]]="M"),"M",
IF(OR(Table2[[#This Row],[Gender]]="Female",Table2[[#This Row],[Gender]]="F"),"F",""))</f>
        <v>F</v>
      </c>
      <c r="F410" t="s">
        <v>57</v>
      </c>
      <c r="G410" t="s">
        <v>31</v>
      </c>
      <c r="H410" t="s">
        <v>43</v>
      </c>
      <c r="I410" t="s">
        <v>1060</v>
      </c>
      <c r="J410" t="str">
        <f>IF(ISNUMBER(SEARCH("India",Table2[[#This Row],[Emp_Name]])),"INR",
IF(ISNUMBER(SEARCH("Foreign",Table2[[#This Row],[Emp_Name]])),Table2[[#This Row],[Currency]],Table2[[#This Row],[Currency]]))</f>
        <v>INR</v>
      </c>
      <c r="K410">
        <v>24000</v>
      </c>
      <c r="L410">
        <v>12</v>
      </c>
      <c r="M410">
        <f>IF(Table2[[#This Row],[Num_Month]]&lt;&gt;12,12,Table2[[#This Row],[Num_Month]])</f>
        <v>12</v>
      </c>
      <c r="N410">
        <f>IF(Table2[[#This Row],[Monthly_Salary]]="","",Table2[[#This Row],[Monthly_Salary]]*Table2[[#This Row],[Num_Month_Final]])</f>
        <v>288000</v>
      </c>
      <c r="O410">
        <v>1</v>
      </c>
      <c r="P410">
        <f>IF(Table2[[#This Row],[Exp_Years]]&lt;0,ABS(Table2[[#This Row],[Exp_Years]]),Table2[[#This Row],[Exp_Years]])</f>
        <v>1</v>
      </c>
      <c r="Q410">
        <v>1</v>
      </c>
      <c r="S410" t="str">
        <f>IF(Table2[[#This Row],[Performance_Rating]]&gt;=3,Table2[[#This Row],[Monthly_Salary]]*0.3,"")</f>
        <v/>
      </c>
      <c r="T410">
        <v>90</v>
      </c>
      <c r="U410">
        <v>5</v>
      </c>
      <c r="V410">
        <v>2</v>
      </c>
      <c r="X410" t="s">
        <v>38</v>
      </c>
      <c r="Y410" t="str">
        <f>IF(Table2[[#This Row],[Work_Mode]]&lt;&gt;"",Table2[[#This Row],[Work_Mode]],
IF(ISNUMBER(SEARCH("India",Table2[[#This Row],[Emp_Name]])),"Office",
IF(ISNUMBER(SEARCH("Foreign",Table2[[#This Row],[Emp_Name]])),"Remote","")))</f>
        <v>Hybrid</v>
      </c>
      <c r="Z410">
        <v>20</v>
      </c>
      <c r="AA41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410" t="s">
        <v>39</v>
      </c>
      <c r="AC410" t="str">
        <f>IF(COUNTIF(Table2[Emp_ID],Table2[[#This Row],[Emp_ID]])&gt;1,"Duplicate","Unique")</f>
        <v>Unique</v>
      </c>
      <c r="AE410" s="2"/>
      <c r="AG410" t="str">
        <f>IF(Table2[[#This Row],[Monthly_Salary]]="","Exclude",
IF(Table2[[#This Row],[Row_Status]]="Mismatch","Exclude",
IF(AND(Table2[[#This Row],[Row_Status]]="Exact Duplicate",
COUNTIFS(Table2[Emp_ID],Table2[[#This Row],[Emp_ID]],Table2[Row_Concat],Table2[[#This Row],[Row_Concat]],
Table2[Row_Number],"&lt;"&amp;Table2[[#This Row],[Row_Number]])&gt;=1),"Delete","")))</f>
        <v/>
      </c>
      <c r="AH410" t="str">
        <f>VLOOKUP(Table2[[#This Row],[Department]],Raw_2!A:B,2,0)</f>
        <v>Night</v>
      </c>
      <c r="AI410">
        <f>VLOOKUP(Table2[[#This Row],[Department]],Raw_2!A:C,3,0)</f>
        <v>13</v>
      </c>
    </row>
    <row r="411" spans="1:35">
      <c r="A411" t="s">
        <v>861</v>
      </c>
      <c r="B411" t="s">
        <v>862</v>
      </c>
      <c r="C411">
        <v>40</v>
      </c>
      <c r="D411" t="s">
        <v>25</v>
      </c>
      <c r="E411" t="str">
        <f>IF(OR(Table2[[#This Row],[Gender]]="Male",Table2[[#This Row],[Gender]]="M"),"M",
IF(OR(Table2[[#This Row],[Gender]]="Female",Table2[[#This Row],[Gender]]="F"),"F",""))</f>
        <v>F</v>
      </c>
      <c r="F411" t="s">
        <v>26</v>
      </c>
      <c r="G411" t="s">
        <v>42</v>
      </c>
      <c r="H411" t="s">
        <v>1045</v>
      </c>
      <c r="I411" t="s">
        <v>1060</v>
      </c>
      <c r="J411" t="str">
        <f>IF(ISNUMBER(SEARCH("India",Table2[[#This Row],[Emp_Name]])),"INR",
IF(ISNUMBER(SEARCH("Foreign",Table2[[#This Row],[Emp_Name]])),Table2[[#This Row],[Currency]],Table2[[#This Row],[Currency]]))</f>
        <v>INR</v>
      </c>
      <c r="K411">
        <v>75000</v>
      </c>
      <c r="L411">
        <v>12</v>
      </c>
      <c r="M411">
        <f>IF(Table2[[#This Row],[Num_Month]]&lt;&gt;12,12,Table2[[#This Row],[Num_Month]])</f>
        <v>12</v>
      </c>
      <c r="N411">
        <f>IF(Table2[[#This Row],[Monthly_Salary]]="","",Table2[[#This Row],[Monthly_Salary]]*Table2[[#This Row],[Num_Month_Final]])</f>
        <v>900000</v>
      </c>
      <c r="O411">
        <v>5</v>
      </c>
      <c r="P411">
        <f>IF(Table2[[#This Row],[Exp_Years]]&lt;0,ABS(Table2[[#This Row],[Exp_Years]]),Table2[[#This Row],[Exp_Years]])</f>
        <v>5</v>
      </c>
      <c r="Q411">
        <v>1</v>
      </c>
      <c r="S411" t="str">
        <f>IF(Table2[[#This Row],[Performance_Rating]]&gt;=3,Table2[[#This Row],[Monthly_Salary]]*0.3,"")</f>
        <v/>
      </c>
      <c r="T411">
        <v>90</v>
      </c>
      <c r="U411">
        <v>5</v>
      </c>
      <c r="V411">
        <v>13</v>
      </c>
      <c r="X411" t="s">
        <v>19</v>
      </c>
      <c r="Y411" t="str">
        <f>IF(Table2[[#This Row],[Work_Mode]]&lt;&gt;"",Table2[[#This Row],[Work_Mode]],
IF(ISNUMBER(SEARCH("India",Table2[[#This Row],[Emp_Name]])),"Office",
IF(ISNUMBER(SEARCH("Foreign",Table2[[#This Row],[Emp_Name]])),"Remote","")))</f>
        <v>Office</v>
      </c>
      <c r="Z411">
        <v>10</v>
      </c>
      <c r="AA41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411" t="s">
        <v>39</v>
      </c>
      <c r="AC411" t="str">
        <f>IF(COUNTIF(Table2[Emp_ID],Table2[[#This Row],[Emp_ID]])&gt;1,"Duplicate","Unique")</f>
        <v>Unique</v>
      </c>
      <c r="AE411" s="2"/>
      <c r="AG411" t="str">
        <f>IF(Table2[[#This Row],[Monthly_Salary]]="","Exclude",
IF(Table2[[#This Row],[Row_Status]]="Mismatch","Exclude",
IF(AND(Table2[[#This Row],[Row_Status]]="Exact Duplicate",
COUNTIFS(Table2[Emp_ID],Table2[[#This Row],[Emp_ID]],Table2[Row_Concat],Table2[[#This Row],[Row_Concat]],
Table2[Row_Number],"&lt;"&amp;Table2[[#This Row],[Row_Number]])&gt;=1),"Delete","")))</f>
        <v/>
      </c>
      <c r="AH411" t="str">
        <f>VLOOKUP(Table2[[#This Row],[Department]],Raw_2!A:B,2,0)</f>
        <v>Day</v>
      </c>
      <c r="AI411">
        <f>VLOOKUP(Table2[[#This Row],[Department]],Raw_2!A:C,3,0)</f>
        <v>14</v>
      </c>
    </row>
    <row r="412" spans="1:35">
      <c r="A412" t="s">
        <v>863</v>
      </c>
      <c r="B412" t="s">
        <v>864</v>
      </c>
      <c r="C412">
        <v>32</v>
      </c>
      <c r="D412" t="s">
        <v>25</v>
      </c>
      <c r="E412" t="str">
        <f>IF(OR(Table2[[#This Row],[Gender]]="Male",Table2[[#This Row],[Gender]]="M"),"M",
IF(OR(Table2[[#This Row],[Gender]]="Female",Table2[[#This Row],[Gender]]="F"),"F",""))</f>
        <v>F</v>
      </c>
      <c r="F412" t="s">
        <v>64</v>
      </c>
      <c r="G412" t="s">
        <v>36</v>
      </c>
      <c r="H412" t="s">
        <v>82</v>
      </c>
      <c r="I412" t="s">
        <v>1060</v>
      </c>
      <c r="J412" t="str">
        <f>IF(ISNUMBER(SEARCH("India",Table2[[#This Row],[Emp_Name]])),"INR",
IF(ISNUMBER(SEARCH("Foreign",Table2[[#This Row],[Emp_Name]])),Table2[[#This Row],[Currency]],Table2[[#This Row],[Currency]]))</f>
        <v>INR</v>
      </c>
      <c r="K412">
        <v>83000</v>
      </c>
      <c r="L412">
        <v>12</v>
      </c>
      <c r="M412">
        <f>IF(Table2[[#This Row],[Num_Month]]&lt;&gt;12,12,Table2[[#This Row],[Num_Month]])</f>
        <v>12</v>
      </c>
      <c r="N412">
        <f>IF(Table2[[#This Row],[Monthly_Salary]]="","",Table2[[#This Row],[Monthly_Salary]]*Table2[[#This Row],[Num_Month_Final]])</f>
        <v>996000</v>
      </c>
      <c r="O412">
        <v>7</v>
      </c>
      <c r="P412">
        <f>IF(Table2[[#This Row],[Exp_Years]]&lt;0,ABS(Table2[[#This Row],[Exp_Years]]),Table2[[#This Row],[Exp_Years]])</f>
        <v>7</v>
      </c>
      <c r="Q412">
        <v>2</v>
      </c>
      <c r="S412" t="str">
        <f>IF(Table2[[#This Row],[Performance_Rating]]&gt;=3,Table2[[#This Row],[Monthly_Salary]]*0.3,"")</f>
        <v/>
      </c>
      <c r="T412">
        <v>90</v>
      </c>
      <c r="U412">
        <v>10</v>
      </c>
      <c r="V412">
        <v>3</v>
      </c>
      <c r="W412" t="s">
        <v>21</v>
      </c>
      <c r="X412" t="s">
        <v>38</v>
      </c>
      <c r="Y412" t="str">
        <f>IF(Table2[[#This Row],[Work_Mode]]&lt;&gt;"",Table2[[#This Row],[Work_Mode]],
IF(ISNUMBER(SEARCH("India",Table2[[#This Row],[Emp_Name]])),"Office",
IF(ISNUMBER(SEARCH("Foreign",Table2[[#This Row],[Emp_Name]])),"Remote","")))</f>
        <v>Hybrid</v>
      </c>
      <c r="AA41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12" t="s">
        <v>39</v>
      </c>
      <c r="AC412" t="str">
        <f>IF(COUNTIF(Table2[Emp_ID],Table2[[#This Row],[Emp_ID]])&gt;1,"Duplicate","Unique")</f>
        <v>Unique</v>
      </c>
      <c r="AE412" s="2"/>
      <c r="AG412" t="str">
        <f>IF(Table2[[#This Row],[Monthly_Salary]]="","Exclude",
IF(Table2[[#This Row],[Row_Status]]="Mismatch","Exclude",
IF(AND(Table2[[#This Row],[Row_Status]]="Exact Duplicate",
COUNTIFS(Table2[Emp_ID],Table2[[#This Row],[Emp_ID]],Table2[Row_Concat],Table2[[#This Row],[Row_Concat]],
Table2[Row_Number],"&lt;"&amp;Table2[[#This Row],[Row_Number]])&gt;=1),"Delete","")))</f>
        <v/>
      </c>
      <c r="AH412" t="str">
        <f>VLOOKUP(Table2[[#This Row],[Department]],Raw_2!A:B,2,0)</f>
        <v>Day</v>
      </c>
      <c r="AI412">
        <f>VLOOKUP(Table2[[#This Row],[Department]],Raw_2!A:C,3,0)</f>
        <v>25</v>
      </c>
    </row>
    <row r="413" spans="1:35">
      <c r="A413" t="s">
        <v>865</v>
      </c>
      <c r="B413" t="s">
        <v>866</v>
      </c>
      <c r="C413">
        <v>23</v>
      </c>
      <c r="D413" t="s">
        <v>46</v>
      </c>
      <c r="E413" t="str">
        <f>IF(OR(Table2[[#This Row],[Gender]]="Male",Table2[[#This Row],[Gender]]="M"),"M",
IF(OR(Table2[[#This Row],[Gender]]="Female",Table2[[#This Row],[Gender]]="F"),"F",""))</f>
        <v>M</v>
      </c>
      <c r="F413" t="s">
        <v>35</v>
      </c>
      <c r="G413" t="s">
        <v>42</v>
      </c>
      <c r="H413" t="s">
        <v>43</v>
      </c>
      <c r="I413" t="s">
        <v>1060</v>
      </c>
      <c r="J413" t="str">
        <f>IF(ISNUMBER(SEARCH("India",Table2[[#This Row],[Emp_Name]])),"INR",
IF(ISNUMBER(SEARCH("Foreign",Table2[[#This Row],[Emp_Name]])),Table2[[#This Row],[Currency]],Table2[[#This Row],[Currency]]))</f>
        <v>INR</v>
      </c>
      <c r="K413">
        <v>27000</v>
      </c>
      <c r="L413">
        <v>12</v>
      </c>
      <c r="M413">
        <f>IF(Table2[[#This Row],[Num_Month]]&lt;&gt;12,12,Table2[[#This Row],[Num_Month]])</f>
        <v>12</v>
      </c>
      <c r="N413">
        <f>IF(Table2[[#This Row],[Monthly_Salary]]="","",Table2[[#This Row],[Monthly_Salary]]*Table2[[#This Row],[Num_Month_Final]])</f>
        <v>324000</v>
      </c>
      <c r="O413">
        <v>2</v>
      </c>
      <c r="P413">
        <f>IF(Table2[[#This Row],[Exp_Years]]&lt;0,ABS(Table2[[#This Row],[Exp_Years]]),Table2[[#This Row],[Exp_Years]])</f>
        <v>2</v>
      </c>
      <c r="Q413">
        <v>4</v>
      </c>
      <c r="R413">
        <v>16000</v>
      </c>
      <c r="S413">
        <f>IF(Table2[[#This Row],[Performance_Rating]]&gt;=3,Table2[[#This Row],[Monthly_Salary]]*0.3,"")</f>
        <v>8100</v>
      </c>
      <c r="T413">
        <v>90</v>
      </c>
      <c r="U413">
        <v>10</v>
      </c>
      <c r="V413">
        <v>5</v>
      </c>
      <c r="X413" t="s">
        <v>38</v>
      </c>
      <c r="Y413" t="str">
        <f>IF(Table2[[#This Row],[Work_Mode]]&lt;&gt;"",Table2[[#This Row],[Work_Mode]],
IF(ISNUMBER(SEARCH("India",Table2[[#This Row],[Emp_Name]])),"Office",
IF(ISNUMBER(SEARCH("Foreign",Table2[[#This Row],[Emp_Name]])),"Remote","")))</f>
        <v>Hybrid</v>
      </c>
      <c r="Z413">
        <v>5</v>
      </c>
      <c r="AA41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413" t="s">
        <v>22</v>
      </c>
      <c r="AC413" t="str">
        <f>IF(COUNTIF(Table2[Emp_ID],Table2[[#This Row],[Emp_ID]])&gt;1,"Duplicate","Unique")</f>
        <v>Unique</v>
      </c>
      <c r="AE413" s="2"/>
      <c r="AG413" t="str">
        <f>IF(Table2[[#This Row],[Monthly_Salary]]="","Exclude",
IF(Table2[[#This Row],[Row_Status]]="Mismatch","Exclude",
IF(AND(Table2[[#This Row],[Row_Status]]="Exact Duplicate",
COUNTIFS(Table2[Emp_ID],Table2[[#This Row],[Emp_ID]],Table2[Row_Concat],Table2[[#This Row],[Row_Concat]],
Table2[Row_Number],"&lt;"&amp;Table2[[#This Row],[Row_Number]])&gt;=1),"Delete","")))</f>
        <v/>
      </c>
      <c r="AH413" t="str">
        <f>VLOOKUP(Table2[[#This Row],[Department]],Raw_2!A:B,2,0)</f>
        <v>Day</v>
      </c>
      <c r="AI413">
        <f>VLOOKUP(Table2[[#This Row],[Department]],Raw_2!A:C,3,0)</f>
        <v>14</v>
      </c>
    </row>
    <row r="414" spans="1:35">
      <c r="A414" t="s">
        <v>867</v>
      </c>
      <c r="B414" t="s">
        <v>868</v>
      </c>
      <c r="C414">
        <v>32</v>
      </c>
      <c r="D414" t="s">
        <v>46</v>
      </c>
      <c r="E414" t="str">
        <f>IF(OR(Table2[[#This Row],[Gender]]="Male",Table2[[#This Row],[Gender]]="M"),"M",
IF(OR(Table2[[#This Row],[Gender]]="Female",Table2[[#This Row],[Gender]]="F"),"F",""))</f>
        <v>M</v>
      </c>
      <c r="F414" t="s">
        <v>47</v>
      </c>
      <c r="G414" t="s">
        <v>18</v>
      </c>
      <c r="H414" t="s">
        <v>82</v>
      </c>
      <c r="I414" t="s">
        <v>1059</v>
      </c>
      <c r="J414" t="str">
        <f>IF(ISNUMBER(SEARCH("India",Table2[[#This Row],[Emp_Name]])),"INR",
IF(ISNUMBER(SEARCH("Foreign",Table2[[#This Row],[Emp_Name]])),Table2[[#This Row],[Currency]],Table2[[#This Row],[Currency]]))</f>
        <v>USD</v>
      </c>
      <c r="K414">
        <v>84000</v>
      </c>
      <c r="L414">
        <v>12</v>
      </c>
      <c r="M414">
        <f>IF(Table2[[#This Row],[Num_Month]]&lt;&gt;12,12,Table2[[#This Row],[Num_Month]])</f>
        <v>12</v>
      </c>
      <c r="N414">
        <f>IF(Table2[[#This Row],[Monthly_Salary]]="","",Table2[[#This Row],[Monthly_Salary]]*Table2[[#This Row],[Num_Month_Final]])</f>
        <v>1008000</v>
      </c>
      <c r="O414">
        <v>7</v>
      </c>
      <c r="P414">
        <f>IF(Table2[[#This Row],[Exp_Years]]&lt;0,ABS(Table2[[#This Row],[Exp_Years]]),Table2[[#This Row],[Exp_Years]])</f>
        <v>7</v>
      </c>
      <c r="Q414">
        <v>4</v>
      </c>
      <c r="R414">
        <v>26101</v>
      </c>
      <c r="S414">
        <f>IF(Table2[[#This Row],[Performance_Rating]]&gt;=3,Table2[[#This Row],[Monthly_Salary]]*0.3,"")</f>
        <v>25200</v>
      </c>
      <c r="T414">
        <v>88</v>
      </c>
      <c r="U414">
        <v>10</v>
      </c>
      <c r="V414">
        <v>5</v>
      </c>
      <c r="W414" t="s">
        <v>37</v>
      </c>
      <c r="X414" t="s">
        <v>28</v>
      </c>
      <c r="Y414" t="str">
        <f>IF(Table2[[#This Row],[Work_Mode]]&lt;&gt;"",Table2[[#This Row],[Work_Mode]],
IF(ISNUMBER(SEARCH("India",Table2[[#This Row],[Emp_Name]])),"Office",
IF(ISNUMBER(SEARCH("Foreign",Table2[[#This Row],[Emp_Name]])),"Remote","")))</f>
        <v>Remote</v>
      </c>
      <c r="Z414">
        <v>20</v>
      </c>
      <c r="AA41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7000</v>
      </c>
      <c r="AB414" t="s">
        <v>58</v>
      </c>
      <c r="AC414" t="str">
        <f>IF(COUNTIF(Table2[Emp_ID],Table2[[#This Row],[Emp_ID]])&gt;1,"Duplicate","Unique")</f>
        <v>Unique</v>
      </c>
      <c r="AE414" s="2"/>
      <c r="AG414" t="str">
        <f>IF(Table2[[#This Row],[Monthly_Salary]]="","Exclude",
IF(Table2[[#This Row],[Row_Status]]="Mismatch","Exclude",
IF(AND(Table2[[#This Row],[Row_Status]]="Exact Duplicate",
COUNTIFS(Table2[Emp_ID],Table2[[#This Row],[Emp_ID]],Table2[Row_Concat],Table2[[#This Row],[Row_Concat]],
Table2[Row_Number],"&lt;"&amp;Table2[[#This Row],[Row_Number]])&gt;=1),"Delete","")))</f>
        <v/>
      </c>
      <c r="AH414" t="str">
        <f>VLOOKUP(Table2[[#This Row],[Department]],Raw_2!A:B,2,0)</f>
        <v>Day</v>
      </c>
      <c r="AI414">
        <f>VLOOKUP(Table2[[#This Row],[Department]],Raw_2!A:C,3,0)</f>
        <v>10</v>
      </c>
    </row>
    <row r="415" spans="1:35">
      <c r="A415" t="s">
        <v>869</v>
      </c>
      <c r="B415" t="s">
        <v>870</v>
      </c>
      <c r="C415">
        <v>23</v>
      </c>
      <c r="D415" t="s">
        <v>16</v>
      </c>
      <c r="E415" t="str">
        <f>IF(OR(Table2[[#This Row],[Gender]]="Male",Table2[[#This Row],[Gender]]="M"),"M",
IF(OR(Table2[[#This Row],[Gender]]="Female",Table2[[#This Row],[Gender]]="F"),"F",""))</f>
        <v>M</v>
      </c>
      <c r="F415" t="s">
        <v>73</v>
      </c>
      <c r="G415" t="s">
        <v>27</v>
      </c>
      <c r="H415" t="s">
        <v>43</v>
      </c>
      <c r="I415" t="s">
        <v>1060</v>
      </c>
      <c r="J415" t="str">
        <f>IF(ISNUMBER(SEARCH("India",Table2[[#This Row],[Emp_Name]])),"INR",
IF(ISNUMBER(SEARCH("Foreign",Table2[[#This Row],[Emp_Name]])),Table2[[#This Row],[Currency]],Table2[[#This Row],[Currency]]))</f>
        <v>INR</v>
      </c>
      <c r="K415">
        <v>27000</v>
      </c>
      <c r="L415">
        <v>12</v>
      </c>
      <c r="M415">
        <f>IF(Table2[[#This Row],[Num_Month]]&lt;&gt;12,12,Table2[[#This Row],[Num_Month]])</f>
        <v>12</v>
      </c>
      <c r="N415">
        <f>IF(Table2[[#This Row],[Monthly_Salary]]="","",Table2[[#This Row],[Monthly_Salary]]*Table2[[#This Row],[Num_Month_Final]])</f>
        <v>324000</v>
      </c>
      <c r="O415">
        <v>2</v>
      </c>
      <c r="P415">
        <f>IF(Table2[[#This Row],[Exp_Years]]&lt;0,ABS(Table2[[#This Row],[Exp_Years]]),Table2[[#This Row],[Exp_Years]])</f>
        <v>2</v>
      </c>
      <c r="Q415">
        <v>2</v>
      </c>
      <c r="S415" t="str">
        <f>IF(Table2[[#This Row],[Performance_Rating]]&gt;=3,Table2[[#This Row],[Monthly_Salary]]*0.3,"")</f>
        <v/>
      </c>
      <c r="T415">
        <v>88</v>
      </c>
      <c r="U415">
        <v>15</v>
      </c>
      <c r="V415">
        <v>5</v>
      </c>
      <c r="X415" t="s">
        <v>38</v>
      </c>
      <c r="Y415" t="str">
        <f>IF(Table2[[#This Row],[Work_Mode]]&lt;&gt;"",Table2[[#This Row],[Work_Mode]],
IF(ISNUMBER(SEARCH("India",Table2[[#This Row],[Emp_Name]])),"Office",
IF(ISNUMBER(SEARCH("Foreign",Table2[[#This Row],[Emp_Name]])),"Remote","")))</f>
        <v>Hybrid</v>
      </c>
      <c r="Z415">
        <v>5</v>
      </c>
      <c r="AA41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415" t="s">
        <v>39</v>
      </c>
      <c r="AC415" t="str">
        <f>IF(COUNTIF(Table2[Emp_ID],Table2[[#This Row],[Emp_ID]])&gt;1,"Duplicate","Unique")</f>
        <v>Unique</v>
      </c>
      <c r="AE415" s="2"/>
      <c r="AG415" t="str">
        <f>IF(Table2[[#This Row],[Monthly_Salary]]="","Exclude",
IF(Table2[[#This Row],[Row_Status]]="Mismatch","Exclude",
IF(AND(Table2[[#This Row],[Row_Status]]="Exact Duplicate",
COUNTIFS(Table2[Emp_ID],Table2[[#This Row],[Emp_ID]],Table2[Row_Concat],Table2[[#This Row],[Row_Concat]],
Table2[Row_Number],"&lt;"&amp;Table2[[#This Row],[Row_Number]])&gt;=1),"Delete","")))</f>
        <v/>
      </c>
      <c r="AH415" t="str">
        <f>VLOOKUP(Table2[[#This Row],[Department]],Raw_2!A:B,2,0)</f>
        <v>Day</v>
      </c>
      <c r="AI415">
        <f>VLOOKUP(Table2[[#This Row],[Department]],Raw_2!A:C,3,0)</f>
        <v>12</v>
      </c>
    </row>
    <row r="416" spans="1:35">
      <c r="A416" t="s">
        <v>871</v>
      </c>
      <c r="B416" t="s">
        <v>872</v>
      </c>
      <c r="C416">
        <v>23</v>
      </c>
      <c r="D416" t="s">
        <v>46</v>
      </c>
      <c r="E416" t="str">
        <f>IF(OR(Table2[[#This Row],[Gender]]="Male",Table2[[#This Row],[Gender]]="M"),"M",
IF(OR(Table2[[#This Row],[Gender]]="Female",Table2[[#This Row],[Gender]]="F"),"F",""))</f>
        <v>M</v>
      </c>
      <c r="F416" t="s">
        <v>17</v>
      </c>
      <c r="G416" t="s">
        <v>27</v>
      </c>
      <c r="H416" t="s">
        <v>43</v>
      </c>
      <c r="I416" t="s">
        <v>1060</v>
      </c>
      <c r="J416" t="str">
        <f>IF(ISNUMBER(SEARCH("India",Table2[[#This Row],[Emp_Name]])),"INR",
IF(ISNUMBER(SEARCH("Foreign",Table2[[#This Row],[Emp_Name]])),Table2[[#This Row],[Currency]],Table2[[#This Row],[Currency]]))</f>
        <v>INR</v>
      </c>
      <c r="K416">
        <v>27000</v>
      </c>
      <c r="L416">
        <v>12</v>
      </c>
      <c r="M416">
        <f>IF(Table2[[#This Row],[Num_Month]]&lt;&gt;12,12,Table2[[#This Row],[Num_Month]])</f>
        <v>12</v>
      </c>
      <c r="N416">
        <f>IF(Table2[[#This Row],[Monthly_Salary]]="","",Table2[[#This Row],[Monthly_Salary]]*Table2[[#This Row],[Num_Month_Final]])</f>
        <v>324000</v>
      </c>
      <c r="O416">
        <v>2</v>
      </c>
      <c r="P416">
        <f>IF(Table2[[#This Row],[Exp_Years]]&lt;0,ABS(Table2[[#This Row],[Exp_Years]]),Table2[[#This Row],[Exp_Years]])</f>
        <v>2</v>
      </c>
      <c r="Q416">
        <v>2</v>
      </c>
      <c r="S416" t="str">
        <f>IF(Table2[[#This Row],[Performance_Rating]]&gt;=3,Table2[[#This Row],[Monthly_Salary]]*0.3,"")</f>
        <v/>
      </c>
      <c r="T416">
        <v>80</v>
      </c>
      <c r="U416">
        <v>10</v>
      </c>
      <c r="V416">
        <v>3</v>
      </c>
      <c r="W416" t="s">
        <v>21</v>
      </c>
      <c r="X416" t="s">
        <v>38</v>
      </c>
      <c r="Y416" t="str">
        <f>IF(Table2[[#This Row],[Work_Mode]]&lt;&gt;"",Table2[[#This Row],[Work_Mode]],
IF(ISNUMBER(SEARCH("India",Table2[[#This Row],[Emp_Name]])),"Office",
IF(ISNUMBER(SEARCH("Foreign",Table2[[#This Row],[Emp_Name]])),"Remote","")))</f>
        <v>Hybrid</v>
      </c>
      <c r="AA41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16" t="s">
        <v>39</v>
      </c>
      <c r="AC416" t="str">
        <f>IF(COUNTIF(Table2[Emp_ID],Table2[[#This Row],[Emp_ID]])&gt;1,"Duplicate","Unique")</f>
        <v>Unique</v>
      </c>
      <c r="AE416" s="2"/>
      <c r="AG416" t="str">
        <f>IF(Table2[[#This Row],[Monthly_Salary]]="","Exclude",
IF(Table2[[#This Row],[Row_Status]]="Mismatch","Exclude",
IF(AND(Table2[[#This Row],[Row_Status]]="Exact Duplicate",
COUNTIFS(Table2[Emp_ID],Table2[[#This Row],[Emp_ID]],Table2[Row_Concat],Table2[[#This Row],[Row_Concat]],
Table2[Row_Number],"&lt;"&amp;Table2[[#This Row],[Row_Number]])&gt;=1),"Delete","")))</f>
        <v/>
      </c>
      <c r="AH416" t="str">
        <f>VLOOKUP(Table2[[#This Row],[Department]],Raw_2!A:B,2,0)</f>
        <v>Day</v>
      </c>
      <c r="AI416">
        <f>VLOOKUP(Table2[[#This Row],[Department]],Raw_2!A:C,3,0)</f>
        <v>12</v>
      </c>
    </row>
    <row r="417" spans="1:35">
      <c r="A417" t="s">
        <v>873</v>
      </c>
      <c r="B417" t="s">
        <v>874</v>
      </c>
      <c r="C417">
        <v>25</v>
      </c>
      <c r="D417" t="s">
        <v>46</v>
      </c>
      <c r="E417" t="str">
        <f>IF(OR(Table2[[#This Row],[Gender]]="Male",Table2[[#This Row],[Gender]]="M"),"M",
IF(OR(Table2[[#This Row],[Gender]]="Female",Table2[[#This Row],[Gender]]="F"),"F",""))</f>
        <v>M</v>
      </c>
      <c r="F417" t="s">
        <v>50</v>
      </c>
      <c r="G417" t="s">
        <v>36</v>
      </c>
      <c r="H417" t="s">
        <v>43</v>
      </c>
      <c r="I417" t="s">
        <v>1060</v>
      </c>
      <c r="J417" t="str">
        <f>IF(ISNUMBER(SEARCH("India",Table2[[#This Row],[Emp_Name]])),"INR",
IF(ISNUMBER(SEARCH("Foreign",Table2[[#This Row],[Emp_Name]])),Table2[[#This Row],[Currency]],Table2[[#This Row],[Currency]]))</f>
        <v>INR</v>
      </c>
      <c r="K417">
        <v>24000</v>
      </c>
      <c r="L417">
        <v>12</v>
      </c>
      <c r="M417">
        <f>IF(Table2[[#This Row],[Num_Month]]&lt;&gt;12,12,Table2[[#This Row],[Num_Month]])</f>
        <v>12</v>
      </c>
      <c r="N417">
        <f>IF(Table2[[#This Row],[Monthly_Salary]]="","",Table2[[#This Row],[Monthly_Salary]]*Table2[[#This Row],[Num_Month_Final]])</f>
        <v>288000</v>
      </c>
      <c r="O417">
        <v>1</v>
      </c>
      <c r="P417">
        <f>IF(Table2[[#This Row],[Exp_Years]]&lt;0,ABS(Table2[[#This Row],[Exp_Years]]),Table2[[#This Row],[Exp_Years]])</f>
        <v>1</v>
      </c>
      <c r="Q417">
        <v>2</v>
      </c>
      <c r="S417" t="str">
        <f>IF(Table2[[#This Row],[Performance_Rating]]&gt;=3,Table2[[#This Row],[Monthly_Salary]]*0.3,"")</f>
        <v/>
      </c>
      <c r="T417">
        <v>80</v>
      </c>
      <c r="U417">
        <v>13</v>
      </c>
      <c r="V417">
        <v>1</v>
      </c>
      <c r="X417" t="s">
        <v>38</v>
      </c>
      <c r="Y417" t="str">
        <f>IF(Table2[[#This Row],[Work_Mode]]&lt;&gt;"",Table2[[#This Row],[Work_Mode]],
IF(ISNUMBER(SEARCH("India",Table2[[#This Row],[Emp_Name]])),"Office",
IF(ISNUMBER(SEARCH("Foreign",Table2[[#This Row],[Emp_Name]])),"Remote","")))</f>
        <v>Hybrid</v>
      </c>
      <c r="Z417">
        <v>10</v>
      </c>
      <c r="AA41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417" t="s">
        <v>39</v>
      </c>
      <c r="AC417" t="str">
        <f>IF(COUNTIF(Table2[Emp_ID],Table2[[#This Row],[Emp_ID]])&gt;1,"Duplicate","Unique")</f>
        <v>Unique</v>
      </c>
      <c r="AE417" s="2"/>
      <c r="AG417" t="str">
        <f>IF(Table2[[#This Row],[Monthly_Salary]]="","Exclude",
IF(Table2[[#This Row],[Row_Status]]="Mismatch","Exclude",
IF(AND(Table2[[#This Row],[Row_Status]]="Exact Duplicate",
COUNTIFS(Table2[Emp_ID],Table2[[#This Row],[Emp_ID]],Table2[Row_Concat],Table2[[#This Row],[Row_Concat]],
Table2[Row_Number],"&lt;"&amp;Table2[[#This Row],[Row_Number]])&gt;=1),"Delete","")))</f>
        <v/>
      </c>
      <c r="AH417" t="str">
        <f>VLOOKUP(Table2[[#This Row],[Department]],Raw_2!A:B,2,0)</f>
        <v>Day</v>
      </c>
      <c r="AI417">
        <f>VLOOKUP(Table2[[#This Row],[Department]],Raw_2!A:C,3,0)</f>
        <v>25</v>
      </c>
    </row>
    <row r="418" spans="1:35">
      <c r="A418" t="s">
        <v>875</v>
      </c>
      <c r="B418" t="s">
        <v>876</v>
      </c>
      <c r="C418">
        <v>23</v>
      </c>
      <c r="D418" t="s">
        <v>46</v>
      </c>
      <c r="E418" t="str">
        <f>IF(OR(Table2[[#This Row],[Gender]]="Male",Table2[[#This Row],[Gender]]="M"),"M",
IF(OR(Table2[[#This Row],[Gender]]="Female",Table2[[#This Row],[Gender]]="F"),"F",""))</f>
        <v>M</v>
      </c>
      <c r="F418" t="s">
        <v>50</v>
      </c>
      <c r="G418" t="s">
        <v>18</v>
      </c>
      <c r="H418" t="s">
        <v>43</v>
      </c>
      <c r="I418" t="s">
        <v>1060</v>
      </c>
      <c r="J418" t="str">
        <f>IF(ISNUMBER(SEARCH("India",Table2[[#This Row],[Emp_Name]])),"INR",
IF(ISNUMBER(SEARCH("Foreign",Table2[[#This Row],[Emp_Name]])),Table2[[#This Row],[Currency]],Table2[[#This Row],[Currency]]))</f>
        <v>INR</v>
      </c>
      <c r="K418">
        <v>22000</v>
      </c>
      <c r="L418">
        <v>12</v>
      </c>
      <c r="M418">
        <f>IF(Table2[[#This Row],[Num_Month]]&lt;&gt;12,12,Table2[[#This Row],[Num_Month]])</f>
        <v>12</v>
      </c>
      <c r="N418">
        <f>IF(Table2[[#This Row],[Monthly_Salary]]="","",Table2[[#This Row],[Monthly_Salary]]*Table2[[#This Row],[Num_Month_Final]])</f>
        <v>264000</v>
      </c>
      <c r="O418">
        <v>1</v>
      </c>
      <c r="P418">
        <f>IF(Table2[[#This Row],[Exp_Years]]&lt;0,ABS(Table2[[#This Row],[Exp_Years]]),Table2[[#This Row],[Exp_Years]])</f>
        <v>1</v>
      </c>
      <c r="Q418">
        <v>1</v>
      </c>
      <c r="S418" t="str">
        <f>IF(Table2[[#This Row],[Performance_Rating]]&gt;=3,Table2[[#This Row],[Monthly_Salary]]*0.3,"")</f>
        <v/>
      </c>
      <c r="T418">
        <v>80</v>
      </c>
      <c r="U418">
        <v>10</v>
      </c>
      <c r="V418">
        <v>5</v>
      </c>
      <c r="X418" t="s">
        <v>38</v>
      </c>
      <c r="Y418" t="str">
        <f>IF(Table2[[#This Row],[Work_Mode]]&lt;&gt;"",Table2[[#This Row],[Work_Mode]],
IF(ISNUMBER(SEARCH("India",Table2[[#This Row],[Emp_Name]])),"Office",
IF(ISNUMBER(SEARCH("Foreign",Table2[[#This Row],[Emp_Name]])),"Remote","")))</f>
        <v>Hybrid</v>
      </c>
      <c r="Z418">
        <v>10</v>
      </c>
      <c r="AA41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418" t="s">
        <v>39</v>
      </c>
      <c r="AC418" t="str">
        <f>IF(COUNTIF(Table2[Emp_ID],Table2[[#This Row],[Emp_ID]])&gt;1,"Duplicate","Unique")</f>
        <v>Unique</v>
      </c>
      <c r="AE418" s="2"/>
      <c r="AG418" t="str">
        <f>IF(Table2[[#This Row],[Monthly_Salary]]="","Exclude",
IF(Table2[[#This Row],[Row_Status]]="Mismatch","Exclude",
IF(AND(Table2[[#This Row],[Row_Status]]="Exact Duplicate",
COUNTIFS(Table2[Emp_ID],Table2[[#This Row],[Emp_ID]],Table2[Row_Concat],Table2[[#This Row],[Row_Concat]],
Table2[Row_Number],"&lt;"&amp;Table2[[#This Row],[Row_Number]])&gt;=1),"Delete","")))</f>
        <v/>
      </c>
      <c r="AH418" t="str">
        <f>VLOOKUP(Table2[[#This Row],[Department]],Raw_2!A:B,2,0)</f>
        <v>Day</v>
      </c>
      <c r="AI418">
        <f>VLOOKUP(Table2[[#This Row],[Department]],Raw_2!A:C,3,0)</f>
        <v>10</v>
      </c>
    </row>
    <row r="419" spans="1:35">
      <c r="A419" t="s">
        <v>877</v>
      </c>
      <c r="B419" t="s">
        <v>878</v>
      </c>
      <c r="C419">
        <v>23</v>
      </c>
      <c r="D419" t="s">
        <v>46</v>
      </c>
      <c r="E419" t="str">
        <f>IF(OR(Table2[[#This Row],[Gender]]="Male",Table2[[#This Row],[Gender]]="M"),"M",
IF(OR(Table2[[#This Row],[Gender]]="Female",Table2[[#This Row],[Gender]]="F"),"F",""))</f>
        <v>M</v>
      </c>
      <c r="F419" t="s">
        <v>17</v>
      </c>
      <c r="G419" t="s">
        <v>18</v>
      </c>
      <c r="H419" t="s">
        <v>43</v>
      </c>
      <c r="I419" t="s">
        <v>1060</v>
      </c>
      <c r="J419" t="str">
        <f>IF(ISNUMBER(SEARCH("India",Table2[[#This Row],[Emp_Name]])),"INR",
IF(ISNUMBER(SEARCH("Foreign",Table2[[#This Row],[Emp_Name]])),Table2[[#This Row],[Currency]],Table2[[#This Row],[Currency]]))</f>
        <v>INR</v>
      </c>
      <c r="K419">
        <v>27000</v>
      </c>
      <c r="L419">
        <v>12</v>
      </c>
      <c r="M419">
        <f>IF(Table2[[#This Row],[Num_Month]]&lt;&gt;12,12,Table2[[#This Row],[Num_Month]])</f>
        <v>12</v>
      </c>
      <c r="N419">
        <f>IF(Table2[[#This Row],[Monthly_Salary]]="","",Table2[[#This Row],[Monthly_Salary]]*Table2[[#This Row],[Num_Month_Final]])</f>
        <v>324000</v>
      </c>
      <c r="O419">
        <v>2</v>
      </c>
      <c r="P419">
        <f>IF(Table2[[#This Row],[Exp_Years]]&lt;0,ABS(Table2[[#This Row],[Exp_Years]]),Table2[[#This Row],[Exp_Years]])</f>
        <v>2</v>
      </c>
      <c r="Q419">
        <v>1</v>
      </c>
      <c r="S419" t="str">
        <f>IF(Table2[[#This Row],[Performance_Rating]]&gt;=3,Table2[[#This Row],[Monthly_Salary]]*0.3,"")</f>
        <v/>
      </c>
      <c r="T419">
        <v>85</v>
      </c>
      <c r="U419">
        <v>13</v>
      </c>
      <c r="V419">
        <v>3</v>
      </c>
      <c r="X419" t="s">
        <v>38</v>
      </c>
      <c r="Y419" t="str">
        <f>IF(Table2[[#This Row],[Work_Mode]]&lt;&gt;"",Table2[[#This Row],[Work_Mode]],
IF(ISNUMBER(SEARCH("India",Table2[[#This Row],[Emp_Name]])),"Office",
IF(ISNUMBER(SEARCH("Foreign",Table2[[#This Row],[Emp_Name]])),"Remote","")))</f>
        <v>Hybrid</v>
      </c>
      <c r="AA41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19" t="s">
        <v>39</v>
      </c>
      <c r="AC419" t="str">
        <f>IF(COUNTIF(Table2[Emp_ID],Table2[[#This Row],[Emp_ID]])&gt;1,"Duplicate","Unique")</f>
        <v>Unique</v>
      </c>
      <c r="AE419" s="2"/>
      <c r="AG419" t="str">
        <f>IF(Table2[[#This Row],[Monthly_Salary]]="","Exclude",
IF(Table2[[#This Row],[Row_Status]]="Mismatch","Exclude",
IF(AND(Table2[[#This Row],[Row_Status]]="Exact Duplicate",
COUNTIFS(Table2[Emp_ID],Table2[[#This Row],[Emp_ID]],Table2[Row_Concat],Table2[[#This Row],[Row_Concat]],
Table2[Row_Number],"&lt;"&amp;Table2[[#This Row],[Row_Number]])&gt;=1),"Delete","")))</f>
        <v/>
      </c>
      <c r="AH419" t="str">
        <f>VLOOKUP(Table2[[#This Row],[Department]],Raw_2!A:B,2,0)</f>
        <v>Day</v>
      </c>
      <c r="AI419">
        <f>VLOOKUP(Table2[[#This Row],[Department]],Raw_2!A:C,3,0)</f>
        <v>10</v>
      </c>
    </row>
    <row r="420" spans="1:35">
      <c r="A420" t="s">
        <v>879</v>
      </c>
      <c r="B420" t="s">
        <v>880</v>
      </c>
      <c r="C420">
        <v>27</v>
      </c>
      <c r="D420" t="s">
        <v>16</v>
      </c>
      <c r="E420" t="str">
        <f>IF(OR(Table2[[#This Row],[Gender]]="Male",Table2[[#This Row],[Gender]]="M"),"M",
IF(OR(Table2[[#This Row],[Gender]]="Female",Table2[[#This Row],[Gender]]="F"),"F",""))</f>
        <v>M</v>
      </c>
      <c r="F420" t="s">
        <v>57</v>
      </c>
      <c r="G420" t="s">
        <v>36</v>
      </c>
      <c r="H420" t="s">
        <v>1048</v>
      </c>
      <c r="I420" t="s">
        <v>1060</v>
      </c>
      <c r="J420" t="str">
        <f>IF(ISNUMBER(SEARCH("India",Table2[[#This Row],[Emp_Name]])),"INR",
IF(ISNUMBER(SEARCH("Foreign",Table2[[#This Row],[Emp_Name]])),Table2[[#This Row],[Currency]],Table2[[#This Row],[Currency]]))</f>
        <v>INR</v>
      </c>
      <c r="K420">
        <v>65000</v>
      </c>
      <c r="L420">
        <v>12</v>
      </c>
      <c r="M420">
        <f>IF(Table2[[#This Row],[Num_Month]]&lt;&gt;12,12,Table2[[#This Row],[Num_Month]])</f>
        <v>12</v>
      </c>
      <c r="N420">
        <f>IF(Table2[[#This Row],[Monthly_Salary]]="","",Table2[[#This Row],[Monthly_Salary]]*Table2[[#This Row],[Num_Month_Final]])</f>
        <v>780000</v>
      </c>
      <c r="O420">
        <v>5</v>
      </c>
      <c r="P420">
        <f>IF(Table2[[#This Row],[Exp_Years]]&lt;0,ABS(Table2[[#This Row],[Exp_Years]]),Table2[[#This Row],[Exp_Years]])</f>
        <v>5</v>
      </c>
      <c r="Q420">
        <v>3</v>
      </c>
      <c r="R420">
        <v>19000</v>
      </c>
      <c r="S420">
        <f>IF(Table2[[#This Row],[Performance_Rating]]&gt;=3,Table2[[#This Row],[Monthly_Salary]]*0.3,"")</f>
        <v>19500</v>
      </c>
      <c r="T420">
        <v>85</v>
      </c>
      <c r="U420">
        <v>13</v>
      </c>
      <c r="V420">
        <v>5</v>
      </c>
      <c r="W420" t="s">
        <v>37</v>
      </c>
      <c r="X420" t="s">
        <v>28</v>
      </c>
      <c r="Y420" t="str">
        <f>IF(Table2[[#This Row],[Work_Mode]]&lt;&gt;"",Table2[[#This Row],[Work_Mode]],
IF(ISNUMBER(SEARCH("India",Table2[[#This Row],[Emp_Name]])),"Office",
IF(ISNUMBER(SEARCH("Foreign",Table2[[#This Row],[Emp_Name]])),"Remote","")))</f>
        <v>Remote</v>
      </c>
      <c r="Z420">
        <v>10</v>
      </c>
      <c r="AA42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420" t="s">
        <v>22</v>
      </c>
      <c r="AC420" t="str">
        <f>IF(COUNTIF(Table2[Emp_ID],Table2[[#This Row],[Emp_ID]])&gt;1,"Duplicate","Unique")</f>
        <v>Unique</v>
      </c>
      <c r="AE420" s="2"/>
      <c r="AG420" t="str">
        <f>IF(Table2[[#This Row],[Monthly_Salary]]="","Exclude",
IF(Table2[[#This Row],[Row_Status]]="Mismatch","Exclude",
IF(AND(Table2[[#This Row],[Row_Status]]="Exact Duplicate",
COUNTIFS(Table2[Emp_ID],Table2[[#This Row],[Emp_ID]],Table2[Row_Concat],Table2[[#This Row],[Row_Concat]],
Table2[Row_Number],"&lt;"&amp;Table2[[#This Row],[Row_Number]])&gt;=1),"Delete","")))</f>
        <v/>
      </c>
      <c r="AH420" t="str">
        <f>VLOOKUP(Table2[[#This Row],[Department]],Raw_2!A:B,2,0)</f>
        <v>Day</v>
      </c>
      <c r="AI420">
        <f>VLOOKUP(Table2[[#This Row],[Department]],Raw_2!A:C,3,0)</f>
        <v>25</v>
      </c>
    </row>
    <row r="421" spans="1:35">
      <c r="A421" t="s">
        <v>881</v>
      </c>
      <c r="B421" t="s">
        <v>882</v>
      </c>
      <c r="C421">
        <v>23</v>
      </c>
      <c r="D421" t="s">
        <v>25</v>
      </c>
      <c r="E421" t="str">
        <f>IF(OR(Table2[[#This Row],[Gender]]="Male",Table2[[#This Row],[Gender]]="M"),"M",
IF(OR(Table2[[#This Row],[Gender]]="Female",Table2[[#This Row],[Gender]]="F"),"F",""))</f>
        <v>F</v>
      </c>
      <c r="F421" t="s">
        <v>26</v>
      </c>
      <c r="G421" t="s">
        <v>18</v>
      </c>
      <c r="H421" t="s">
        <v>43</v>
      </c>
      <c r="I421" t="s">
        <v>1060</v>
      </c>
      <c r="J421" t="str">
        <f>IF(ISNUMBER(SEARCH("India",Table2[[#This Row],[Emp_Name]])),"INR",
IF(ISNUMBER(SEARCH("Foreign",Table2[[#This Row],[Emp_Name]])),Table2[[#This Row],[Currency]],Table2[[#This Row],[Currency]]))</f>
        <v>INR</v>
      </c>
      <c r="K421">
        <v>27000</v>
      </c>
      <c r="L421">
        <v>12</v>
      </c>
      <c r="M421">
        <f>IF(Table2[[#This Row],[Num_Month]]&lt;&gt;12,12,Table2[[#This Row],[Num_Month]])</f>
        <v>12</v>
      </c>
      <c r="N421">
        <f>IF(Table2[[#This Row],[Monthly_Salary]]="","",Table2[[#This Row],[Monthly_Salary]]*Table2[[#This Row],[Num_Month_Final]])</f>
        <v>324000</v>
      </c>
      <c r="O421">
        <v>2</v>
      </c>
      <c r="P421">
        <f>IF(Table2[[#This Row],[Exp_Years]]&lt;0,ABS(Table2[[#This Row],[Exp_Years]]),Table2[[#This Row],[Exp_Years]])</f>
        <v>2</v>
      </c>
      <c r="Q421">
        <v>5</v>
      </c>
      <c r="R421">
        <v>20000</v>
      </c>
      <c r="S421">
        <f>IF(Table2[[#This Row],[Performance_Rating]]&gt;=3,Table2[[#This Row],[Monthly_Salary]]*0.3,"")</f>
        <v>8100</v>
      </c>
      <c r="T421">
        <v>80</v>
      </c>
      <c r="U421">
        <v>13</v>
      </c>
      <c r="V421">
        <v>1</v>
      </c>
      <c r="X421" t="s">
        <v>38</v>
      </c>
      <c r="Y421" t="str">
        <f>IF(Table2[[#This Row],[Work_Mode]]&lt;&gt;"",Table2[[#This Row],[Work_Mode]],
IF(ISNUMBER(SEARCH("India",Table2[[#This Row],[Emp_Name]])),"Office",
IF(ISNUMBER(SEARCH("Foreign",Table2[[#This Row],[Emp_Name]])),"Remote","")))</f>
        <v>Hybrid</v>
      </c>
      <c r="AA42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21" t="s">
        <v>58</v>
      </c>
      <c r="AC421" t="str">
        <f>IF(COUNTIF(Table2[Emp_ID],Table2[[#This Row],[Emp_ID]])&gt;1,"Duplicate","Unique")</f>
        <v>Unique</v>
      </c>
      <c r="AE421" s="2"/>
      <c r="AG421" t="str">
        <f>IF(Table2[[#This Row],[Monthly_Salary]]="","Exclude",
IF(Table2[[#This Row],[Row_Status]]="Mismatch","Exclude",
IF(AND(Table2[[#This Row],[Row_Status]]="Exact Duplicate",
COUNTIFS(Table2[Emp_ID],Table2[[#This Row],[Emp_ID]],Table2[Row_Concat],Table2[[#This Row],[Row_Concat]],
Table2[Row_Number],"&lt;"&amp;Table2[[#This Row],[Row_Number]])&gt;=1),"Delete","")))</f>
        <v/>
      </c>
      <c r="AH421" t="str">
        <f>VLOOKUP(Table2[[#This Row],[Department]],Raw_2!A:B,2,0)</f>
        <v>Day</v>
      </c>
      <c r="AI421">
        <f>VLOOKUP(Table2[[#This Row],[Department]],Raw_2!A:C,3,0)</f>
        <v>10</v>
      </c>
    </row>
    <row r="422" spans="1:35">
      <c r="A422" t="s">
        <v>883</v>
      </c>
      <c r="B422" t="s">
        <v>884</v>
      </c>
      <c r="C422">
        <v>25</v>
      </c>
      <c r="D422" t="s">
        <v>46</v>
      </c>
      <c r="E422" t="str">
        <f>IF(OR(Table2[[#This Row],[Gender]]="Male",Table2[[#This Row],[Gender]]="M"),"M",
IF(OR(Table2[[#This Row],[Gender]]="Female",Table2[[#This Row],[Gender]]="F"),"F",""))</f>
        <v>M</v>
      </c>
      <c r="F422" t="s">
        <v>64</v>
      </c>
      <c r="G422" t="s">
        <v>42</v>
      </c>
      <c r="H422" t="s">
        <v>43</v>
      </c>
      <c r="I422" t="s">
        <v>1060</v>
      </c>
      <c r="J422" t="str">
        <f>IF(ISNUMBER(SEARCH("India",Table2[[#This Row],[Emp_Name]])),"INR",
IF(ISNUMBER(SEARCH("Foreign",Table2[[#This Row],[Emp_Name]])),Table2[[#This Row],[Currency]],Table2[[#This Row],[Currency]]))</f>
        <v>INR</v>
      </c>
      <c r="K422">
        <v>27000</v>
      </c>
      <c r="L422">
        <v>12</v>
      </c>
      <c r="M422">
        <f>IF(Table2[[#This Row],[Num_Month]]&lt;&gt;12,12,Table2[[#This Row],[Num_Month]])</f>
        <v>12</v>
      </c>
      <c r="N422">
        <f>IF(Table2[[#This Row],[Monthly_Salary]]="","",Table2[[#This Row],[Monthly_Salary]]*Table2[[#This Row],[Num_Month_Final]])</f>
        <v>324000</v>
      </c>
      <c r="O422">
        <v>2</v>
      </c>
      <c r="P422">
        <f>IF(Table2[[#This Row],[Exp_Years]]&lt;0,ABS(Table2[[#This Row],[Exp_Years]]),Table2[[#This Row],[Exp_Years]])</f>
        <v>2</v>
      </c>
      <c r="Q422">
        <v>1</v>
      </c>
      <c r="S422" t="str">
        <f>IF(Table2[[#This Row],[Performance_Rating]]&gt;=3,Table2[[#This Row],[Monthly_Salary]]*0.3,"")</f>
        <v/>
      </c>
      <c r="T422">
        <v>80</v>
      </c>
      <c r="U422">
        <v>5</v>
      </c>
      <c r="V422">
        <v>3</v>
      </c>
      <c r="W422" t="s">
        <v>37</v>
      </c>
      <c r="X422" t="s">
        <v>38</v>
      </c>
      <c r="Y422" t="str">
        <f>IF(Table2[[#This Row],[Work_Mode]]&lt;&gt;"",Table2[[#This Row],[Work_Mode]],
IF(ISNUMBER(SEARCH("India",Table2[[#This Row],[Emp_Name]])),"Office",
IF(ISNUMBER(SEARCH("Foreign",Table2[[#This Row],[Emp_Name]])),"Remote","")))</f>
        <v>Hybrid</v>
      </c>
      <c r="Z422">
        <v>5</v>
      </c>
      <c r="AA42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422" t="s">
        <v>39</v>
      </c>
      <c r="AC422" t="str">
        <f>IF(COUNTIF(Table2[Emp_ID],Table2[[#This Row],[Emp_ID]])&gt;1,"Duplicate","Unique")</f>
        <v>Unique</v>
      </c>
      <c r="AE422" s="2"/>
      <c r="AG422" t="str">
        <f>IF(Table2[[#This Row],[Monthly_Salary]]="","Exclude",
IF(Table2[[#This Row],[Row_Status]]="Mismatch","Exclude",
IF(AND(Table2[[#This Row],[Row_Status]]="Exact Duplicate",
COUNTIFS(Table2[Emp_ID],Table2[[#This Row],[Emp_ID]],Table2[Row_Concat],Table2[[#This Row],[Row_Concat]],
Table2[Row_Number],"&lt;"&amp;Table2[[#This Row],[Row_Number]])&gt;=1),"Delete","")))</f>
        <v/>
      </c>
      <c r="AH422" t="str">
        <f>VLOOKUP(Table2[[#This Row],[Department]],Raw_2!A:B,2,0)</f>
        <v>Day</v>
      </c>
      <c r="AI422">
        <f>VLOOKUP(Table2[[#This Row],[Department]],Raw_2!A:C,3,0)</f>
        <v>14</v>
      </c>
    </row>
    <row r="423" spans="1:35">
      <c r="A423" t="s">
        <v>885</v>
      </c>
      <c r="B423" t="s">
        <v>886</v>
      </c>
      <c r="C423">
        <v>24</v>
      </c>
      <c r="E423" t="str">
        <f>IF(OR(Table2[[#This Row],[Gender]]="Male",Table2[[#This Row],[Gender]]="M"),"M",
IF(OR(Table2[[#This Row],[Gender]]="Female",Table2[[#This Row],[Gender]]="F"),"F",""))</f>
        <v/>
      </c>
      <c r="F423" t="s">
        <v>17</v>
      </c>
      <c r="G423" t="s">
        <v>36</v>
      </c>
      <c r="H423" t="s">
        <v>43</v>
      </c>
      <c r="I423" t="s">
        <v>1060</v>
      </c>
      <c r="J423" t="str">
        <f>IF(ISNUMBER(SEARCH("India",Table2[[#This Row],[Emp_Name]])),"INR",
IF(ISNUMBER(SEARCH("Foreign",Table2[[#This Row],[Emp_Name]])),Table2[[#This Row],[Currency]],Table2[[#This Row],[Currency]]))</f>
        <v>INR</v>
      </c>
      <c r="K423">
        <v>27000</v>
      </c>
      <c r="L423">
        <v>12</v>
      </c>
      <c r="M423">
        <f>IF(Table2[[#This Row],[Num_Month]]&lt;&gt;12,12,Table2[[#This Row],[Num_Month]])</f>
        <v>12</v>
      </c>
      <c r="N423">
        <f>IF(Table2[[#This Row],[Monthly_Salary]]="","",Table2[[#This Row],[Monthly_Salary]]*Table2[[#This Row],[Num_Month_Final]])</f>
        <v>324000</v>
      </c>
      <c r="O423">
        <v>2</v>
      </c>
      <c r="P423">
        <f>IF(Table2[[#This Row],[Exp_Years]]&lt;0,ABS(Table2[[#This Row],[Exp_Years]]),Table2[[#This Row],[Exp_Years]])</f>
        <v>2</v>
      </c>
      <c r="Q423">
        <v>4</v>
      </c>
      <c r="R423">
        <v>16000</v>
      </c>
      <c r="S423">
        <f>IF(Table2[[#This Row],[Performance_Rating]]&gt;=3,Table2[[#This Row],[Monthly_Salary]]*0.3,"")</f>
        <v>8100</v>
      </c>
      <c r="T423">
        <v>88</v>
      </c>
      <c r="U423">
        <v>13</v>
      </c>
      <c r="V423">
        <v>3</v>
      </c>
      <c r="W423" t="s">
        <v>37</v>
      </c>
      <c r="X423" t="s">
        <v>38</v>
      </c>
      <c r="Y423" t="str">
        <f>IF(Table2[[#This Row],[Work_Mode]]&lt;&gt;"",Table2[[#This Row],[Work_Mode]],
IF(ISNUMBER(SEARCH("India",Table2[[#This Row],[Emp_Name]])),"Office",
IF(ISNUMBER(SEARCH("Foreign",Table2[[#This Row],[Emp_Name]])),"Remote","")))</f>
        <v>Hybrid</v>
      </c>
      <c r="Z423">
        <v>5</v>
      </c>
      <c r="AA42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423" t="s">
        <v>22</v>
      </c>
      <c r="AC423" t="str">
        <f>IF(COUNTIF(Table2[Emp_ID],Table2[[#This Row],[Emp_ID]])&gt;1,"Duplicate","Unique")</f>
        <v>Unique</v>
      </c>
      <c r="AE423" s="2"/>
      <c r="AG423" t="str">
        <f>IF(Table2[[#This Row],[Monthly_Salary]]="","Exclude",
IF(Table2[[#This Row],[Row_Status]]="Mismatch","Exclude",
IF(AND(Table2[[#This Row],[Row_Status]]="Exact Duplicate",
COUNTIFS(Table2[Emp_ID],Table2[[#This Row],[Emp_ID]],Table2[Row_Concat],Table2[[#This Row],[Row_Concat]],
Table2[Row_Number],"&lt;"&amp;Table2[[#This Row],[Row_Number]])&gt;=1),"Delete","")))</f>
        <v/>
      </c>
      <c r="AH423" t="str">
        <f>VLOOKUP(Table2[[#This Row],[Department]],Raw_2!A:B,2,0)</f>
        <v>Day</v>
      </c>
      <c r="AI423">
        <f>VLOOKUP(Table2[[#This Row],[Department]],Raw_2!A:C,3,0)</f>
        <v>25</v>
      </c>
    </row>
    <row r="424" spans="1:35">
      <c r="A424" t="s">
        <v>887</v>
      </c>
      <c r="B424" t="s">
        <v>888</v>
      </c>
      <c r="C424">
        <v>24</v>
      </c>
      <c r="D424" t="s">
        <v>25</v>
      </c>
      <c r="E424" t="str">
        <f>IF(OR(Table2[[#This Row],[Gender]]="Male",Table2[[#This Row],[Gender]]="M"),"M",
IF(OR(Table2[[#This Row],[Gender]]="Female",Table2[[#This Row],[Gender]]="F"),"F",""))</f>
        <v>F</v>
      </c>
      <c r="F424" t="s">
        <v>61</v>
      </c>
      <c r="G424" t="s">
        <v>66</v>
      </c>
      <c r="H424" t="s">
        <v>1048</v>
      </c>
      <c r="I424" t="s">
        <v>1060</v>
      </c>
      <c r="J424" t="str">
        <f>IF(ISNUMBER(SEARCH("India",Table2[[#This Row],[Emp_Name]])),"INR",
IF(ISNUMBER(SEARCH("Foreign",Table2[[#This Row],[Emp_Name]])),Table2[[#This Row],[Currency]],Table2[[#This Row],[Currency]]))</f>
        <v>INR</v>
      </c>
      <c r="K424">
        <v>70000</v>
      </c>
      <c r="L424">
        <v>12</v>
      </c>
      <c r="M424">
        <f>IF(Table2[[#This Row],[Num_Month]]&lt;&gt;12,12,Table2[[#This Row],[Num_Month]])</f>
        <v>12</v>
      </c>
      <c r="N424">
        <f>IF(Table2[[#This Row],[Monthly_Salary]]="","",Table2[[#This Row],[Monthly_Salary]]*Table2[[#This Row],[Num_Month_Final]])</f>
        <v>840000</v>
      </c>
      <c r="O424">
        <v>5</v>
      </c>
      <c r="P424">
        <f>IF(Table2[[#This Row],[Exp_Years]]&lt;0,ABS(Table2[[#This Row],[Exp_Years]]),Table2[[#This Row],[Exp_Years]])</f>
        <v>5</v>
      </c>
      <c r="Q424">
        <v>4</v>
      </c>
      <c r="R424">
        <v>24000</v>
      </c>
      <c r="S424">
        <f>IF(Table2[[#This Row],[Performance_Rating]]&gt;=3,Table2[[#This Row],[Monthly_Salary]]*0.3,"")</f>
        <v>21000</v>
      </c>
      <c r="T424">
        <v>90</v>
      </c>
      <c r="U424">
        <v>13</v>
      </c>
      <c r="V424">
        <v>3</v>
      </c>
      <c r="W424" t="s">
        <v>21</v>
      </c>
      <c r="X424" t="s">
        <v>38</v>
      </c>
      <c r="Y424" t="str">
        <f>IF(Table2[[#This Row],[Work_Mode]]&lt;&gt;"",Table2[[#This Row],[Work_Mode]],
IF(ISNUMBER(SEARCH("India",Table2[[#This Row],[Emp_Name]])),"Office",
IF(ISNUMBER(SEARCH("Foreign",Table2[[#This Row],[Emp_Name]])),"Remote","")))</f>
        <v>Hybrid</v>
      </c>
      <c r="Z424">
        <v>5</v>
      </c>
      <c r="AA42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424" t="s">
        <v>58</v>
      </c>
      <c r="AC424" t="str">
        <f>IF(COUNTIF(Table2[Emp_ID],Table2[[#This Row],[Emp_ID]])&gt;1,"Duplicate","Unique")</f>
        <v>Unique</v>
      </c>
      <c r="AE424" s="2"/>
      <c r="AG424" t="str">
        <f>IF(Table2[[#This Row],[Monthly_Salary]]="","Exclude",
IF(Table2[[#This Row],[Row_Status]]="Mismatch","Exclude",
IF(AND(Table2[[#This Row],[Row_Status]]="Exact Duplicate",
COUNTIFS(Table2[Emp_ID],Table2[[#This Row],[Emp_ID]],Table2[Row_Concat],Table2[[#This Row],[Row_Concat]],
Table2[Row_Number],"&lt;"&amp;Table2[[#This Row],[Row_Number]])&gt;=1),"Delete","")))</f>
        <v/>
      </c>
      <c r="AH424" t="str">
        <f>VLOOKUP(Table2[[#This Row],[Department]],Raw_2!A:B,2,0)</f>
        <v>Night</v>
      </c>
      <c r="AI424">
        <f>VLOOKUP(Table2[[#This Row],[Department]],Raw_2!A:C,3,0)</f>
        <v>20</v>
      </c>
    </row>
    <row r="425" spans="1:35">
      <c r="A425" t="s">
        <v>889</v>
      </c>
      <c r="B425" t="s">
        <v>890</v>
      </c>
      <c r="C425">
        <v>23</v>
      </c>
      <c r="D425" t="s">
        <v>46</v>
      </c>
      <c r="E425" t="str">
        <f>IF(OR(Table2[[#This Row],[Gender]]="Male",Table2[[#This Row],[Gender]]="M"),"M",
IF(OR(Table2[[#This Row],[Gender]]="Female",Table2[[#This Row],[Gender]]="F"),"F",""))</f>
        <v>M</v>
      </c>
      <c r="F425" t="s">
        <v>35</v>
      </c>
      <c r="G425" t="s">
        <v>18</v>
      </c>
      <c r="H425" t="s">
        <v>43</v>
      </c>
      <c r="I425" t="s">
        <v>1060</v>
      </c>
      <c r="J425" t="str">
        <f>IF(ISNUMBER(SEARCH("India",Table2[[#This Row],[Emp_Name]])),"INR",
IF(ISNUMBER(SEARCH("Foreign",Table2[[#This Row],[Emp_Name]])),Table2[[#This Row],[Currency]],Table2[[#This Row],[Currency]]))</f>
        <v>INR</v>
      </c>
      <c r="K425">
        <v>23000</v>
      </c>
      <c r="L425">
        <v>12</v>
      </c>
      <c r="M425">
        <f>IF(Table2[[#This Row],[Num_Month]]&lt;&gt;12,12,Table2[[#This Row],[Num_Month]])</f>
        <v>12</v>
      </c>
      <c r="N425">
        <f>IF(Table2[[#This Row],[Monthly_Salary]]="","",Table2[[#This Row],[Monthly_Salary]]*Table2[[#This Row],[Num_Month_Final]])</f>
        <v>276000</v>
      </c>
      <c r="O425">
        <v>1</v>
      </c>
      <c r="P425">
        <f>IF(Table2[[#This Row],[Exp_Years]]&lt;0,ABS(Table2[[#This Row],[Exp_Years]]),Table2[[#This Row],[Exp_Years]])</f>
        <v>1</v>
      </c>
      <c r="Q425">
        <v>4</v>
      </c>
      <c r="R425">
        <v>16000</v>
      </c>
      <c r="S425">
        <f>IF(Table2[[#This Row],[Performance_Rating]]&gt;=3,Table2[[#This Row],[Monthly_Salary]]*0.3,"")</f>
        <v>6900</v>
      </c>
      <c r="T425">
        <v>85</v>
      </c>
      <c r="U425">
        <v>15</v>
      </c>
      <c r="V425">
        <v>3</v>
      </c>
      <c r="W425" t="s">
        <v>21</v>
      </c>
      <c r="X425" t="s">
        <v>38</v>
      </c>
      <c r="Y425" t="str">
        <f>IF(Table2[[#This Row],[Work_Mode]]&lt;&gt;"",Table2[[#This Row],[Work_Mode]],
IF(ISNUMBER(SEARCH("India",Table2[[#This Row],[Emp_Name]])),"Office",
IF(ISNUMBER(SEARCH("Foreign",Table2[[#This Row],[Emp_Name]])),"Remote","")))</f>
        <v>Hybrid</v>
      </c>
      <c r="AA42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25" t="s">
        <v>22</v>
      </c>
      <c r="AC425" t="str">
        <f>IF(COUNTIF(Table2[Emp_ID],Table2[[#This Row],[Emp_ID]])&gt;1,"Duplicate","Unique")</f>
        <v>Unique</v>
      </c>
      <c r="AE425" s="2"/>
      <c r="AG425" t="str">
        <f>IF(Table2[[#This Row],[Monthly_Salary]]="","Exclude",
IF(Table2[[#This Row],[Row_Status]]="Mismatch","Exclude",
IF(AND(Table2[[#This Row],[Row_Status]]="Exact Duplicate",
COUNTIFS(Table2[Emp_ID],Table2[[#This Row],[Emp_ID]],Table2[Row_Concat],Table2[[#This Row],[Row_Concat]],
Table2[Row_Number],"&lt;"&amp;Table2[[#This Row],[Row_Number]])&gt;=1),"Delete","")))</f>
        <v/>
      </c>
      <c r="AH425" t="str">
        <f>VLOOKUP(Table2[[#This Row],[Department]],Raw_2!A:B,2,0)</f>
        <v>Day</v>
      </c>
      <c r="AI425">
        <f>VLOOKUP(Table2[[#This Row],[Department]],Raw_2!A:C,3,0)</f>
        <v>10</v>
      </c>
    </row>
    <row r="426" spans="1:35">
      <c r="A426" t="s">
        <v>891</v>
      </c>
      <c r="B426" t="s">
        <v>892</v>
      </c>
      <c r="C426">
        <v>27</v>
      </c>
      <c r="D426" t="s">
        <v>25</v>
      </c>
      <c r="E426" t="str">
        <f>IF(OR(Table2[[#This Row],[Gender]]="Male",Table2[[#This Row],[Gender]]="M"),"M",
IF(OR(Table2[[#This Row],[Gender]]="Female",Table2[[#This Row],[Gender]]="F"),"F",""))</f>
        <v>F</v>
      </c>
      <c r="F426" t="s">
        <v>26</v>
      </c>
      <c r="G426" t="s">
        <v>42</v>
      </c>
      <c r="H426" t="s">
        <v>1045</v>
      </c>
      <c r="I426" t="s">
        <v>1059</v>
      </c>
      <c r="J426" t="str">
        <f>IF(ISNUMBER(SEARCH("India",Table2[[#This Row],[Emp_Name]])),"INR",
IF(ISNUMBER(SEARCH("Foreign",Table2[[#This Row],[Emp_Name]])),Table2[[#This Row],[Currency]],Table2[[#This Row],[Currency]]))</f>
        <v>USD</v>
      </c>
      <c r="K426">
        <v>71000</v>
      </c>
      <c r="L426">
        <v>12</v>
      </c>
      <c r="M426">
        <f>IF(Table2[[#This Row],[Num_Month]]&lt;&gt;12,12,Table2[[#This Row],[Num_Month]])</f>
        <v>12</v>
      </c>
      <c r="N426">
        <f>IF(Table2[[#This Row],[Monthly_Salary]]="","",Table2[[#This Row],[Monthly_Salary]]*Table2[[#This Row],[Num_Month_Final]])</f>
        <v>852000</v>
      </c>
      <c r="O426">
        <v>6</v>
      </c>
      <c r="P426">
        <f>IF(Table2[[#This Row],[Exp_Years]]&lt;0,ABS(Table2[[#This Row],[Exp_Years]]),Table2[[#This Row],[Exp_Years]])</f>
        <v>6</v>
      </c>
      <c r="Q426">
        <v>4</v>
      </c>
      <c r="R426">
        <v>10871</v>
      </c>
      <c r="S426">
        <f>IF(Table2[[#This Row],[Performance_Rating]]&gt;=3,Table2[[#This Row],[Monthly_Salary]]*0.3,"")</f>
        <v>21300</v>
      </c>
      <c r="T426">
        <v>95</v>
      </c>
      <c r="U426">
        <v>15</v>
      </c>
      <c r="V426">
        <v>1</v>
      </c>
      <c r="X426" t="s">
        <v>28</v>
      </c>
      <c r="Y426" t="str">
        <f>IF(Table2[[#This Row],[Work_Mode]]&lt;&gt;"",Table2[[#This Row],[Work_Mode]],
IF(ISNUMBER(SEARCH("India",Table2[[#This Row],[Emp_Name]])),"Office",
IF(ISNUMBER(SEARCH("Foreign",Table2[[#This Row],[Emp_Name]])),"Remote","")))</f>
        <v>Remote</v>
      </c>
      <c r="Z426">
        <v>10</v>
      </c>
      <c r="AA42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426" t="s">
        <v>22</v>
      </c>
      <c r="AC426" t="str">
        <f>IF(COUNTIF(Table2[Emp_ID],Table2[[#This Row],[Emp_ID]])&gt;1,"Duplicate","Unique")</f>
        <v>Unique</v>
      </c>
      <c r="AE426" s="2"/>
      <c r="AG426" t="str">
        <f>IF(Table2[[#This Row],[Monthly_Salary]]="","Exclude",
IF(Table2[[#This Row],[Row_Status]]="Mismatch","Exclude",
IF(AND(Table2[[#This Row],[Row_Status]]="Exact Duplicate",
COUNTIFS(Table2[Emp_ID],Table2[[#This Row],[Emp_ID]],Table2[Row_Concat],Table2[[#This Row],[Row_Concat]],
Table2[Row_Number],"&lt;"&amp;Table2[[#This Row],[Row_Number]])&gt;=1),"Delete","")))</f>
        <v/>
      </c>
      <c r="AH426" t="str">
        <f>VLOOKUP(Table2[[#This Row],[Department]],Raw_2!A:B,2,0)</f>
        <v>Day</v>
      </c>
      <c r="AI426">
        <f>VLOOKUP(Table2[[#This Row],[Department]],Raw_2!A:C,3,0)</f>
        <v>14</v>
      </c>
    </row>
    <row r="427" spans="1:35">
      <c r="A427" t="s">
        <v>893</v>
      </c>
      <c r="B427" t="s">
        <v>894</v>
      </c>
      <c r="C427">
        <v>24</v>
      </c>
      <c r="D427" t="s">
        <v>46</v>
      </c>
      <c r="E427" t="str">
        <f>IF(OR(Table2[[#This Row],[Gender]]="Male",Table2[[#This Row],[Gender]]="M"),"M",
IF(OR(Table2[[#This Row],[Gender]]="Female",Table2[[#This Row],[Gender]]="F"),"F",""))</f>
        <v>M</v>
      </c>
      <c r="F427" t="s">
        <v>50</v>
      </c>
      <c r="G427" t="s">
        <v>36</v>
      </c>
      <c r="H427" t="s">
        <v>43</v>
      </c>
      <c r="I427" t="s">
        <v>1059</v>
      </c>
      <c r="J427" t="str">
        <f>IF(ISNUMBER(SEARCH("India",Table2[[#This Row],[Emp_Name]])),"INR",
IF(ISNUMBER(SEARCH("Foreign",Table2[[#This Row],[Emp_Name]])),Table2[[#This Row],[Currency]],Table2[[#This Row],[Currency]]))</f>
        <v>USD</v>
      </c>
      <c r="K427">
        <v>27000</v>
      </c>
      <c r="L427">
        <v>12</v>
      </c>
      <c r="M427">
        <f>IF(Table2[[#This Row],[Num_Month]]&lt;&gt;12,12,Table2[[#This Row],[Num_Month]])</f>
        <v>12</v>
      </c>
      <c r="N427">
        <f>IF(Table2[[#This Row],[Monthly_Salary]]="","",Table2[[#This Row],[Monthly_Salary]]*Table2[[#This Row],[Num_Month_Final]])</f>
        <v>324000</v>
      </c>
      <c r="O427">
        <v>2</v>
      </c>
      <c r="P427">
        <f>IF(Table2[[#This Row],[Exp_Years]]&lt;0,ABS(Table2[[#This Row],[Exp_Years]]),Table2[[#This Row],[Exp_Years]])</f>
        <v>2</v>
      </c>
      <c r="Q427">
        <v>3</v>
      </c>
      <c r="R427">
        <v>13400</v>
      </c>
      <c r="S427">
        <f>IF(Table2[[#This Row],[Performance_Rating]]&gt;=3,Table2[[#This Row],[Monthly_Salary]]*0.3,"")</f>
        <v>8100</v>
      </c>
      <c r="T427">
        <v>88</v>
      </c>
      <c r="U427">
        <v>15</v>
      </c>
      <c r="V427">
        <v>7</v>
      </c>
      <c r="W427" t="s">
        <v>21</v>
      </c>
      <c r="X427" t="s">
        <v>28</v>
      </c>
      <c r="Y427" t="str">
        <f>IF(Table2[[#This Row],[Work_Mode]]&lt;&gt;"",Table2[[#This Row],[Work_Mode]],
IF(ISNUMBER(SEARCH("India",Table2[[#This Row],[Emp_Name]])),"Office",
IF(ISNUMBER(SEARCH("Foreign",Table2[[#This Row],[Emp_Name]])),"Remote","")))</f>
        <v>Remote</v>
      </c>
      <c r="AA42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27" t="s">
        <v>22</v>
      </c>
      <c r="AC427" t="str">
        <f>IF(COUNTIF(Table2[Emp_ID],Table2[[#This Row],[Emp_ID]])&gt;1,"Duplicate","Unique")</f>
        <v>Unique</v>
      </c>
      <c r="AE427" s="2"/>
      <c r="AG427" t="str">
        <f>IF(Table2[[#This Row],[Monthly_Salary]]="","Exclude",
IF(Table2[[#This Row],[Row_Status]]="Mismatch","Exclude",
IF(AND(Table2[[#This Row],[Row_Status]]="Exact Duplicate",
COUNTIFS(Table2[Emp_ID],Table2[[#This Row],[Emp_ID]],Table2[Row_Concat],Table2[[#This Row],[Row_Concat]],
Table2[Row_Number],"&lt;"&amp;Table2[[#This Row],[Row_Number]])&gt;=1),"Delete","")))</f>
        <v/>
      </c>
      <c r="AH427" t="str">
        <f>VLOOKUP(Table2[[#This Row],[Department]],Raw_2!A:B,2,0)</f>
        <v>Day</v>
      </c>
      <c r="AI427">
        <f>VLOOKUP(Table2[[#This Row],[Department]],Raw_2!A:C,3,0)</f>
        <v>25</v>
      </c>
    </row>
    <row r="428" spans="1:35">
      <c r="A428" t="s">
        <v>895</v>
      </c>
      <c r="B428" t="s">
        <v>896</v>
      </c>
      <c r="C428">
        <v>23</v>
      </c>
      <c r="D428" t="s">
        <v>34</v>
      </c>
      <c r="E428" t="str">
        <f>IF(OR(Table2[[#This Row],[Gender]]="Male",Table2[[#This Row],[Gender]]="M"),"M",
IF(OR(Table2[[#This Row],[Gender]]="Female",Table2[[#This Row],[Gender]]="F"),"F",""))</f>
        <v>F</v>
      </c>
      <c r="F428" t="s">
        <v>35</v>
      </c>
      <c r="G428" t="s">
        <v>36</v>
      </c>
      <c r="H428" t="s">
        <v>43</v>
      </c>
      <c r="I428" t="s">
        <v>1060</v>
      </c>
      <c r="J428" t="str">
        <f>IF(ISNUMBER(SEARCH("India",Table2[[#This Row],[Emp_Name]])),"INR",
IF(ISNUMBER(SEARCH("Foreign",Table2[[#This Row],[Emp_Name]])),Table2[[#This Row],[Currency]],Table2[[#This Row],[Currency]]))</f>
        <v>INR</v>
      </c>
      <c r="K428">
        <v>26000</v>
      </c>
      <c r="L428">
        <v>12</v>
      </c>
      <c r="M428">
        <f>IF(Table2[[#This Row],[Num_Month]]&lt;&gt;12,12,Table2[[#This Row],[Num_Month]])</f>
        <v>12</v>
      </c>
      <c r="N428">
        <f>IF(Table2[[#This Row],[Monthly_Salary]]="","",Table2[[#This Row],[Monthly_Salary]]*Table2[[#This Row],[Num_Month_Final]])</f>
        <v>312000</v>
      </c>
      <c r="O428">
        <v>2</v>
      </c>
      <c r="P428">
        <f>IF(Table2[[#This Row],[Exp_Years]]&lt;0,ABS(Table2[[#This Row],[Exp_Years]]),Table2[[#This Row],[Exp_Years]])</f>
        <v>2</v>
      </c>
      <c r="Q428">
        <v>1</v>
      </c>
      <c r="S428" t="str">
        <f>IF(Table2[[#This Row],[Performance_Rating]]&gt;=3,Table2[[#This Row],[Monthly_Salary]]*0.3,"")</f>
        <v/>
      </c>
      <c r="T428">
        <v>80</v>
      </c>
      <c r="U428">
        <v>15</v>
      </c>
      <c r="V428">
        <v>5</v>
      </c>
      <c r="W428" t="s">
        <v>37</v>
      </c>
      <c r="X428" t="s">
        <v>38</v>
      </c>
      <c r="Y428" t="str">
        <f>IF(Table2[[#This Row],[Work_Mode]]&lt;&gt;"",Table2[[#This Row],[Work_Mode]],
IF(ISNUMBER(SEARCH("India",Table2[[#This Row],[Emp_Name]])),"Office",
IF(ISNUMBER(SEARCH("Foreign",Table2[[#This Row],[Emp_Name]])),"Remote","")))</f>
        <v>Hybrid</v>
      </c>
      <c r="Z428">
        <v>5</v>
      </c>
      <c r="AA42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428" t="s">
        <v>39</v>
      </c>
      <c r="AC428" t="str">
        <f>IF(COUNTIF(Table2[Emp_ID],Table2[[#This Row],[Emp_ID]])&gt;1,"Duplicate","Unique")</f>
        <v>Unique</v>
      </c>
      <c r="AE428" s="2"/>
      <c r="AG428" t="str">
        <f>IF(Table2[[#This Row],[Monthly_Salary]]="","Exclude",
IF(Table2[[#This Row],[Row_Status]]="Mismatch","Exclude",
IF(AND(Table2[[#This Row],[Row_Status]]="Exact Duplicate",
COUNTIFS(Table2[Emp_ID],Table2[[#This Row],[Emp_ID]],Table2[Row_Concat],Table2[[#This Row],[Row_Concat]],
Table2[Row_Number],"&lt;"&amp;Table2[[#This Row],[Row_Number]])&gt;=1),"Delete","")))</f>
        <v/>
      </c>
      <c r="AH428" t="str">
        <f>VLOOKUP(Table2[[#This Row],[Department]],Raw_2!A:B,2,0)</f>
        <v>Day</v>
      </c>
      <c r="AI428">
        <f>VLOOKUP(Table2[[#This Row],[Department]],Raw_2!A:C,3,0)</f>
        <v>25</v>
      </c>
    </row>
    <row r="429" spans="1:35">
      <c r="A429" t="s">
        <v>897</v>
      </c>
      <c r="B429" t="s">
        <v>898</v>
      </c>
      <c r="C429">
        <v>25</v>
      </c>
      <c r="D429" t="s">
        <v>34</v>
      </c>
      <c r="E429" t="str">
        <f>IF(OR(Table2[[#This Row],[Gender]]="Male",Table2[[#This Row],[Gender]]="M"),"M",
IF(OR(Table2[[#This Row],[Gender]]="Female",Table2[[#This Row],[Gender]]="F"),"F",""))</f>
        <v>F</v>
      </c>
      <c r="F429" t="s">
        <v>57</v>
      </c>
      <c r="G429" t="s">
        <v>31</v>
      </c>
      <c r="H429" t="s">
        <v>43</v>
      </c>
      <c r="I429" t="s">
        <v>1060</v>
      </c>
      <c r="J429" t="str">
        <f>IF(ISNUMBER(SEARCH("India",Table2[[#This Row],[Emp_Name]])),"INR",
IF(ISNUMBER(SEARCH("Foreign",Table2[[#This Row],[Emp_Name]])),Table2[[#This Row],[Currency]],Table2[[#This Row],[Currency]]))</f>
        <v>INR</v>
      </c>
      <c r="K429">
        <v>26000</v>
      </c>
      <c r="L429">
        <v>12</v>
      </c>
      <c r="M429">
        <f>IF(Table2[[#This Row],[Num_Month]]&lt;&gt;12,12,Table2[[#This Row],[Num_Month]])</f>
        <v>12</v>
      </c>
      <c r="N429">
        <f>IF(Table2[[#This Row],[Monthly_Salary]]="","",Table2[[#This Row],[Monthly_Salary]]*Table2[[#This Row],[Num_Month_Final]])</f>
        <v>312000</v>
      </c>
      <c r="O429">
        <v>2</v>
      </c>
      <c r="P429">
        <f>IF(Table2[[#This Row],[Exp_Years]]&lt;0,ABS(Table2[[#This Row],[Exp_Years]]),Table2[[#This Row],[Exp_Years]])</f>
        <v>2</v>
      </c>
      <c r="Q429">
        <v>1</v>
      </c>
      <c r="S429" t="str">
        <f>IF(Table2[[#This Row],[Performance_Rating]]&gt;=3,Table2[[#This Row],[Monthly_Salary]]*0.3,"")</f>
        <v/>
      </c>
      <c r="T429">
        <v>95</v>
      </c>
      <c r="U429">
        <v>13</v>
      </c>
      <c r="V429">
        <v>3</v>
      </c>
      <c r="X429" t="s">
        <v>38</v>
      </c>
      <c r="Y429" t="str">
        <f>IF(Table2[[#This Row],[Work_Mode]]&lt;&gt;"",Table2[[#This Row],[Work_Mode]],
IF(ISNUMBER(SEARCH("India",Table2[[#This Row],[Emp_Name]])),"Office",
IF(ISNUMBER(SEARCH("Foreign",Table2[[#This Row],[Emp_Name]])),"Remote","")))</f>
        <v>Hybrid</v>
      </c>
      <c r="Z429">
        <v>5</v>
      </c>
      <c r="AA42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429" t="s">
        <v>39</v>
      </c>
      <c r="AC429" t="str">
        <f>IF(COUNTIF(Table2[Emp_ID],Table2[[#This Row],[Emp_ID]])&gt;1,"Duplicate","Unique")</f>
        <v>Unique</v>
      </c>
      <c r="AE429" s="2"/>
      <c r="AG429" t="str">
        <f>IF(Table2[[#This Row],[Monthly_Salary]]="","Exclude",
IF(Table2[[#This Row],[Row_Status]]="Mismatch","Exclude",
IF(AND(Table2[[#This Row],[Row_Status]]="Exact Duplicate",
COUNTIFS(Table2[Emp_ID],Table2[[#This Row],[Emp_ID]],Table2[Row_Concat],Table2[[#This Row],[Row_Concat]],
Table2[Row_Number],"&lt;"&amp;Table2[[#This Row],[Row_Number]])&gt;=1),"Delete","")))</f>
        <v/>
      </c>
      <c r="AH429" t="str">
        <f>VLOOKUP(Table2[[#This Row],[Department]],Raw_2!A:B,2,0)</f>
        <v>Night</v>
      </c>
      <c r="AI429">
        <f>VLOOKUP(Table2[[#This Row],[Department]],Raw_2!A:C,3,0)</f>
        <v>13</v>
      </c>
    </row>
    <row r="430" spans="1:35">
      <c r="A430" t="s">
        <v>899</v>
      </c>
      <c r="B430" t="s">
        <v>900</v>
      </c>
      <c r="C430">
        <v>31</v>
      </c>
      <c r="E430" t="str">
        <f>IF(OR(Table2[[#This Row],[Gender]]="Male",Table2[[#This Row],[Gender]]="M"),"M",
IF(OR(Table2[[#This Row],[Gender]]="Female",Table2[[#This Row],[Gender]]="F"),"F",""))</f>
        <v/>
      </c>
      <c r="F430" t="s">
        <v>73</v>
      </c>
      <c r="G430" t="s">
        <v>66</v>
      </c>
      <c r="H430" t="s">
        <v>82</v>
      </c>
      <c r="I430" t="s">
        <v>1060</v>
      </c>
      <c r="J430" t="str">
        <f>IF(ISNUMBER(SEARCH("India",Table2[[#This Row],[Emp_Name]])),"INR",
IF(ISNUMBER(SEARCH("Foreign",Table2[[#This Row],[Emp_Name]])),Table2[[#This Row],[Currency]],Table2[[#This Row],[Currency]]))</f>
        <v>INR</v>
      </c>
      <c r="K430">
        <v>84000</v>
      </c>
      <c r="L430">
        <v>12</v>
      </c>
      <c r="M430">
        <f>IF(Table2[[#This Row],[Num_Month]]&lt;&gt;12,12,Table2[[#This Row],[Num_Month]])</f>
        <v>12</v>
      </c>
      <c r="N430">
        <f>IF(Table2[[#This Row],[Monthly_Salary]]="","",Table2[[#This Row],[Monthly_Salary]]*Table2[[#This Row],[Num_Month_Final]])</f>
        <v>1008000</v>
      </c>
      <c r="O430">
        <v>9</v>
      </c>
      <c r="P430">
        <f>IF(Table2[[#This Row],[Exp_Years]]&lt;0,ABS(Table2[[#This Row],[Exp_Years]]),Table2[[#This Row],[Exp_Years]])</f>
        <v>9</v>
      </c>
      <c r="Q430">
        <v>4</v>
      </c>
      <c r="R430">
        <v>27972</v>
      </c>
      <c r="S430">
        <f>IF(Table2[[#This Row],[Performance_Rating]]&gt;=3,Table2[[#This Row],[Monthly_Salary]]*0.3,"")</f>
        <v>25200</v>
      </c>
      <c r="T430">
        <v>80</v>
      </c>
      <c r="U430">
        <v>15</v>
      </c>
      <c r="V430">
        <v>2</v>
      </c>
      <c r="W430" t="s">
        <v>37</v>
      </c>
      <c r="X430" t="s">
        <v>38</v>
      </c>
      <c r="Y430" t="str">
        <f>IF(Table2[[#This Row],[Work_Mode]]&lt;&gt;"",Table2[[#This Row],[Work_Mode]],
IF(ISNUMBER(SEARCH("India",Table2[[#This Row],[Emp_Name]])),"Office",
IF(ISNUMBER(SEARCH("Foreign",Table2[[#This Row],[Emp_Name]])),"Remote","")))</f>
        <v>Hybrid</v>
      </c>
      <c r="Z430">
        <v>10</v>
      </c>
      <c r="AA43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3500</v>
      </c>
      <c r="AB430" t="s">
        <v>22</v>
      </c>
      <c r="AC430" t="str">
        <f>IF(COUNTIF(Table2[Emp_ID],Table2[[#This Row],[Emp_ID]])&gt;1,"Duplicate","Unique")</f>
        <v>Unique</v>
      </c>
      <c r="AE430" s="2"/>
      <c r="AG430" t="str">
        <f>IF(Table2[[#This Row],[Monthly_Salary]]="","Exclude",
IF(Table2[[#This Row],[Row_Status]]="Mismatch","Exclude",
IF(AND(Table2[[#This Row],[Row_Status]]="Exact Duplicate",
COUNTIFS(Table2[Emp_ID],Table2[[#This Row],[Emp_ID]],Table2[Row_Concat],Table2[[#This Row],[Row_Concat]],
Table2[Row_Number],"&lt;"&amp;Table2[[#This Row],[Row_Number]])&gt;=1),"Delete","")))</f>
        <v/>
      </c>
      <c r="AH430" t="str">
        <f>VLOOKUP(Table2[[#This Row],[Department]],Raw_2!A:B,2,0)</f>
        <v>Night</v>
      </c>
      <c r="AI430">
        <f>VLOOKUP(Table2[[#This Row],[Department]],Raw_2!A:C,3,0)</f>
        <v>20</v>
      </c>
    </row>
    <row r="431" spans="1:35">
      <c r="A431" t="s">
        <v>901</v>
      </c>
      <c r="B431" t="s">
        <v>902</v>
      </c>
      <c r="C431">
        <v>25</v>
      </c>
      <c r="D431" t="s">
        <v>16</v>
      </c>
      <c r="E431" t="str">
        <f>IF(OR(Table2[[#This Row],[Gender]]="Male",Table2[[#This Row],[Gender]]="M"),"M",
IF(OR(Table2[[#This Row],[Gender]]="Female",Table2[[#This Row],[Gender]]="F"),"F",""))</f>
        <v>M</v>
      </c>
      <c r="F431" t="s">
        <v>17</v>
      </c>
      <c r="G431" t="s">
        <v>42</v>
      </c>
      <c r="H431" t="s">
        <v>43</v>
      </c>
      <c r="I431" t="s">
        <v>1060</v>
      </c>
      <c r="J431" t="str">
        <f>IF(ISNUMBER(SEARCH("India",Table2[[#This Row],[Emp_Name]])),"INR",
IF(ISNUMBER(SEARCH("Foreign",Table2[[#This Row],[Emp_Name]])),Table2[[#This Row],[Currency]],Table2[[#This Row],[Currency]]))</f>
        <v>INR</v>
      </c>
      <c r="K431">
        <v>27500</v>
      </c>
      <c r="L431">
        <v>12</v>
      </c>
      <c r="M431">
        <f>IF(Table2[[#This Row],[Num_Month]]&lt;&gt;12,12,Table2[[#This Row],[Num_Month]])</f>
        <v>12</v>
      </c>
      <c r="N431">
        <f>IF(Table2[[#This Row],[Monthly_Salary]]="","",Table2[[#This Row],[Monthly_Salary]]*Table2[[#This Row],[Num_Month_Final]])</f>
        <v>330000</v>
      </c>
      <c r="O431">
        <v>2</v>
      </c>
      <c r="P431">
        <f>IF(Table2[[#This Row],[Exp_Years]]&lt;0,ABS(Table2[[#This Row],[Exp_Years]]),Table2[[#This Row],[Exp_Years]])</f>
        <v>2</v>
      </c>
      <c r="Q431">
        <v>2</v>
      </c>
      <c r="S431" t="str">
        <f>IF(Table2[[#This Row],[Performance_Rating]]&gt;=3,Table2[[#This Row],[Monthly_Salary]]*0.3,"")</f>
        <v/>
      </c>
      <c r="T431">
        <v>90</v>
      </c>
      <c r="U431">
        <v>15</v>
      </c>
      <c r="V431">
        <v>2</v>
      </c>
      <c r="W431" t="s">
        <v>37</v>
      </c>
      <c r="X431" t="s">
        <v>38</v>
      </c>
      <c r="Y431" t="str">
        <f>IF(Table2[[#This Row],[Work_Mode]]&lt;&gt;"",Table2[[#This Row],[Work_Mode]],
IF(ISNUMBER(SEARCH("India",Table2[[#This Row],[Emp_Name]])),"Office",
IF(ISNUMBER(SEARCH("Foreign",Table2[[#This Row],[Emp_Name]])),"Remote","")))</f>
        <v>Hybrid</v>
      </c>
      <c r="Z431">
        <v>20</v>
      </c>
      <c r="AA43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431" t="s">
        <v>39</v>
      </c>
      <c r="AC431" t="str">
        <f>IF(COUNTIF(Table2[Emp_ID],Table2[[#This Row],[Emp_ID]])&gt;1,"Duplicate","Unique")</f>
        <v>Unique</v>
      </c>
      <c r="AE431" s="2"/>
      <c r="AG431" t="str">
        <f>IF(Table2[[#This Row],[Monthly_Salary]]="","Exclude",
IF(Table2[[#This Row],[Row_Status]]="Mismatch","Exclude",
IF(AND(Table2[[#This Row],[Row_Status]]="Exact Duplicate",
COUNTIFS(Table2[Emp_ID],Table2[[#This Row],[Emp_ID]],Table2[Row_Concat],Table2[[#This Row],[Row_Concat]],
Table2[Row_Number],"&lt;"&amp;Table2[[#This Row],[Row_Number]])&gt;=1),"Delete","")))</f>
        <v/>
      </c>
      <c r="AH431" t="str">
        <f>VLOOKUP(Table2[[#This Row],[Department]],Raw_2!A:B,2,0)</f>
        <v>Day</v>
      </c>
      <c r="AI431">
        <f>VLOOKUP(Table2[[#This Row],[Department]],Raw_2!A:C,3,0)</f>
        <v>14</v>
      </c>
    </row>
    <row r="432" spans="1:35">
      <c r="A432" t="s">
        <v>903</v>
      </c>
      <c r="B432" t="s">
        <v>904</v>
      </c>
      <c r="C432">
        <v>24</v>
      </c>
      <c r="D432" t="s">
        <v>34</v>
      </c>
      <c r="E432" t="str">
        <f>IF(OR(Table2[[#This Row],[Gender]]="Male",Table2[[#This Row],[Gender]]="M"),"M",
IF(OR(Table2[[#This Row],[Gender]]="Female",Table2[[#This Row],[Gender]]="F"),"F",""))</f>
        <v>F</v>
      </c>
      <c r="F432" t="s">
        <v>50</v>
      </c>
      <c r="G432" t="s">
        <v>31</v>
      </c>
      <c r="H432" t="s">
        <v>43</v>
      </c>
      <c r="I432" t="s">
        <v>1060</v>
      </c>
      <c r="J432" t="str">
        <f>IF(ISNUMBER(SEARCH("India",Table2[[#This Row],[Emp_Name]])),"INR",
IF(ISNUMBER(SEARCH("Foreign",Table2[[#This Row],[Emp_Name]])),Table2[[#This Row],[Currency]],Table2[[#This Row],[Currency]]))</f>
        <v>INR</v>
      </c>
      <c r="K432">
        <v>24000</v>
      </c>
      <c r="L432">
        <v>12</v>
      </c>
      <c r="M432">
        <f>IF(Table2[[#This Row],[Num_Month]]&lt;&gt;12,12,Table2[[#This Row],[Num_Month]])</f>
        <v>12</v>
      </c>
      <c r="N432">
        <f>IF(Table2[[#This Row],[Monthly_Salary]]="","",Table2[[#This Row],[Monthly_Salary]]*Table2[[#This Row],[Num_Month_Final]])</f>
        <v>288000</v>
      </c>
      <c r="O432">
        <v>1</v>
      </c>
      <c r="P432">
        <f>IF(Table2[[#This Row],[Exp_Years]]&lt;0,ABS(Table2[[#This Row],[Exp_Years]]),Table2[[#This Row],[Exp_Years]])</f>
        <v>1</v>
      </c>
      <c r="Q432">
        <v>1</v>
      </c>
      <c r="S432" t="str">
        <f>IF(Table2[[#This Row],[Performance_Rating]]&gt;=3,Table2[[#This Row],[Monthly_Salary]]*0.3,"")</f>
        <v/>
      </c>
      <c r="T432">
        <v>90</v>
      </c>
      <c r="U432">
        <v>5</v>
      </c>
      <c r="V432">
        <v>3</v>
      </c>
      <c r="W432" t="s">
        <v>37</v>
      </c>
      <c r="X432" t="s">
        <v>19</v>
      </c>
      <c r="Y432" t="str">
        <f>IF(Table2[[#This Row],[Work_Mode]]&lt;&gt;"",Table2[[#This Row],[Work_Mode]],
IF(ISNUMBER(SEARCH("India",Table2[[#This Row],[Emp_Name]])),"Office",
IF(ISNUMBER(SEARCH("Foreign",Table2[[#This Row],[Emp_Name]])),"Remote","")))</f>
        <v>Office</v>
      </c>
      <c r="Z432">
        <v>20</v>
      </c>
      <c r="AA43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432" t="s">
        <v>39</v>
      </c>
      <c r="AC432" t="str">
        <f>IF(COUNTIF(Table2[Emp_ID],Table2[[#This Row],[Emp_ID]])&gt;1,"Duplicate","Unique")</f>
        <v>Unique</v>
      </c>
      <c r="AE432" s="2"/>
      <c r="AG432" t="str">
        <f>IF(Table2[[#This Row],[Monthly_Salary]]="","Exclude",
IF(Table2[[#This Row],[Row_Status]]="Mismatch","Exclude",
IF(AND(Table2[[#This Row],[Row_Status]]="Exact Duplicate",
COUNTIFS(Table2[Emp_ID],Table2[[#This Row],[Emp_ID]],Table2[Row_Concat],Table2[[#This Row],[Row_Concat]],
Table2[Row_Number],"&lt;"&amp;Table2[[#This Row],[Row_Number]])&gt;=1),"Delete","")))</f>
        <v/>
      </c>
      <c r="AH432" t="str">
        <f>VLOOKUP(Table2[[#This Row],[Department]],Raw_2!A:B,2,0)</f>
        <v>Night</v>
      </c>
      <c r="AI432">
        <f>VLOOKUP(Table2[[#This Row],[Department]],Raw_2!A:C,3,0)</f>
        <v>13</v>
      </c>
    </row>
    <row r="433" spans="1:35">
      <c r="A433" t="s">
        <v>905</v>
      </c>
      <c r="B433" t="s">
        <v>906</v>
      </c>
      <c r="C433">
        <v>27</v>
      </c>
      <c r="D433" t="s">
        <v>25</v>
      </c>
      <c r="E433" t="str">
        <f>IF(OR(Table2[[#This Row],[Gender]]="Male",Table2[[#This Row],[Gender]]="M"),"M",
IF(OR(Table2[[#This Row],[Gender]]="Female",Table2[[#This Row],[Gender]]="F"),"F",""))</f>
        <v>F</v>
      </c>
      <c r="F433" t="s">
        <v>47</v>
      </c>
      <c r="G433" t="s">
        <v>66</v>
      </c>
      <c r="H433" t="s">
        <v>1048</v>
      </c>
      <c r="I433" t="s">
        <v>1060</v>
      </c>
      <c r="J433" t="str">
        <f>IF(ISNUMBER(SEARCH("India",Table2[[#This Row],[Emp_Name]])),"INR",
IF(ISNUMBER(SEARCH("Foreign",Table2[[#This Row],[Emp_Name]])),Table2[[#This Row],[Currency]],Table2[[#This Row],[Currency]]))</f>
        <v>INR</v>
      </c>
      <c r="K433">
        <v>56000</v>
      </c>
      <c r="L433">
        <v>12</v>
      </c>
      <c r="M433">
        <f>IF(Table2[[#This Row],[Num_Month]]&lt;&gt;12,12,Table2[[#This Row],[Num_Month]])</f>
        <v>12</v>
      </c>
      <c r="N433">
        <f>IF(Table2[[#This Row],[Monthly_Salary]]="","",Table2[[#This Row],[Monthly_Salary]]*Table2[[#This Row],[Num_Month_Final]])</f>
        <v>672000</v>
      </c>
      <c r="O433">
        <v>3</v>
      </c>
      <c r="P433">
        <f>IF(Table2[[#This Row],[Exp_Years]]&lt;0,ABS(Table2[[#This Row],[Exp_Years]]),Table2[[#This Row],[Exp_Years]])</f>
        <v>3</v>
      </c>
      <c r="Q433">
        <v>3</v>
      </c>
      <c r="R433">
        <v>19000</v>
      </c>
      <c r="S433">
        <f>IF(Table2[[#This Row],[Performance_Rating]]&gt;=3,Table2[[#This Row],[Monthly_Salary]]*0.3,"")</f>
        <v>16800</v>
      </c>
      <c r="T433">
        <v>90</v>
      </c>
      <c r="U433">
        <v>15</v>
      </c>
      <c r="V433">
        <v>5</v>
      </c>
      <c r="W433" t="s">
        <v>37</v>
      </c>
      <c r="X433" t="s">
        <v>28</v>
      </c>
      <c r="Y433" t="str">
        <f>IF(Table2[[#This Row],[Work_Mode]]&lt;&gt;"",Table2[[#This Row],[Work_Mode]],
IF(ISNUMBER(SEARCH("India",Table2[[#This Row],[Emp_Name]])),"Office",
IF(ISNUMBER(SEARCH("Foreign",Table2[[#This Row],[Emp_Name]])),"Remote","")))</f>
        <v>Remote</v>
      </c>
      <c r="Z433">
        <v>10</v>
      </c>
      <c r="AA43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433" t="s">
        <v>22</v>
      </c>
      <c r="AC433" t="str">
        <f>IF(COUNTIF(Table2[Emp_ID],Table2[[#This Row],[Emp_ID]])&gt;1,"Duplicate","Unique")</f>
        <v>Unique</v>
      </c>
      <c r="AE433" s="2"/>
      <c r="AG433" t="str">
        <f>IF(Table2[[#This Row],[Monthly_Salary]]="","Exclude",
IF(Table2[[#This Row],[Row_Status]]="Mismatch","Exclude",
IF(AND(Table2[[#This Row],[Row_Status]]="Exact Duplicate",
COUNTIFS(Table2[Emp_ID],Table2[[#This Row],[Emp_ID]],Table2[Row_Concat],Table2[[#This Row],[Row_Concat]],
Table2[Row_Number],"&lt;"&amp;Table2[[#This Row],[Row_Number]])&gt;=1),"Delete","")))</f>
        <v/>
      </c>
      <c r="AH433" t="str">
        <f>VLOOKUP(Table2[[#This Row],[Department]],Raw_2!A:B,2,0)</f>
        <v>Night</v>
      </c>
      <c r="AI433">
        <f>VLOOKUP(Table2[[#This Row],[Department]],Raw_2!A:C,3,0)</f>
        <v>20</v>
      </c>
    </row>
    <row r="434" spans="1:35">
      <c r="A434" t="s">
        <v>907</v>
      </c>
      <c r="B434" t="s">
        <v>908</v>
      </c>
      <c r="C434">
        <v>23</v>
      </c>
      <c r="E434" t="str">
        <f>IF(OR(Table2[[#This Row],[Gender]]="Male",Table2[[#This Row],[Gender]]="M"),"M",
IF(OR(Table2[[#This Row],[Gender]]="Female",Table2[[#This Row],[Gender]]="F"),"F",""))</f>
        <v/>
      </c>
      <c r="F434" t="s">
        <v>50</v>
      </c>
      <c r="G434" t="s">
        <v>27</v>
      </c>
      <c r="H434" t="s">
        <v>43</v>
      </c>
      <c r="I434" t="s">
        <v>1060</v>
      </c>
      <c r="J434" t="str">
        <f>IF(ISNUMBER(SEARCH("India",Table2[[#This Row],[Emp_Name]])),"INR",
IF(ISNUMBER(SEARCH("Foreign",Table2[[#This Row],[Emp_Name]])),Table2[[#This Row],[Currency]],Table2[[#This Row],[Currency]]))</f>
        <v>INR</v>
      </c>
      <c r="K434">
        <v>27500</v>
      </c>
      <c r="L434">
        <v>12</v>
      </c>
      <c r="M434">
        <f>IF(Table2[[#This Row],[Num_Month]]&lt;&gt;12,12,Table2[[#This Row],[Num_Month]])</f>
        <v>12</v>
      </c>
      <c r="N434">
        <f>IF(Table2[[#This Row],[Monthly_Salary]]="","",Table2[[#This Row],[Monthly_Salary]]*Table2[[#This Row],[Num_Month_Final]])</f>
        <v>330000</v>
      </c>
      <c r="O434">
        <v>2</v>
      </c>
      <c r="P434">
        <f>IF(Table2[[#This Row],[Exp_Years]]&lt;0,ABS(Table2[[#This Row],[Exp_Years]]),Table2[[#This Row],[Exp_Years]])</f>
        <v>2</v>
      </c>
      <c r="Q434">
        <v>1</v>
      </c>
      <c r="S434" t="str">
        <f>IF(Table2[[#This Row],[Performance_Rating]]&gt;=3,Table2[[#This Row],[Monthly_Salary]]*0.3,"")</f>
        <v/>
      </c>
      <c r="T434">
        <v>80</v>
      </c>
      <c r="U434">
        <v>5</v>
      </c>
      <c r="V434">
        <v>5</v>
      </c>
      <c r="W434" t="s">
        <v>21</v>
      </c>
      <c r="X434" t="s">
        <v>38</v>
      </c>
      <c r="Y434" t="str">
        <f>IF(Table2[[#This Row],[Work_Mode]]&lt;&gt;"",Table2[[#This Row],[Work_Mode]],
IF(ISNUMBER(SEARCH("India",Table2[[#This Row],[Emp_Name]])),"Office",
IF(ISNUMBER(SEARCH("Foreign",Table2[[#This Row],[Emp_Name]])),"Remote","")))</f>
        <v>Hybrid</v>
      </c>
      <c r="AA43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34" t="s">
        <v>39</v>
      </c>
      <c r="AC434" t="str">
        <f>IF(COUNTIF(Table2[Emp_ID],Table2[[#This Row],[Emp_ID]])&gt;1,"Duplicate","Unique")</f>
        <v>Unique</v>
      </c>
      <c r="AE434" s="2"/>
      <c r="AG434" t="str">
        <f>IF(Table2[[#This Row],[Monthly_Salary]]="","Exclude",
IF(Table2[[#This Row],[Row_Status]]="Mismatch","Exclude",
IF(AND(Table2[[#This Row],[Row_Status]]="Exact Duplicate",
COUNTIFS(Table2[Emp_ID],Table2[[#This Row],[Emp_ID]],Table2[Row_Concat],Table2[[#This Row],[Row_Concat]],
Table2[Row_Number],"&lt;"&amp;Table2[[#This Row],[Row_Number]])&gt;=1),"Delete","")))</f>
        <v/>
      </c>
      <c r="AH434" t="str">
        <f>VLOOKUP(Table2[[#This Row],[Department]],Raw_2!A:B,2,0)</f>
        <v>Day</v>
      </c>
      <c r="AI434">
        <f>VLOOKUP(Table2[[#This Row],[Department]],Raw_2!A:C,3,0)</f>
        <v>12</v>
      </c>
    </row>
    <row r="435" spans="1:35">
      <c r="A435" t="s">
        <v>909</v>
      </c>
      <c r="B435" t="s">
        <v>910</v>
      </c>
      <c r="C435">
        <v>24</v>
      </c>
      <c r="D435" t="s">
        <v>25</v>
      </c>
      <c r="E435" t="str">
        <f>IF(OR(Table2[[#This Row],[Gender]]="Male",Table2[[#This Row],[Gender]]="M"),"M",
IF(OR(Table2[[#This Row],[Gender]]="Female",Table2[[#This Row],[Gender]]="F"),"F",""))</f>
        <v>F</v>
      </c>
      <c r="F435" t="s">
        <v>50</v>
      </c>
      <c r="G435" t="s">
        <v>66</v>
      </c>
      <c r="H435" t="s">
        <v>43</v>
      </c>
      <c r="I435" t="s">
        <v>1060</v>
      </c>
      <c r="J435" t="str">
        <f>IF(ISNUMBER(SEARCH("India",Table2[[#This Row],[Emp_Name]])),"INR",
IF(ISNUMBER(SEARCH("Foreign",Table2[[#This Row],[Emp_Name]])),Table2[[#This Row],[Currency]],Table2[[#This Row],[Currency]]))</f>
        <v>INR</v>
      </c>
      <c r="K435">
        <v>24000</v>
      </c>
      <c r="L435">
        <v>12</v>
      </c>
      <c r="M435">
        <f>IF(Table2[[#This Row],[Num_Month]]&lt;&gt;12,12,Table2[[#This Row],[Num_Month]])</f>
        <v>12</v>
      </c>
      <c r="N435">
        <f>IF(Table2[[#This Row],[Monthly_Salary]]="","",Table2[[#This Row],[Monthly_Salary]]*Table2[[#This Row],[Num_Month_Final]])</f>
        <v>288000</v>
      </c>
      <c r="O435">
        <v>1</v>
      </c>
      <c r="P435">
        <f>IF(Table2[[#This Row],[Exp_Years]]&lt;0,ABS(Table2[[#This Row],[Exp_Years]]),Table2[[#This Row],[Exp_Years]])</f>
        <v>1</v>
      </c>
      <c r="Q435">
        <v>3</v>
      </c>
      <c r="R435">
        <v>13400</v>
      </c>
      <c r="S435">
        <f>IF(Table2[[#This Row],[Performance_Rating]]&gt;=3,Table2[[#This Row],[Monthly_Salary]]*0.3,"")</f>
        <v>7200</v>
      </c>
      <c r="T435">
        <v>85</v>
      </c>
      <c r="U435">
        <v>5</v>
      </c>
      <c r="V435">
        <v>2</v>
      </c>
      <c r="X435" t="s">
        <v>19</v>
      </c>
      <c r="Y435" t="str">
        <f>IF(Table2[[#This Row],[Work_Mode]]&lt;&gt;"",Table2[[#This Row],[Work_Mode]],
IF(ISNUMBER(SEARCH("India",Table2[[#This Row],[Emp_Name]])),"Office",
IF(ISNUMBER(SEARCH("Foreign",Table2[[#This Row],[Emp_Name]])),"Remote","")))</f>
        <v>Office</v>
      </c>
      <c r="AA43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35" t="s">
        <v>22</v>
      </c>
      <c r="AC435" t="str">
        <f>IF(COUNTIF(Table2[Emp_ID],Table2[[#This Row],[Emp_ID]])&gt;1,"Duplicate","Unique")</f>
        <v>Unique</v>
      </c>
      <c r="AE435" s="2"/>
      <c r="AG435" t="str">
        <f>IF(Table2[[#This Row],[Monthly_Salary]]="","Exclude",
IF(Table2[[#This Row],[Row_Status]]="Mismatch","Exclude",
IF(AND(Table2[[#This Row],[Row_Status]]="Exact Duplicate",
COUNTIFS(Table2[Emp_ID],Table2[[#This Row],[Emp_ID]],Table2[Row_Concat],Table2[[#This Row],[Row_Concat]],
Table2[Row_Number],"&lt;"&amp;Table2[[#This Row],[Row_Number]])&gt;=1),"Delete","")))</f>
        <v/>
      </c>
      <c r="AH435" t="str">
        <f>VLOOKUP(Table2[[#This Row],[Department]],Raw_2!A:B,2,0)</f>
        <v>Night</v>
      </c>
      <c r="AI435">
        <f>VLOOKUP(Table2[[#This Row],[Department]],Raw_2!A:C,3,0)</f>
        <v>20</v>
      </c>
    </row>
    <row r="436" spans="1:35">
      <c r="A436" t="s">
        <v>911</v>
      </c>
      <c r="B436" t="s">
        <v>912</v>
      </c>
      <c r="C436">
        <v>32</v>
      </c>
      <c r="E436" t="str">
        <f>IF(OR(Table2[[#This Row],[Gender]]="Male",Table2[[#This Row],[Gender]]="M"),"M",
IF(OR(Table2[[#This Row],[Gender]]="Female",Table2[[#This Row],[Gender]]="F"),"F",""))</f>
        <v/>
      </c>
      <c r="F436" t="s">
        <v>26</v>
      </c>
      <c r="G436" t="s">
        <v>42</v>
      </c>
      <c r="H436" t="s">
        <v>82</v>
      </c>
      <c r="I436" t="s">
        <v>1060</v>
      </c>
      <c r="J436" t="str">
        <f>IF(ISNUMBER(SEARCH("India",Table2[[#This Row],[Emp_Name]])),"INR",
IF(ISNUMBER(SEARCH("Foreign",Table2[[#This Row],[Emp_Name]])),Table2[[#This Row],[Currency]],Table2[[#This Row],[Currency]]))</f>
        <v>INR</v>
      </c>
      <c r="K436">
        <v>84000</v>
      </c>
      <c r="L436">
        <v>12</v>
      </c>
      <c r="M436">
        <f>IF(Table2[[#This Row],[Num_Month]]&lt;&gt;12,12,Table2[[#This Row],[Num_Month]])</f>
        <v>12</v>
      </c>
      <c r="N436">
        <f>IF(Table2[[#This Row],[Monthly_Salary]]="","",Table2[[#This Row],[Monthly_Salary]]*Table2[[#This Row],[Num_Month_Final]])</f>
        <v>1008000</v>
      </c>
      <c r="O436">
        <v>7</v>
      </c>
      <c r="P436">
        <f>IF(Table2[[#This Row],[Exp_Years]]&lt;0,ABS(Table2[[#This Row],[Exp_Years]]),Table2[[#This Row],[Exp_Years]])</f>
        <v>7</v>
      </c>
      <c r="Q436">
        <v>5</v>
      </c>
      <c r="R436">
        <v>32000</v>
      </c>
      <c r="S436">
        <f>IF(Table2[[#This Row],[Performance_Rating]]&gt;=3,Table2[[#This Row],[Monthly_Salary]]*0.3,"")</f>
        <v>25200</v>
      </c>
      <c r="T436">
        <v>88</v>
      </c>
      <c r="U436">
        <v>13</v>
      </c>
      <c r="V436">
        <v>5</v>
      </c>
      <c r="W436" t="s">
        <v>21</v>
      </c>
      <c r="X436" t="s">
        <v>38</v>
      </c>
      <c r="Y436" t="str">
        <f>IF(Table2[[#This Row],[Work_Mode]]&lt;&gt;"",Table2[[#This Row],[Work_Mode]],
IF(ISNUMBER(SEARCH("India",Table2[[#This Row],[Emp_Name]])),"Office",
IF(ISNUMBER(SEARCH("Foreign",Table2[[#This Row],[Emp_Name]])),"Remote","")))</f>
        <v>Hybrid</v>
      </c>
      <c r="AA43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36" t="s">
        <v>58</v>
      </c>
      <c r="AC436" t="str">
        <f>IF(COUNTIF(Table2[Emp_ID],Table2[[#This Row],[Emp_ID]])&gt;1,"Duplicate","Unique")</f>
        <v>Unique</v>
      </c>
      <c r="AE436" s="2"/>
      <c r="AG436" t="str">
        <f>IF(Table2[[#This Row],[Monthly_Salary]]="","Exclude",
IF(Table2[[#This Row],[Row_Status]]="Mismatch","Exclude",
IF(AND(Table2[[#This Row],[Row_Status]]="Exact Duplicate",
COUNTIFS(Table2[Emp_ID],Table2[[#This Row],[Emp_ID]],Table2[Row_Concat],Table2[[#This Row],[Row_Concat]],
Table2[Row_Number],"&lt;"&amp;Table2[[#This Row],[Row_Number]])&gt;=1),"Delete","")))</f>
        <v/>
      </c>
      <c r="AH436" t="str">
        <f>VLOOKUP(Table2[[#This Row],[Department]],Raw_2!A:B,2,0)</f>
        <v>Day</v>
      </c>
      <c r="AI436">
        <f>VLOOKUP(Table2[[#This Row],[Department]],Raw_2!A:C,3,0)</f>
        <v>14</v>
      </c>
    </row>
    <row r="437" spans="1:35">
      <c r="A437" t="s">
        <v>913</v>
      </c>
      <c r="B437" t="s">
        <v>914</v>
      </c>
      <c r="C437">
        <v>29</v>
      </c>
      <c r="D437" t="s">
        <v>46</v>
      </c>
      <c r="E437" t="str">
        <f>IF(OR(Table2[[#This Row],[Gender]]="Male",Table2[[#This Row],[Gender]]="M"),"M",
IF(OR(Table2[[#This Row],[Gender]]="Female",Table2[[#This Row],[Gender]]="F"),"F",""))</f>
        <v>M</v>
      </c>
      <c r="F437" t="s">
        <v>35</v>
      </c>
      <c r="G437" t="s">
        <v>31</v>
      </c>
      <c r="H437" t="s">
        <v>1045</v>
      </c>
      <c r="I437" t="s">
        <v>1060</v>
      </c>
      <c r="J437" t="str">
        <f>IF(ISNUMBER(SEARCH("India",Table2[[#This Row],[Emp_Name]])),"INR",
IF(ISNUMBER(SEARCH("Foreign",Table2[[#This Row],[Emp_Name]])),Table2[[#This Row],[Currency]],Table2[[#This Row],[Currency]]))</f>
        <v>INR</v>
      </c>
      <c r="K437">
        <v>78000</v>
      </c>
      <c r="L437">
        <v>12</v>
      </c>
      <c r="M437">
        <f>IF(Table2[[#This Row],[Num_Month]]&lt;&gt;12,12,Table2[[#This Row],[Num_Month]])</f>
        <v>12</v>
      </c>
      <c r="N437">
        <f>IF(Table2[[#This Row],[Monthly_Salary]]="","",Table2[[#This Row],[Monthly_Salary]]*Table2[[#This Row],[Num_Month_Final]])</f>
        <v>936000</v>
      </c>
      <c r="O437">
        <v>7</v>
      </c>
      <c r="P437">
        <f>IF(Table2[[#This Row],[Exp_Years]]&lt;0,ABS(Table2[[#This Row],[Exp_Years]]),Table2[[#This Row],[Exp_Years]])</f>
        <v>7</v>
      </c>
      <c r="Q437">
        <v>4</v>
      </c>
      <c r="R437">
        <v>10871</v>
      </c>
      <c r="S437">
        <f>IF(Table2[[#This Row],[Performance_Rating]]&gt;=3,Table2[[#This Row],[Monthly_Salary]]*0.3,"")</f>
        <v>23400</v>
      </c>
      <c r="T437">
        <v>85</v>
      </c>
      <c r="U437">
        <v>13</v>
      </c>
      <c r="V437">
        <v>5</v>
      </c>
      <c r="W437" t="s">
        <v>37</v>
      </c>
      <c r="X437" t="s">
        <v>38</v>
      </c>
      <c r="Y437" t="str">
        <f>IF(Table2[[#This Row],[Work_Mode]]&lt;&gt;"",Table2[[#This Row],[Work_Mode]],
IF(ISNUMBER(SEARCH("India",Table2[[#This Row],[Emp_Name]])),"Office",
IF(ISNUMBER(SEARCH("Foreign",Table2[[#This Row],[Emp_Name]])),"Remote","")))</f>
        <v>Hybrid</v>
      </c>
      <c r="Z437">
        <v>5</v>
      </c>
      <c r="AA43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437" t="s">
        <v>58</v>
      </c>
      <c r="AC437" t="str">
        <f>IF(COUNTIF(Table2[Emp_ID],Table2[[#This Row],[Emp_ID]])&gt;1,"Duplicate","Unique")</f>
        <v>Unique</v>
      </c>
      <c r="AE437" s="2"/>
      <c r="AG437" t="str">
        <f>IF(Table2[[#This Row],[Monthly_Salary]]="","Exclude",
IF(Table2[[#This Row],[Row_Status]]="Mismatch","Exclude",
IF(AND(Table2[[#This Row],[Row_Status]]="Exact Duplicate",
COUNTIFS(Table2[Emp_ID],Table2[[#This Row],[Emp_ID]],Table2[Row_Concat],Table2[[#This Row],[Row_Concat]],
Table2[Row_Number],"&lt;"&amp;Table2[[#This Row],[Row_Number]])&gt;=1),"Delete","")))</f>
        <v/>
      </c>
      <c r="AH437" t="str">
        <f>VLOOKUP(Table2[[#This Row],[Department]],Raw_2!A:B,2,0)</f>
        <v>Night</v>
      </c>
      <c r="AI437">
        <f>VLOOKUP(Table2[[#This Row],[Department]],Raw_2!A:C,3,0)</f>
        <v>13</v>
      </c>
    </row>
    <row r="438" spans="1:35">
      <c r="A438" t="s">
        <v>915</v>
      </c>
      <c r="B438" t="s">
        <v>916</v>
      </c>
      <c r="C438">
        <v>23</v>
      </c>
      <c r="D438" t="s">
        <v>46</v>
      </c>
      <c r="E438" t="str">
        <f>IF(OR(Table2[[#This Row],[Gender]]="Male",Table2[[#This Row],[Gender]]="M"),"M",
IF(OR(Table2[[#This Row],[Gender]]="Female",Table2[[#This Row],[Gender]]="F"),"F",""))</f>
        <v>M</v>
      </c>
      <c r="F438" t="s">
        <v>35</v>
      </c>
      <c r="G438" t="s">
        <v>36</v>
      </c>
      <c r="H438" t="s">
        <v>43</v>
      </c>
      <c r="I438" t="s">
        <v>1060</v>
      </c>
      <c r="J438" t="str">
        <f>IF(ISNUMBER(SEARCH("India",Table2[[#This Row],[Emp_Name]])),"INR",
IF(ISNUMBER(SEARCH("Foreign",Table2[[#This Row],[Emp_Name]])),Table2[[#This Row],[Currency]],Table2[[#This Row],[Currency]]))</f>
        <v>INR</v>
      </c>
      <c r="K438">
        <v>27500</v>
      </c>
      <c r="L438">
        <v>12</v>
      </c>
      <c r="M438">
        <f>IF(Table2[[#This Row],[Num_Month]]&lt;&gt;12,12,Table2[[#This Row],[Num_Month]])</f>
        <v>12</v>
      </c>
      <c r="N438">
        <f>IF(Table2[[#This Row],[Monthly_Salary]]="","",Table2[[#This Row],[Monthly_Salary]]*Table2[[#This Row],[Num_Month_Final]])</f>
        <v>330000</v>
      </c>
      <c r="O438">
        <v>2</v>
      </c>
      <c r="P438">
        <f>IF(Table2[[#This Row],[Exp_Years]]&lt;0,ABS(Table2[[#This Row],[Exp_Years]]),Table2[[#This Row],[Exp_Years]])</f>
        <v>2</v>
      </c>
      <c r="Q438">
        <v>3</v>
      </c>
      <c r="R438">
        <v>11400</v>
      </c>
      <c r="S438">
        <f>IF(Table2[[#This Row],[Performance_Rating]]&gt;=3,Table2[[#This Row],[Monthly_Salary]]*0.3,"")</f>
        <v>8250</v>
      </c>
      <c r="T438">
        <v>80</v>
      </c>
      <c r="U438">
        <v>13</v>
      </c>
      <c r="V438">
        <v>5</v>
      </c>
      <c r="W438" t="s">
        <v>21</v>
      </c>
      <c r="X438" t="s">
        <v>38</v>
      </c>
      <c r="Y438" t="str">
        <f>IF(Table2[[#This Row],[Work_Mode]]&lt;&gt;"",Table2[[#This Row],[Work_Mode]],
IF(ISNUMBER(SEARCH("India",Table2[[#This Row],[Emp_Name]])),"Office",
IF(ISNUMBER(SEARCH("Foreign",Table2[[#This Row],[Emp_Name]])),"Remote","")))</f>
        <v>Hybrid</v>
      </c>
      <c r="AA43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38" t="s">
        <v>22</v>
      </c>
      <c r="AC438" t="str">
        <f>IF(COUNTIF(Table2[Emp_ID],Table2[[#This Row],[Emp_ID]])&gt;1,"Duplicate","Unique")</f>
        <v>Unique</v>
      </c>
      <c r="AE438" s="2"/>
      <c r="AG438" t="str">
        <f>IF(Table2[[#This Row],[Monthly_Salary]]="","Exclude",
IF(Table2[[#This Row],[Row_Status]]="Mismatch","Exclude",
IF(AND(Table2[[#This Row],[Row_Status]]="Exact Duplicate",
COUNTIFS(Table2[Emp_ID],Table2[[#This Row],[Emp_ID]],Table2[Row_Concat],Table2[[#This Row],[Row_Concat]],
Table2[Row_Number],"&lt;"&amp;Table2[[#This Row],[Row_Number]])&gt;=1),"Delete","")))</f>
        <v/>
      </c>
      <c r="AH438" t="str">
        <f>VLOOKUP(Table2[[#This Row],[Department]],Raw_2!A:B,2,0)</f>
        <v>Day</v>
      </c>
      <c r="AI438">
        <f>VLOOKUP(Table2[[#This Row],[Department]],Raw_2!A:C,3,0)</f>
        <v>25</v>
      </c>
    </row>
    <row r="439" spans="1:35">
      <c r="A439" t="s">
        <v>917</v>
      </c>
      <c r="B439" t="s">
        <v>918</v>
      </c>
      <c r="C439">
        <v>24</v>
      </c>
      <c r="D439" t="s">
        <v>46</v>
      </c>
      <c r="E439" t="str">
        <f>IF(OR(Table2[[#This Row],[Gender]]="Male",Table2[[#This Row],[Gender]]="M"),"M",
IF(OR(Table2[[#This Row],[Gender]]="Female",Table2[[#This Row],[Gender]]="F"),"F",""))</f>
        <v>M</v>
      </c>
      <c r="F439" t="s">
        <v>65</v>
      </c>
      <c r="G439" t="s">
        <v>66</v>
      </c>
      <c r="H439" t="s">
        <v>43</v>
      </c>
      <c r="I439" t="s">
        <v>1060</v>
      </c>
      <c r="J439" t="str">
        <f>IF(ISNUMBER(SEARCH("India",Table2[[#This Row],[Emp_Name]])),"INR",
IF(ISNUMBER(SEARCH("Foreign",Table2[[#This Row],[Emp_Name]])),Table2[[#This Row],[Currency]],Table2[[#This Row],[Currency]]))</f>
        <v>INR</v>
      </c>
      <c r="K439">
        <v>24000</v>
      </c>
      <c r="L439">
        <v>12</v>
      </c>
      <c r="M439">
        <f>IF(Table2[[#This Row],[Num_Month]]&lt;&gt;12,12,Table2[[#This Row],[Num_Month]])</f>
        <v>12</v>
      </c>
      <c r="N439">
        <f>IF(Table2[[#This Row],[Monthly_Salary]]="","",Table2[[#This Row],[Monthly_Salary]]*Table2[[#This Row],[Num_Month_Final]])</f>
        <v>288000</v>
      </c>
      <c r="O439">
        <v>1</v>
      </c>
      <c r="P439">
        <f>IF(Table2[[#This Row],[Exp_Years]]&lt;0,ABS(Table2[[#This Row],[Exp_Years]]),Table2[[#This Row],[Exp_Years]])</f>
        <v>1</v>
      </c>
      <c r="Q439">
        <v>1</v>
      </c>
      <c r="S439" t="str">
        <f>IF(Table2[[#This Row],[Performance_Rating]]&gt;=3,Table2[[#This Row],[Monthly_Salary]]*0.3,"")</f>
        <v/>
      </c>
      <c r="T439">
        <v>80</v>
      </c>
      <c r="U439">
        <v>5</v>
      </c>
      <c r="V439">
        <v>2</v>
      </c>
      <c r="X439" t="s">
        <v>38</v>
      </c>
      <c r="Y439" t="str">
        <f>IF(Table2[[#This Row],[Work_Mode]]&lt;&gt;"",Table2[[#This Row],[Work_Mode]],
IF(ISNUMBER(SEARCH("India",Table2[[#This Row],[Emp_Name]])),"Office",
IF(ISNUMBER(SEARCH("Foreign",Table2[[#This Row],[Emp_Name]])),"Remote","")))</f>
        <v>Hybrid</v>
      </c>
      <c r="Z439">
        <v>10</v>
      </c>
      <c r="AA43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439" t="s">
        <v>39</v>
      </c>
      <c r="AC439" t="str">
        <f>IF(COUNTIF(Table2[Emp_ID],Table2[[#This Row],[Emp_ID]])&gt;1,"Duplicate","Unique")</f>
        <v>Unique</v>
      </c>
      <c r="AE439" s="2"/>
      <c r="AG439" t="str">
        <f>IF(Table2[[#This Row],[Monthly_Salary]]="","Exclude",
IF(Table2[[#This Row],[Row_Status]]="Mismatch","Exclude",
IF(AND(Table2[[#This Row],[Row_Status]]="Exact Duplicate",
COUNTIFS(Table2[Emp_ID],Table2[[#This Row],[Emp_ID]],Table2[Row_Concat],Table2[[#This Row],[Row_Concat]],
Table2[Row_Number],"&lt;"&amp;Table2[[#This Row],[Row_Number]])&gt;=1),"Delete","")))</f>
        <v/>
      </c>
      <c r="AH439" t="str">
        <f>VLOOKUP(Table2[[#This Row],[Department]],Raw_2!A:B,2,0)</f>
        <v>Night</v>
      </c>
      <c r="AI439">
        <f>VLOOKUP(Table2[[#This Row],[Department]],Raw_2!A:C,3,0)</f>
        <v>20</v>
      </c>
    </row>
    <row r="440" spans="1:35">
      <c r="A440" t="s">
        <v>919</v>
      </c>
      <c r="B440" t="s">
        <v>920</v>
      </c>
      <c r="C440">
        <v>23</v>
      </c>
      <c r="D440" t="s">
        <v>46</v>
      </c>
      <c r="E440" t="str">
        <f>IF(OR(Table2[[#This Row],[Gender]]="Male",Table2[[#This Row],[Gender]]="M"),"M",
IF(OR(Table2[[#This Row],[Gender]]="Female",Table2[[#This Row],[Gender]]="F"),"F",""))</f>
        <v>M</v>
      </c>
      <c r="F440" t="s">
        <v>64</v>
      </c>
      <c r="G440" t="s">
        <v>66</v>
      </c>
      <c r="H440" t="s">
        <v>43</v>
      </c>
      <c r="I440" t="s">
        <v>1060</v>
      </c>
      <c r="J440" t="str">
        <f>IF(ISNUMBER(SEARCH("India",Table2[[#This Row],[Emp_Name]])),"INR",
IF(ISNUMBER(SEARCH("Foreign",Table2[[#This Row],[Emp_Name]])),Table2[[#This Row],[Currency]],Table2[[#This Row],[Currency]]))</f>
        <v>INR</v>
      </c>
      <c r="K440">
        <v>23500</v>
      </c>
      <c r="L440">
        <v>12</v>
      </c>
      <c r="M440">
        <f>IF(Table2[[#This Row],[Num_Month]]&lt;&gt;12,12,Table2[[#This Row],[Num_Month]])</f>
        <v>12</v>
      </c>
      <c r="N440">
        <f>IF(Table2[[#This Row],[Monthly_Salary]]="","",Table2[[#This Row],[Monthly_Salary]]*Table2[[#This Row],[Num_Month_Final]])</f>
        <v>282000</v>
      </c>
      <c r="O440">
        <v>1</v>
      </c>
      <c r="P440">
        <f>IF(Table2[[#This Row],[Exp_Years]]&lt;0,ABS(Table2[[#This Row],[Exp_Years]]),Table2[[#This Row],[Exp_Years]])</f>
        <v>1</v>
      </c>
      <c r="Q440">
        <v>2</v>
      </c>
      <c r="S440" t="str">
        <f>IF(Table2[[#This Row],[Performance_Rating]]&gt;=3,Table2[[#This Row],[Monthly_Salary]]*0.3,"")</f>
        <v/>
      </c>
      <c r="T440">
        <v>95</v>
      </c>
      <c r="U440">
        <v>10</v>
      </c>
      <c r="V440">
        <v>5</v>
      </c>
      <c r="W440" t="s">
        <v>21</v>
      </c>
      <c r="X440" t="s">
        <v>38</v>
      </c>
      <c r="Y440" t="str">
        <f>IF(Table2[[#This Row],[Work_Mode]]&lt;&gt;"",Table2[[#This Row],[Work_Mode]],
IF(ISNUMBER(SEARCH("India",Table2[[#This Row],[Emp_Name]])),"Office",
IF(ISNUMBER(SEARCH("Foreign",Table2[[#This Row],[Emp_Name]])),"Remote","")))</f>
        <v>Hybrid</v>
      </c>
      <c r="AA44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40" t="s">
        <v>39</v>
      </c>
      <c r="AC440" t="str">
        <f>IF(COUNTIF(Table2[Emp_ID],Table2[[#This Row],[Emp_ID]])&gt;1,"Duplicate","Unique")</f>
        <v>Unique</v>
      </c>
      <c r="AE440" s="2"/>
      <c r="AG440" t="str">
        <f>IF(Table2[[#This Row],[Monthly_Salary]]="","Exclude",
IF(Table2[[#This Row],[Row_Status]]="Mismatch","Exclude",
IF(AND(Table2[[#This Row],[Row_Status]]="Exact Duplicate",
COUNTIFS(Table2[Emp_ID],Table2[[#This Row],[Emp_ID]],Table2[Row_Concat],Table2[[#This Row],[Row_Concat]],
Table2[Row_Number],"&lt;"&amp;Table2[[#This Row],[Row_Number]])&gt;=1),"Delete","")))</f>
        <v/>
      </c>
      <c r="AH440" t="str">
        <f>VLOOKUP(Table2[[#This Row],[Department]],Raw_2!A:B,2,0)</f>
        <v>Night</v>
      </c>
      <c r="AI440">
        <f>VLOOKUP(Table2[[#This Row],[Department]],Raw_2!A:C,3,0)</f>
        <v>20</v>
      </c>
    </row>
    <row r="441" spans="1:35">
      <c r="A441" t="s">
        <v>921</v>
      </c>
      <c r="B441" t="s">
        <v>922</v>
      </c>
      <c r="C441">
        <v>24</v>
      </c>
      <c r="D441" t="s">
        <v>46</v>
      </c>
      <c r="E441" t="str">
        <f>IF(OR(Table2[[#This Row],[Gender]]="Male",Table2[[#This Row],[Gender]]="M"),"M",
IF(OR(Table2[[#This Row],[Gender]]="Female",Table2[[#This Row],[Gender]]="F"),"F",""))</f>
        <v>M</v>
      </c>
      <c r="F441" t="s">
        <v>57</v>
      </c>
      <c r="G441" t="s">
        <v>42</v>
      </c>
      <c r="H441" t="s">
        <v>43</v>
      </c>
      <c r="I441" t="s">
        <v>1060</v>
      </c>
      <c r="J441" t="str">
        <f>IF(ISNUMBER(SEARCH("India",Table2[[#This Row],[Emp_Name]])),"INR",
IF(ISNUMBER(SEARCH("Foreign",Table2[[#This Row],[Emp_Name]])),Table2[[#This Row],[Currency]],Table2[[#This Row],[Currency]]))</f>
        <v>INR</v>
      </c>
      <c r="K441">
        <v>24000</v>
      </c>
      <c r="L441">
        <v>12</v>
      </c>
      <c r="M441">
        <f>IF(Table2[[#This Row],[Num_Month]]&lt;&gt;12,12,Table2[[#This Row],[Num_Month]])</f>
        <v>12</v>
      </c>
      <c r="N441">
        <f>IF(Table2[[#This Row],[Monthly_Salary]]="","",Table2[[#This Row],[Monthly_Salary]]*Table2[[#This Row],[Num_Month_Final]])</f>
        <v>288000</v>
      </c>
      <c r="O441">
        <v>1</v>
      </c>
      <c r="P441">
        <f>IF(Table2[[#This Row],[Exp_Years]]&lt;0,ABS(Table2[[#This Row],[Exp_Years]]),Table2[[#This Row],[Exp_Years]])</f>
        <v>1</v>
      </c>
      <c r="Q441">
        <v>1</v>
      </c>
      <c r="S441" t="str">
        <f>IF(Table2[[#This Row],[Performance_Rating]]&gt;=3,Table2[[#This Row],[Monthly_Salary]]*0.3,"")</f>
        <v/>
      </c>
      <c r="T441">
        <v>80</v>
      </c>
      <c r="U441">
        <v>15</v>
      </c>
      <c r="V441">
        <v>5</v>
      </c>
      <c r="X441" t="s">
        <v>38</v>
      </c>
      <c r="Y441" t="str">
        <f>IF(Table2[[#This Row],[Work_Mode]]&lt;&gt;"",Table2[[#This Row],[Work_Mode]],
IF(ISNUMBER(SEARCH("India",Table2[[#This Row],[Emp_Name]])),"Office",
IF(ISNUMBER(SEARCH("Foreign",Table2[[#This Row],[Emp_Name]])),"Remote","")))</f>
        <v>Hybrid</v>
      </c>
      <c r="Z441">
        <v>20</v>
      </c>
      <c r="AA44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441" t="s">
        <v>39</v>
      </c>
      <c r="AC441" t="str">
        <f>IF(COUNTIF(Table2[Emp_ID],Table2[[#This Row],[Emp_ID]])&gt;1,"Duplicate","Unique")</f>
        <v>Unique</v>
      </c>
      <c r="AE441" s="2"/>
      <c r="AG441" t="str">
        <f>IF(Table2[[#This Row],[Monthly_Salary]]="","Exclude",
IF(Table2[[#This Row],[Row_Status]]="Mismatch","Exclude",
IF(AND(Table2[[#This Row],[Row_Status]]="Exact Duplicate",
COUNTIFS(Table2[Emp_ID],Table2[[#This Row],[Emp_ID]],Table2[Row_Concat],Table2[[#This Row],[Row_Concat]],
Table2[Row_Number],"&lt;"&amp;Table2[[#This Row],[Row_Number]])&gt;=1),"Delete","")))</f>
        <v/>
      </c>
      <c r="AH441" t="str">
        <f>VLOOKUP(Table2[[#This Row],[Department]],Raw_2!A:B,2,0)</f>
        <v>Day</v>
      </c>
      <c r="AI441">
        <f>VLOOKUP(Table2[[#This Row],[Department]],Raw_2!A:C,3,0)</f>
        <v>14</v>
      </c>
    </row>
    <row r="442" spans="1:35">
      <c r="A442" t="s">
        <v>923</v>
      </c>
      <c r="B442" t="s">
        <v>924</v>
      </c>
      <c r="C442">
        <v>25</v>
      </c>
      <c r="D442" t="s">
        <v>46</v>
      </c>
      <c r="E442" t="str">
        <f>IF(OR(Table2[[#This Row],[Gender]]="Male",Table2[[#This Row],[Gender]]="M"),"M",
IF(OR(Table2[[#This Row],[Gender]]="Female",Table2[[#This Row],[Gender]]="F"),"F",""))</f>
        <v>M</v>
      </c>
      <c r="F442" t="s">
        <v>65</v>
      </c>
      <c r="G442" t="s">
        <v>36</v>
      </c>
      <c r="H442" t="s">
        <v>43</v>
      </c>
      <c r="I442" t="s">
        <v>1060</v>
      </c>
      <c r="J442" t="str">
        <f>IF(ISNUMBER(SEARCH("India",Table2[[#This Row],[Emp_Name]])),"INR",
IF(ISNUMBER(SEARCH("Foreign",Table2[[#This Row],[Emp_Name]])),Table2[[#This Row],[Currency]],Table2[[#This Row],[Currency]]))</f>
        <v>INR</v>
      </c>
      <c r="K442">
        <v>27500</v>
      </c>
      <c r="L442">
        <v>12</v>
      </c>
      <c r="M442">
        <f>IF(Table2[[#This Row],[Num_Month]]&lt;&gt;12,12,Table2[[#This Row],[Num_Month]])</f>
        <v>12</v>
      </c>
      <c r="N442">
        <f>IF(Table2[[#This Row],[Monthly_Salary]]="","",Table2[[#This Row],[Monthly_Salary]]*Table2[[#This Row],[Num_Month_Final]])</f>
        <v>330000</v>
      </c>
      <c r="O442">
        <v>2</v>
      </c>
      <c r="P442">
        <f>IF(Table2[[#This Row],[Exp_Years]]&lt;0,ABS(Table2[[#This Row],[Exp_Years]]),Table2[[#This Row],[Exp_Years]])</f>
        <v>2</v>
      </c>
      <c r="Q442">
        <v>2</v>
      </c>
      <c r="S442" t="str">
        <f>IF(Table2[[#This Row],[Performance_Rating]]&gt;=3,Table2[[#This Row],[Monthly_Salary]]*0.3,"")</f>
        <v/>
      </c>
      <c r="T442">
        <v>95</v>
      </c>
      <c r="U442">
        <v>23</v>
      </c>
      <c r="V442">
        <v>4</v>
      </c>
      <c r="X442" t="s">
        <v>38</v>
      </c>
      <c r="Y442" t="str">
        <f>IF(Table2[[#This Row],[Work_Mode]]&lt;&gt;"",Table2[[#This Row],[Work_Mode]],
IF(ISNUMBER(SEARCH("India",Table2[[#This Row],[Emp_Name]])),"Office",
IF(ISNUMBER(SEARCH("Foreign",Table2[[#This Row],[Emp_Name]])),"Remote","")))</f>
        <v>Hybrid</v>
      </c>
      <c r="AA44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42" t="s">
        <v>39</v>
      </c>
      <c r="AC442" t="str">
        <f>IF(COUNTIF(Table2[Emp_ID],Table2[[#This Row],[Emp_ID]])&gt;1,"Duplicate","Unique")</f>
        <v>Unique</v>
      </c>
      <c r="AE442" s="2"/>
      <c r="AG442" t="str">
        <f>IF(Table2[[#This Row],[Monthly_Salary]]="","Exclude",
IF(Table2[[#This Row],[Row_Status]]="Mismatch","Exclude",
IF(AND(Table2[[#This Row],[Row_Status]]="Exact Duplicate",
COUNTIFS(Table2[Emp_ID],Table2[[#This Row],[Emp_ID]],Table2[Row_Concat],Table2[[#This Row],[Row_Concat]],
Table2[Row_Number],"&lt;"&amp;Table2[[#This Row],[Row_Number]])&gt;=1),"Delete","")))</f>
        <v/>
      </c>
      <c r="AH442" t="str">
        <f>VLOOKUP(Table2[[#This Row],[Department]],Raw_2!A:B,2,0)</f>
        <v>Day</v>
      </c>
      <c r="AI442">
        <f>VLOOKUP(Table2[[#This Row],[Department]],Raw_2!A:C,3,0)</f>
        <v>25</v>
      </c>
    </row>
    <row r="443" spans="1:35">
      <c r="A443" t="s">
        <v>925</v>
      </c>
      <c r="B443" t="s">
        <v>926</v>
      </c>
      <c r="C443">
        <v>24</v>
      </c>
      <c r="D443" t="s">
        <v>16</v>
      </c>
      <c r="E443" t="str">
        <f>IF(OR(Table2[[#This Row],[Gender]]="Male",Table2[[#This Row],[Gender]]="M"),"M",
IF(OR(Table2[[#This Row],[Gender]]="Female",Table2[[#This Row],[Gender]]="F"),"F",""))</f>
        <v>M</v>
      </c>
      <c r="F443" t="s">
        <v>47</v>
      </c>
      <c r="G443" t="s">
        <v>36</v>
      </c>
      <c r="H443" t="s">
        <v>43</v>
      </c>
      <c r="I443" t="s">
        <v>1059</v>
      </c>
      <c r="J443" t="str">
        <f>IF(ISNUMBER(SEARCH("India",Table2[[#This Row],[Emp_Name]])),"INR",
IF(ISNUMBER(SEARCH("Foreign",Table2[[#This Row],[Emp_Name]])),Table2[[#This Row],[Currency]],Table2[[#This Row],[Currency]]))</f>
        <v>USD</v>
      </c>
      <c r="K443">
        <v>24000</v>
      </c>
      <c r="L443">
        <v>12</v>
      </c>
      <c r="M443">
        <f>IF(Table2[[#This Row],[Num_Month]]&lt;&gt;12,12,Table2[[#This Row],[Num_Month]])</f>
        <v>12</v>
      </c>
      <c r="N443">
        <f>IF(Table2[[#This Row],[Monthly_Salary]]="","",Table2[[#This Row],[Monthly_Salary]]*Table2[[#This Row],[Num_Month_Final]])</f>
        <v>288000</v>
      </c>
      <c r="O443">
        <v>1</v>
      </c>
      <c r="P443">
        <f>IF(Table2[[#This Row],[Exp_Years]]&lt;0,ABS(Table2[[#This Row],[Exp_Years]]),Table2[[#This Row],[Exp_Years]])</f>
        <v>1</v>
      </c>
      <c r="Q443">
        <v>1</v>
      </c>
      <c r="S443" t="str">
        <f>IF(Table2[[#This Row],[Performance_Rating]]&gt;=3,Table2[[#This Row],[Monthly_Salary]]*0.3,"")</f>
        <v/>
      </c>
      <c r="T443">
        <v>90</v>
      </c>
      <c r="U443">
        <v>23</v>
      </c>
      <c r="V443">
        <v>12</v>
      </c>
      <c r="W443" t="s">
        <v>21</v>
      </c>
      <c r="X443" t="s">
        <v>28</v>
      </c>
      <c r="Y443" t="str">
        <f>IF(Table2[[#This Row],[Work_Mode]]&lt;&gt;"",Table2[[#This Row],[Work_Mode]],
IF(ISNUMBER(SEARCH("India",Table2[[#This Row],[Emp_Name]])),"Office",
IF(ISNUMBER(SEARCH("Foreign",Table2[[#This Row],[Emp_Name]])),"Remote","")))</f>
        <v>Remote</v>
      </c>
      <c r="Z443">
        <v>20</v>
      </c>
      <c r="AA44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443" t="s">
        <v>39</v>
      </c>
      <c r="AC443" t="str">
        <f>IF(COUNTIF(Table2[Emp_ID],Table2[[#This Row],[Emp_ID]])&gt;1,"Duplicate","Unique")</f>
        <v>Unique</v>
      </c>
      <c r="AE443" s="2"/>
      <c r="AG443" t="str">
        <f>IF(Table2[[#This Row],[Monthly_Salary]]="","Exclude",
IF(Table2[[#This Row],[Row_Status]]="Mismatch","Exclude",
IF(AND(Table2[[#This Row],[Row_Status]]="Exact Duplicate",
COUNTIFS(Table2[Emp_ID],Table2[[#This Row],[Emp_ID]],Table2[Row_Concat],Table2[[#This Row],[Row_Concat]],
Table2[Row_Number],"&lt;"&amp;Table2[[#This Row],[Row_Number]])&gt;=1),"Delete","")))</f>
        <v/>
      </c>
      <c r="AH443" t="str">
        <f>VLOOKUP(Table2[[#This Row],[Department]],Raw_2!A:B,2,0)</f>
        <v>Day</v>
      </c>
      <c r="AI443">
        <f>VLOOKUP(Table2[[#This Row],[Department]],Raw_2!A:C,3,0)</f>
        <v>25</v>
      </c>
    </row>
    <row r="444" spans="1:35">
      <c r="A444" t="s">
        <v>927</v>
      </c>
      <c r="B444" t="s">
        <v>928</v>
      </c>
      <c r="C444">
        <v>30</v>
      </c>
      <c r="D444" t="s">
        <v>16</v>
      </c>
      <c r="E444" t="str">
        <f>IF(OR(Table2[[#This Row],[Gender]]="Male",Table2[[#This Row],[Gender]]="M"),"M",
IF(OR(Table2[[#This Row],[Gender]]="Female",Table2[[#This Row],[Gender]]="F"),"F",""))</f>
        <v>M</v>
      </c>
      <c r="F444" t="s">
        <v>64</v>
      </c>
      <c r="G444" t="s">
        <v>42</v>
      </c>
      <c r="H444" t="s">
        <v>1045</v>
      </c>
      <c r="I444" t="s">
        <v>1060</v>
      </c>
      <c r="J444" t="str">
        <f>IF(ISNUMBER(SEARCH("India",Table2[[#This Row],[Emp_Name]])),"INR",
IF(ISNUMBER(SEARCH("Foreign",Table2[[#This Row],[Emp_Name]])),Table2[[#This Row],[Currency]],Table2[[#This Row],[Currency]]))</f>
        <v>INR</v>
      </c>
      <c r="K444">
        <v>78000</v>
      </c>
      <c r="L444">
        <v>12</v>
      </c>
      <c r="M444">
        <f>IF(Table2[[#This Row],[Num_Month]]&lt;&gt;12,12,Table2[[#This Row],[Num_Month]])</f>
        <v>12</v>
      </c>
      <c r="N444">
        <f>IF(Table2[[#This Row],[Monthly_Salary]]="","",Table2[[#This Row],[Monthly_Salary]]*Table2[[#This Row],[Num_Month_Final]])</f>
        <v>936000</v>
      </c>
      <c r="O444">
        <v>5</v>
      </c>
      <c r="P444">
        <f>IF(Table2[[#This Row],[Exp_Years]]&lt;0,ABS(Table2[[#This Row],[Exp_Years]]),Table2[[#This Row],[Exp_Years]])</f>
        <v>5</v>
      </c>
      <c r="Q444">
        <v>4</v>
      </c>
      <c r="R444">
        <v>10871</v>
      </c>
      <c r="S444">
        <f>IF(Table2[[#This Row],[Performance_Rating]]&gt;=3,Table2[[#This Row],[Monthly_Salary]]*0.3,"")</f>
        <v>23400</v>
      </c>
      <c r="T444">
        <v>90</v>
      </c>
      <c r="U444">
        <v>5</v>
      </c>
      <c r="V444">
        <v>6</v>
      </c>
      <c r="W444" t="s">
        <v>37</v>
      </c>
      <c r="X444" t="s">
        <v>28</v>
      </c>
      <c r="Y444" t="str">
        <f>IF(Table2[[#This Row],[Work_Mode]]&lt;&gt;"",Table2[[#This Row],[Work_Mode]],
IF(ISNUMBER(SEARCH("India",Table2[[#This Row],[Emp_Name]])),"Office",
IF(ISNUMBER(SEARCH("Foreign",Table2[[#This Row],[Emp_Name]])),"Remote","")))</f>
        <v>Remote</v>
      </c>
      <c r="AA44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44" t="s">
        <v>58</v>
      </c>
      <c r="AC444" t="str">
        <f>IF(COUNTIF(Table2[Emp_ID],Table2[[#This Row],[Emp_ID]])&gt;1,"Duplicate","Unique")</f>
        <v>Unique</v>
      </c>
      <c r="AE444" s="2"/>
      <c r="AG444" t="str">
        <f>IF(Table2[[#This Row],[Monthly_Salary]]="","Exclude",
IF(Table2[[#This Row],[Row_Status]]="Mismatch","Exclude",
IF(AND(Table2[[#This Row],[Row_Status]]="Exact Duplicate",
COUNTIFS(Table2[Emp_ID],Table2[[#This Row],[Emp_ID]],Table2[Row_Concat],Table2[[#This Row],[Row_Concat]],
Table2[Row_Number],"&lt;"&amp;Table2[[#This Row],[Row_Number]])&gt;=1),"Delete","")))</f>
        <v/>
      </c>
      <c r="AH444" t="str">
        <f>VLOOKUP(Table2[[#This Row],[Department]],Raw_2!A:B,2,0)</f>
        <v>Day</v>
      </c>
      <c r="AI444">
        <f>VLOOKUP(Table2[[#This Row],[Department]],Raw_2!A:C,3,0)</f>
        <v>14</v>
      </c>
    </row>
    <row r="445" spans="1:35">
      <c r="A445" t="s">
        <v>929</v>
      </c>
      <c r="B445" t="s">
        <v>930</v>
      </c>
      <c r="C445">
        <v>23</v>
      </c>
      <c r="E445" t="str">
        <f>IF(OR(Table2[[#This Row],[Gender]]="Male",Table2[[#This Row],[Gender]]="M"),"M",
IF(OR(Table2[[#This Row],[Gender]]="Female",Table2[[#This Row],[Gender]]="F"),"F",""))</f>
        <v/>
      </c>
      <c r="F445" t="s">
        <v>47</v>
      </c>
      <c r="G445" t="s">
        <v>31</v>
      </c>
      <c r="H445" t="s">
        <v>43</v>
      </c>
      <c r="I445" t="s">
        <v>1059</v>
      </c>
      <c r="J445" t="str">
        <f>IF(ISNUMBER(SEARCH("India",Table2[[#This Row],[Emp_Name]])),"INR",
IF(ISNUMBER(SEARCH("Foreign",Table2[[#This Row],[Emp_Name]])),Table2[[#This Row],[Currency]],Table2[[#This Row],[Currency]]))</f>
        <v>USD</v>
      </c>
      <c r="K445">
        <v>26000</v>
      </c>
      <c r="L445">
        <v>12</v>
      </c>
      <c r="M445">
        <f>IF(Table2[[#This Row],[Num_Month]]&lt;&gt;12,12,Table2[[#This Row],[Num_Month]])</f>
        <v>12</v>
      </c>
      <c r="N445">
        <f>IF(Table2[[#This Row],[Monthly_Salary]]="","",Table2[[#This Row],[Monthly_Salary]]*Table2[[#This Row],[Num_Month_Final]])</f>
        <v>312000</v>
      </c>
      <c r="O445">
        <v>2</v>
      </c>
      <c r="P445">
        <f>IF(Table2[[#This Row],[Exp_Years]]&lt;0,ABS(Table2[[#This Row],[Exp_Years]]),Table2[[#This Row],[Exp_Years]])</f>
        <v>2</v>
      </c>
      <c r="Q445">
        <v>4</v>
      </c>
      <c r="R445">
        <v>16000</v>
      </c>
      <c r="S445">
        <f>IF(Table2[[#This Row],[Performance_Rating]]&gt;=3,Table2[[#This Row],[Monthly_Salary]]*0.3,"")</f>
        <v>7800</v>
      </c>
      <c r="T445">
        <v>95</v>
      </c>
      <c r="U445">
        <v>15</v>
      </c>
      <c r="V445">
        <v>5</v>
      </c>
      <c r="W445" t="s">
        <v>21</v>
      </c>
      <c r="X445" t="s">
        <v>28</v>
      </c>
      <c r="Y445" t="str">
        <f>IF(Table2[[#This Row],[Work_Mode]]&lt;&gt;"",Table2[[#This Row],[Work_Mode]],
IF(ISNUMBER(SEARCH("India",Table2[[#This Row],[Emp_Name]])),"Office",
IF(ISNUMBER(SEARCH("Foreign",Table2[[#This Row],[Emp_Name]])),"Remote","")))</f>
        <v>Remote</v>
      </c>
      <c r="Z445">
        <v>5</v>
      </c>
      <c r="AA44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445" t="s">
        <v>58</v>
      </c>
      <c r="AC445" t="str">
        <f>IF(COUNTIF(Table2[Emp_ID],Table2[[#This Row],[Emp_ID]])&gt;1,"Duplicate","Unique")</f>
        <v>Unique</v>
      </c>
      <c r="AE445" s="2"/>
      <c r="AG445" t="str">
        <f>IF(Table2[[#This Row],[Monthly_Salary]]="","Exclude",
IF(Table2[[#This Row],[Row_Status]]="Mismatch","Exclude",
IF(AND(Table2[[#This Row],[Row_Status]]="Exact Duplicate",
COUNTIFS(Table2[Emp_ID],Table2[[#This Row],[Emp_ID]],Table2[Row_Concat],Table2[[#This Row],[Row_Concat]],
Table2[Row_Number],"&lt;"&amp;Table2[[#This Row],[Row_Number]])&gt;=1),"Delete","")))</f>
        <v/>
      </c>
      <c r="AH445" t="str">
        <f>VLOOKUP(Table2[[#This Row],[Department]],Raw_2!A:B,2,0)</f>
        <v>Night</v>
      </c>
      <c r="AI445">
        <f>VLOOKUP(Table2[[#This Row],[Department]],Raw_2!A:C,3,0)</f>
        <v>13</v>
      </c>
    </row>
    <row r="446" spans="1:35">
      <c r="A446" t="s">
        <v>931</v>
      </c>
      <c r="B446" t="s">
        <v>932</v>
      </c>
      <c r="C446">
        <v>24</v>
      </c>
      <c r="D446" t="s">
        <v>16</v>
      </c>
      <c r="E446" t="str">
        <f>IF(OR(Table2[[#This Row],[Gender]]="Male",Table2[[#This Row],[Gender]]="M"),"M",
IF(OR(Table2[[#This Row],[Gender]]="Female",Table2[[#This Row],[Gender]]="F"),"F",""))</f>
        <v>M</v>
      </c>
      <c r="F446" t="s">
        <v>61</v>
      </c>
      <c r="G446" t="s">
        <v>36</v>
      </c>
      <c r="H446" t="s">
        <v>43</v>
      </c>
      <c r="I446" t="s">
        <v>1060</v>
      </c>
      <c r="J446" t="str">
        <f>IF(ISNUMBER(SEARCH("India",Table2[[#This Row],[Emp_Name]])),"INR",
IF(ISNUMBER(SEARCH("Foreign",Table2[[#This Row],[Emp_Name]])),Table2[[#This Row],[Currency]],Table2[[#This Row],[Currency]]))</f>
        <v>INR</v>
      </c>
      <c r="K446">
        <v>24000</v>
      </c>
      <c r="L446">
        <v>12</v>
      </c>
      <c r="M446">
        <f>IF(Table2[[#This Row],[Num_Month]]&lt;&gt;12,12,Table2[[#This Row],[Num_Month]])</f>
        <v>12</v>
      </c>
      <c r="N446">
        <f>IF(Table2[[#This Row],[Monthly_Salary]]="","",Table2[[#This Row],[Monthly_Salary]]*Table2[[#This Row],[Num_Month_Final]])</f>
        <v>288000</v>
      </c>
      <c r="O446">
        <v>1</v>
      </c>
      <c r="P446">
        <f>IF(Table2[[#This Row],[Exp_Years]]&lt;0,ABS(Table2[[#This Row],[Exp_Years]]),Table2[[#This Row],[Exp_Years]])</f>
        <v>1</v>
      </c>
      <c r="Q446">
        <v>2</v>
      </c>
      <c r="S446" t="str">
        <f>IF(Table2[[#This Row],[Performance_Rating]]&gt;=3,Table2[[#This Row],[Monthly_Salary]]*0.3,"")</f>
        <v/>
      </c>
      <c r="T446">
        <v>85</v>
      </c>
      <c r="U446">
        <v>15</v>
      </c>
      <c r="V446">
        <v>2</v>
      </c>
      <c r="W446" t="s">
        <v>37</v>
      </c>
      <c r="X446" t="s">
        <v>38</v>
      </c>
      <c r="Y446" t="str">
        <f>IF(Table2[[#This Row],[Work_Mode]]&lt;&gt;"",Table2[[#This Row],[Work_Mode]],
IF(ISNUMBER(SEARCH("India",Table2[[#This Row],[Emp_Name]])),"Office",
IF(ISNUMBER(SEARCH("Foreign",Table2[[#This Row],[Emp_Name]])),"Remote","")))</f>
        <v>Hybrid</v>
      </c>
      <c r="Z446">
        <v>10</v>
      </c>
      <c r="AA44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446" t="s">
        <v>39</v>
      </c>
      <c r="AC446" t="str">
        <f>IF(COUNTIF(Table2[Emp_ID],Table2[[#This Row],[Emp_ID]])&gt;1,"Duplicate","Unique")</f>
        <v>Unique</v>
      </c>
      <c r="AE446" s="2"/>
      <c r="AG446" t="str">
        <f>IF(Table2[[#This Row],[Monthly_Salary]]="","Exclude",
IF(Table2[[#This Row],[Row_Status]]="Mismatch","Exclude",
IF(AND(Table2[[#This Row],[Row_Status]]="Exact Duplicate",
COUNTIFS(Table2[Emp_ID],Table2[[#This Row],[Emp_ID]],Table2[Row_Concat],Table2[[#This Row],[Row_Concat]],
Table2[Row_Number],"&lt;"&amp;Table2[[#This Row],[Row_Number]])&gt;=1),"Delete","")))</f>
        <v/>
      </c>
      <c r="AH446" t="str">
        <f>VLOOKUP(Table2[[#This Row],[Department]],Raw_2!A:B,2,0)</f>
        <v>Day</v>
      </c>
      <c r="AI446">
        <f>VLOOKUP(Table2[[#This Row],[Department]],Raw_2!A:C,3,0)</f>
        <v>25</v>
      </c>
    </row>
    <row r="447" spans="1:35">
      <c r="A447" t="s">
        <v>933</v>
      </c>
      <c r="B447" t="s">
        <v>934</v>
      </c>
      <c r="C447">
        <v>25</v>
      </c>
      <c r="D447" t="s">
        <v>34</v>
      </c>
      <c r="E447" t="str">
        <f>IF(OR(Table2[[#This Row],[Gender]]="Male",Table2[[#This Row],[Gender]]="M"),"M",
IF(OR(Table2[[#This Row],[Gender]]="Female",Table2[[#This Row],[Gender]]="F"),"F",""))</f>
        <v>F</v>
      </c>
      <c r="F447" t="s">
        <v>17</v>
      </c>
      <c r="G447" t="s">
        <v>31</v>
      </c>
      <c r="H447" t="s">
        <v>43</v>
      </c>
      <c r="I447" t="s">
        <v>1059</v>
      </c>
      <c r="J447" t="str">
        <f>IF(ISNUMBER(SEARCH("India",Table2[[#This Row],[Emp_Name]])),"INR",
IF(ISNUMBER(SEARCH("Foreign",Table2[[#This Row],[Emp_Name]])),Table2[[#This Row],[Currency]],Table2[[#This Row],[Currency]]))</f>
        <v>USD</v>
      </c>
      <c r="K447">
        <v>24000</v>
      </c>
      <c r="L447">
        <v>12</v>
      </c>
      <c r="M447">
        <f>IF(Table2[[#This Row],[Num_Month]]&lt;&gt;12,12,Table2[[#This Row],[Num_Month]])</f>
        <v>12</v>
      </c>
      <c r="N447">
        <f>IF(Table2[[#This Row],[Monthly_Salary]]="","",Table2[[#This Row],[Monthly_Salary]]*Table2[[#This Row],[Num_Month_Final]])</f>
        <v>288000</v>
      </c>
      <c r="O447">
        <v>1</v>
      </c>
      <c r="P447">
        <f>IF(Table2[[#This Row],[Exp_Years]]&lt;0,ABS(Table2[[#This Row],[Exp_Years]]),Table2[[#This Row],[Exp_Years]])</f>
        <v>1</v>
      </c>
      <c r="Q447">
        <v>1</v>
      </c>
      <c r="S447" t="str">
        <f>IF(Table2[[#This Row],[Performance_Rating]]&gt;=3,Table2[[#This Row],[Monthly_Salary]]*0.3,"")</f>
        <v/>
      </c>
      <c r="T447">
        <v>88</v>
      </c>
      <c r="U447">
        <v>5</v>
      </c>
      <c r="V447">
        <v>5</v>
      </c>
      <c r="W447" t="s">
        <v>37</v>
      </c>
      <c r="X447" t="s">
        <v>28</v>
      </c>
      <c r="Y447" t="str">
        <f>IF(Table2[[#This Row],[Work_Mode]]&lt;&gt;"",Table2[[#This Row],[Work_Mode]],
IF(ISNUMBER(SEARCH("India",Table2[[#This Row],[Emp_Name]])),"Office",
IF(ISNUMBER(SEARCH("Foreign",Table2[[#This Row],[Emp_Name]])),"Remote","")))</f>
        <v>Remote</v>
      </c>
      <c r="Z447">
        <v>10</v>
      </c>
      <c r="AA44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447" t="s">
        <v>39</v>
      </c>
      <c r="AC447" t="str">
        <f>IF(COUNTIF(Table2[Emp_ID],Table2[[#This Row],[Emp_ID]])&gt;1,"Duplicate","Unique")</f>
        <v>Unique</v>
      </c>
      <c r="AE447" s="2"/>
      <c r="AG447" t="str">
        <f>IF(Table2[[#This Row],[Monthly_Salary]]="","Exclude",
IF(Table2[[#This Row],[Row_Status]]="Mismatch","Exclude",
IF(AND(Table2[[#This Row],[Row_Status]]="Exact Duplicate",
COUNTIFS(Table2[Emp_ID],Table2[[#This Row],[Emp_ID]],Table2[Row_Concat],Table2[[#This Row],[Row_Concat]],
Table2[Row_Number],"&lt;"&amp;Table2[[#This Row],[Row_Number]])&gt;=1),"Delete","")))</f>
        <v/>
      </c>
      <c r="AH447" t="str">
        <f>VLOOKUP(Table2[[#This Row],[Department]],Raw_2!A:B,2,0)</f>
        <v>Night</v>
      </c>
      <c r="AI447">
        <f>VLOOKUP(Table2[[#This Row],[Department]],Raw_2!A:C,3,0)</f>
        <v>13</v>
      </c>
    </row>
    <row r="448" spans="1:35">
      <c r="A448" t="s">
        <v>935</v>
      </c>
      <c r="B448" t="s">
        <v>936</v>
      </c>
      <c r="C448">
        <v>25</v>
      </c>
      <c r="E448" t="str">
        <f>IF(OR(Table2[[#This Row],[Gender]]="Male",Table2[[#This Row],[Gender]]="M"),"M",
IF(OR(Table2[[#This Row],[Gender]]="Female",Table2[[#This Row],[Gender]]="F"),"F",""))</f>
        <v/>
      </c>
      <c r="F448" t="s">
        <v>35</v>
      </c>
      <c r="G448" t="s">
        <v>66</v>
      </c>
      <c r="H448" t="s">
        <v>43</v>
      </c>
      <c r="I448" t="s">
        <v>1059</v>
      </c>
      <c r="J448" t="str">
        <f>IF(ISNUMBER(SEARCH("India",Table2[[#This Row],[Emp_Name]])),"INR",
IF(ISNUMBER(SEARCH("Foreign",Table2[[#This Row],[Emp_Name]])),Table2[[#This Row],[Currency]],Table2[[#This Row],[Currency]]))</f>
        <v>USD</v>
      </c>
      <c r="K448">
        <v>27000</v>
      </c>
      <c r="L448">
        <v>12</v>
      </c>
      <c r="M448">
        <f>IF(Table2[[#This Row],[Num_Month]]&lt;&gt;12,12,Table2[[#This Row],[Num_Month]])</f>
        <v>12</v>
      </c>
      <c r="N448">
        <f>IF(Table2[[#This Row],[Monthly_Salary]]="","",Table2[[#This Row],[Monthly_Salary]]*Table2[[#This Row],[Num_Month_Final]])</f>
        <v>324000</v>
      </c>
      <c r="O448">
        <v>2</v>
      </c>
      <c r="P448">
        <f>IF(Table2[[#This Row],[Exp_Years]]&lt;0,ABS(Table2[[#This Row],[Exp_Years]]),Table2[[#This Row],[Exp_Years]])</f>
        <v>2</v>
      </c>
      <c r="Q448">
        <v>3</v>
      </c>
      <c r="R448">
        <v>13400</v>
      </c>
      <c r="S448">
        <f>IF(Table2[[#This Row],[Performance_Rating]]&gt;=3,Table2[[#This Row],[Monthly_Salary]]*0.3,"")</f>
        <v>8100</v>
      </c>
      <c r="T448">
        <v>88</v>
      </c>
      <c r="U448">
        <v>10</v>
      </c>
      <c r="V448">
        <v>1</v>
      </c>
      <c r="W448" t="s">
        <v>37</v>
      </c>
      <c r="X448" t="s">
        <v>28</v>
      </c>
      <c r="Y448" t="str">
        <f>IF(Table2[[#This Row],[Work_Mode]]&lt;&gt;"",Table2[[#This Row],[Work_Mode]],
IF(ISNUMBER(SEARCH("India",Table2[[#This Row],[Emp_Name]])),"Office",
IF(ISNUMBER(SEARCH("Foreign",Table2[[#This Row],[Emp_Name]])),"Remote","")))</f>
        <v>Remote</v>
      </c>
      <c r="Z448">
        <v>10</v>
      </c>
      <c r="AA44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448" t="s">
        <v>22</v>
      </c>
      <c r="AC448" t="str">
        <f>IF(COUNTIF(Table2[Emp_ID],Table2[[#This Row],[Emp_ID]])&gt;1,"Duplicate","Unique")</f>
        <v>Unique</v>
      </c>
      <c r="AE448" s="2"/>
      <c r="AG448" t="str">
        <f>IF(Table2[[#This Row],[Monthly_Salary]]="","Exclude",
IF(Table2[[#This Row],[Row_Status]]="Mismatch","Exclude",
IF(AND(Table2[[#This Row],[Row_Status]]="Exact Duplicate",
COUNTIFS(Table2[Emp_ID],Table2[[#This Row],[Emp_ID]],Table2[Row_Concat],Table2[[#This Row],[Row_Concat]],
Table2[Row_Number],"&lt;"&amp;Table2[[#This Row],[Row_Number]])&gt;=1),"Delete","")))</f>
        <v/>
      </c>
      <c r="AH448" t="str">
        <f>VLOOKUP(Table2[[#This Row],[Department]],Raw_2!A:B,2,0)</f>
        <v>Night</v>
      </c>
      <c r="AI448">
        <f>VLOOKUP(Table2[[#This Row],[Department]],Raw_2!A:C,3,0)</f>
        <v>20</v>
      </c>
    </row>
    <row r="449" spans="1:35">
      <c r="A449" t="s">
        <v>937</v>
      </c>
      <c r="B449" t="s">
        <v>938</v>
      </c>
      <c r="C449">
        <v>35</v>
      </c>
      <c r="D449" t="s">
        <v>25</v>
      </c>
      <c r="E449" t="str">
        <f>IF(OR(Table2[[#This Row],[Gender]]="Male",Table2[[#This Row],[Gender]]="M"),"M",
IF(OR(Table2[[#This Row],[Gender]]="Female",Table2[[#This Row],[Gender]]="F"),"F",""))</f>
        <v>F</v>
      </c>
      <c r="F449" t="s">
        <v>26</v>
      </c>
      <c r="G449" t="s">
        <v>66</v>
      </c>
      <c r="H449" t="s">
        <v>82</v>
      </c>
      <c r="I449" t="s">
        <v>1060</v>
      </c>
      <c r="J449" t="str">
        <f>IF(ISNUMBER(SEARCH("India",Table2[[#This Row],[Emp_Name]])),"INR",
IF(ISNUMBER(SEARCH("Foreign",Table2[[#This Row],[Emp_Name]])),Table2[[#This Row],[Currency]],Table2[[#This Row],[Currency]]))</f>
        <v>INR</v>
      </c>
      <c r="K449">
        <v>89000</v>
      </c>
      <c r="L449">
        <v>12</v>
      </c>
      <c r="M449">
        <f>IF(Table2[[#This Row],[Num_Month]]&lt;&gt;12,12,Table2[[#This Row],[Num_Month]])</f>
        <v>12</v>
      </c>
      <c r="N449">
        <f>IF(Table2[[#This Row],[Monthly_Salary]]="","",Table2[[#This Row],[Monthly_Salary]]*Table2[[#This Row],[Num_Month_Final]])</f>
        <v>1068000</v>
      </c>
      <c r="O449">
        <v>9</v>
      </c>
      <c r="P449">
        <f>IF(Table2[[#This Row],[Exp_Years]]&lt;0,ABS(Table2[[#This Row],[Exp_Years]]),Table2[[#This Row],[Exp_Years]])</f>
        <v>9</v>
      </c>
      <c r="Q449">
        <v>1</v>
      </c>
      <c r="S449" t="str">
        <f>IF(Table2[[#This Row],[Performance_Rating]]&gt;=3,Table2[[#This Row],[Monthly_Salary]]*0.3,"")</f>
        <v/>
      </c>
      <c r="T449">
        <v>80</v>
      </c>
      <c r="U449">
        <v>10</v>
      </c>
      <c r="V449">
        <v>4</v>
      </c>
      <c r="W449" t="s">
        <v>21</v>
      </c>
      <c r="X449" t="s">
        <v>38</v>
      </c>
      <c r="Y449" t="str">
        <f>IF(Table2[[#This Row],[Work_Mode]]&lt;&gt;"",Table2[[#This Row],[Work_Mode]],
IF(ISNUMBER(SEARCH("India",Table2[[#This Row],[Emp_Name]])),"Office",
IF(ISNUMBER(SEARCH("Foreign",Table2[[#This Row],[Emp_Name]])),"Remote","")))</f>
        <v>Hybrid</v>
      </c>
      <c r="Z449">
        <v>5</v>
      </c>
      <c r="AA44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1750</v>
      </c>
      <c r="AB449" t="s">
        <v>39</v>
      </c>
      <c r="AC449" t="str">
        <f>IF(COUNTIF(Table2[Emp_ID],Table2[[#This Row],[Emp_ID]])&gt;1,"Duplicate","Unique")</f>
        <v>Unique</v>
      </c>
      <c r="AE449" s="2"/>
      <c r="AG449" t="str">
        <f>IF(Table2[[#This Row],[Monthly_Salary]]="","Exclude",
IF(Table2[[#This Row],[Row_Status]]="Mismatch","Exclude",
IF(AND(Table2[[#This Row],[Row_Status]]="Exact Duplicate",
COUNTIFS(Table2[Emp_ID],Table2[[#This Row],[Emp_ID]],Table2[Row_Concat],Table2[[#This Row],[Row_Concat]],
Table2[Row_Number],"&lt;"&amp;Table2[[#This Row],[Row_Number]])&gt;=1),"Delete","")))</f>
        <v/>
      </c>
      <c r="AH449" t="str">
        <f>VLOOKUP(Table2[[#This Row],[Department]],Raw_2!A:B,2,0)</f>
        <v>Night</v>
      </c>
      <c r="AI449">
        <f>VLOOKUP(Table2[[#This Row],[Department]],Raw_2!A:C,3,0)</f>
        <v>20</v>
      </c>
    </row>
    <row r="450" spans="1:35">
      <c r="A450" t="s">
        <v>939</v>
      </c>
      <c r="B450" t="s">
        <v>940</v>
      </c>
      <c r="C450">
        <v>25</v>
      </c>
      <c r="D450" t="s">
        <v>46</v>
      </c>
      <c r="E450" t="str">
        <f>IF(OR(Table2[[#This Row],[Gender]]="Male",Table2[[#This Row],[Gender]]="M"),"M",
IF(OR(Table2[[#This Row],[Gender]]="Female",Table2[[#This Row],[Gender]]="F"),"F",""))</f>
        <v>M</v>
      </c>
      <c r="F450" t="s">
        <v>73</v>
      </c>
      <c r="G450" t="s">
        <v>27</v>
      </c>
      <c r="H450" t="s">
        <v>43</v>
      </c>
      <c r="I450" t="s">
        <v>1060</v>
      </c>
      <c r="J450" t="str">
        <f>IF(ISNUMBER(SEARCH("India",Table2[[#This Row],[Emp_Name]])),"INR",
IF(ISNUMBER(SEARCH("Foreign",Table2[[#This Row],[Emp_Name]])),Table2[[#This Row],[Currency]],Table2[[#This Row],[Currency]]))</f>
        <v>INR</v>
      </c>
      <c r="K450">
        <v>24333</v>
      </c>
      <c r="L450">
        <v>12</v>
      </c>
      <c r="M450">
        <f>IF(Table2[[#This Row],[Num_Month]]&lt;&gt;12,12,Table2[[#This Row],[Num_Month]])</f>
        <v>12</v>
      </c>
      <c r="N450">
        <f>IF(Table2[[#This Row],[Monthly_Salary]]="","",Table2[[#This Row],[Monthly_Salary]]*Table2[[#This Row],[Num_Month_Final]])</f>
        <v>291996</v>
      </c>
      <c r="O450">
        <v>1</v>
      </c>
      <c r="P450">
        <f>IF(Table2[[#This Row],[Exp_Years]]&lt;0,ABS(Table2[[#This Row],[Exp_Years]]),Table2[[#This Row],[Exp_Years]])</f>
        <v>1</v>
      </c>
      <c r="Q450">
        <v>2</v>
      </c>
      <c r="S450" t="str">
        <f>IF(Table2[[#This Row],[Performance_Rating]]&gt;=3,Table2[[#This Row],[Monthly_Salary]]*0.3,"")</f>
        <v/>
      </c>
      <c r="T450">
        <v>80</v>
      </c>
      <c r="U450">
        <v>15</v>
      </c>
      <c r="V450">
        <v>5</v>
      </c>
      <c r="X450" t="s">
        <v>38</v>
      </c>
      <c r="Y450" t="str">
        <f>IF(Table2[[#This Row],[Work_Mode]]&lt;&gt;"",Table2[[#This Row],[Work_Mode]],
IF(ISNUMBER(SEARCH("India",Table2[[#This Row],[Emp_Name]])),"Office",
IF(ISNUMBER(SEARCH("Foreign",Table2[[#This Row],[Emp_Name]])),"Remote","")))</f>
        <v>Hybrid</v>
      </c>
      <c r="Z450">
        <v>20</v>
      </c>
      <c r="AA45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450" t="s">
        <v>39</v>
      </c>
      <c r="AC450" t="str">
        <f>IF(COUNTIF(Table2[Emp_ID],Table2[[#This Row],[Emp_ID]])&gt;1,"Duplicate","Unique")</f>
        <v>Unique</v>
      </c>
      <c r="AE450" s="2"/>
      <c r="AG450" t="str">
        <f>IF(Table2[[#This Row],[Monthly_Salary]]="","Exclude",
IF(Table2[[#This Row],[Row_Status]]="Mismatch","Exclude",
IF(AND(Table2[[#This Row],[Row_Status]]="Exact Duplicate",
COUNTIFS(Table2[Emp_ID],Table2[[#This Row],[Emp_ID]],Table2[Row_Concat],Table2[[#This Row],[Row_Concat]],
Table2[Row_Number],"&lt;"&amp;Table2[[#This Row],[Row_Number]])&gt;=1),"Delete","")))</f>
        <v/>
      </c>
      <c r="AH450" t="str">
        <f>VLOOKUP(Table2[[#This Row],[Department]],Raw_2!A:B,2,0)</f>
        <v>Day</v>
      </c>
      <c r="AI450">
        <f>VLOOKUP(Table2[[#This Row],[Department]],Raw_2!A:C,3,0)</f>
        <v>12</v>
      </c>
    </row>
    <row r="451" spans="1:35">
      <c r="A451" t="s">
        <v>941</v>
      </c>
      <c r="B451" t="s">
        <v>942</v>
      </c>
      <c r="C451">
        <v>23</v>
      </c>
      <c r="D451" t="s">
        <v>25</v>
      </c>
      <c r="E451" t="str">
        <f>IF(OR(Table2[[#This Row],[Gender]]="Male",Table2[[#This Row],[Gender]]="M"),"M",
IF(OR(Table2[[#This Row],[Gender]]="Female",Table2[[#This Row],[Gender]]="F"),"F",""))</f>
        <v>F</v>
      </c>
      <c r="F451" t="s">
        <v>47</v>
      </c>
      <c r="G451" t="s">
        <v>42</v>
      </c>
      <c r="H451" t="s">
        <v>43</v>
      </c>
      <c r="I451" t="s">
        <v>1060</v>
      </c>
      <c r="J451" t="str">
        <f>IF(ISNUMBER(SEARCH("India",Table2[[#This Row],[Emp_Name]])),"INR",
IF(ISNUMBER(SEARCH("Foreign",Table2[[#This Row],[Emp_Name]])),Table2[[#This Row],[Currency]],Table2[[#This Row],[Currency]]))</f>
        <v>INR</v>
      </c>
      <c r="K451">
        <v>27000</v>
      </c>
      <c r="L451">
        <v>12</v>
      </c>
      <c r="M451">
        <f>IF(Table2[[#This Row],[Num_Month]]&lt;&gt;12,12,Table2[[#This Row],[Num_Month]])</f>
        <v>12</v>
      </c>
      <c r="N451">
        <f>IF(Table2[[#This Row],[Monthly_Salary]]="","",Table2[[#This Row],[Monthly_Salary]]*Table2[[#This Row],[Num_Month_Final]])</f>
        <v>324000</v>
      </c>
      <c r="O451">
        <v>2</v>
      </c>
      <c r="P451">
        <f>IF(Table2[[#This Row],[Exp_Years]]&lt;0,ABS(Table2[[#This Row],[Exp_Years]]),Table2[[#This Row],[Exp_Years]])</f>
        <v>2</v>
      </c>
      <c r="Q451">
        <v>4</v>
      </c>
      <c r="R451">
        <v>16000</v>
      </c>
      <c r="S451">
        <f>IF(Table2[[#This Row],[Performance_Rating]]&gt;=3,Table2[[#This Row],[Monthly_Salary]]*0.3,"")</f>
        <v>8100</v>
      </c>
      <c r="T451">
        <v>85</v>
      </c>
      <c r="U451">
        <v>15</v>
      </c>
      <c r="V451">
        <v>1</v>
      </c>
      <c r="W451" t="s">
        <v>21</v>
      </c>
      <c r="X451" t="s">
        <v>28</v>
      </c>
      <c r="Y451" t="str">
        <f>IF(Table2[[#This Row],[Work_Mode]]&lt;&gt;"",Table2[[#This Row],[Work_Mode]],
IF(ISNUMBER(SEARCH("India",Table2[[#This Row],[Emp_Name]])),"Office",
IF(ISNUMBER(SEARCH("Foreign",Table2[[#This Row],[Emp_Name]])),"Remote","")))</f>
        <v>Remote</v>
      </c>
      <c r="Z451">
        <v>20</v>
      </c>
      <c r="AA45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451" t="s">
        <v>58</v>
      </c>
      <c r="AC451" t="str">
        <f>IF(COUNTIF(Table2[Emp_ID],Table2[[#This Row],[Emp_ID]])&gt;1,"Duplicate","Unique")</f>
        <v>Unique</v>
      </c>
      <c r="AE451" s="2"/>
      <c r="AG451" t="str">
        <f>IF(Table2[[#This Row],[Monthly_Salary]]="","Exclude",
IF(Table2[[#This Row],[Row_Status]]="Mismatch","Exclude",
IF(AND(Table2[[#This Row],[Row_Status]]="Exact Duplicate",
COUNTIFS(Table2[Emp_ID],Table2[[#This Row],[Emp_ID]],Table2[Row_Concat],Table2[[#This Row],[Row_Concat]],
Table2[Row_Number],"&lt;"&amp;Table2[[#This Row],[Row_Number]])&gt;=1),"Delete","")))</f>
        <v/>
      </c>
      <c r="AH451" t="str">
        <f>VLOOKUP(Table2[[#This Row],[Department]],Raw_2!A:B,2,0)</f>
        <v>Day</v>
      </c>
      <c r="AI451">
        <f>VLOOKUP(Table2[[#This Row],[Department]],Raw_2!A:C,3,0)</f>
        <v>14</v>
      </c>
    </row>
    <row r="452" spans="1:35">
      <c r="A452" t="s">
        <v>943</v>
      </c>
      <c r="B452" t="s">
        <v>944</v>
      </c>
      <c r="C452">
        <v>24</v>
      </c>
      <c r="E452" t="str">
        <f>IF(OR(Table2[[#This Row],[Gender]]="Male",Table2[[#This Row],[Gender]]="M"),"M",
IF(OR(Table2[[#This Row],[Gender]]="Female",Table2[[#This Row],[Gender]]="F"),"F",""))</f>
        <v/>
      </c>
      <c r="F452" t="s">
        <v>26</v>
      </c>
      <c r="G452" t="s">
        <v>31</v>
      </c>
      <c r="H452" t="s">
        <v>1048</v>
      </c>
      <c r="I452" t="s">
        <v>1060</v>
      </c>
      <c r="J452" t="str">
        <f>IF(ISNUMBER(SEARCH("India",Table2[[#This Row],[Emp_Name]])),"INR",
IF(ISNUMBER(SEARCH("Foreign",Table2[[#This Row],[Emp_Name]])),Table2[[#This Row],[Currency]],Table2[[#This Row],[Currency]]))</f>
        <v>INR</v>
      </c>
      <c r="K452">
        <v>56000</v>
      </c>
      <c r="L452">
        <v>12</v>
      </c>
      <c r="M452">
        <f>IF(Table2[[#This Row],[Num_Month]]&lt;&gt;12,12,Table2[[#This Row],[Num_Month]])</f>
        <v>12</v>
      </c>
      <c r="N452">
        <f>IF(Table2[[#This Row],[Monthly_Salary]]="","",Table2[[#This Row],[Monthly_Salary]]*Table2[[#This Row],[Num_Month_Final]])</f>
        <v>672000</v>
      </c>
      <c r="O452">
        <v>3</v>
      </c>
      <c r="P452">
        <f>IF(Table2[[#This Row],[Exp_Years]]&lt;0,ABS(Table2[[#This Row],[Exp_Years]]),Table2[[#This Row],[Exp_Years]])</f>
        <v>3</v>
      </c>
      <c r="Q452">
        <v>3</v>
      </c>
      <c r="R452" s="8">
        <v>190000</v>
      </c>
      <c r="S452">
        <f>IF(Table2[[#This Row],[Performance_Rating]]&gt;=3,Table2[[#This Row],[Monthly_Salary]]*0.3,"")</f>
        <v>16800</v>
      </c>
      <c r="T452">
        <v>90</v>
      </c>
      <c r="U452">
        <v>15</v>
      </c>
      <c r="V452">
        <v>3</v>
      </c>
      <c r="W452" t="s">
        <v>21</v>
      </c>
      <c r="X452" t="s">
        <v>38</v>
      </c>
      <c r="Y452" t="str">
        <f>IF(Table2[[#This Row],[Work_Mode]]&lt;&gt;"",Table2[[#This Row],[Work_Mode]],
IF(ISNUMBER(SEARCH("India",Table2[[#This Row],[Emp_Name]])),"Office",
IF(ISNUMBER(SEARCH("Foreign",Table2[[#This Row],[Emp_Name]])),"Remote","")))</f>
        <v>Hybrid</v>
      </c>
      <c r="Z452">
        <v>5</v>
      </c>
      <c r="AA45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452" t="s">
        <v>22</v>
      </c>
      <c r="AC452" t="str">
        <f>IF(COUNTIF(Table2[Emp_ID],Table2[[#This Row],[Emp_ID]])&gt;1,"Duplicate","Unique")</f>
        <v>Unique</v>
      </c>
      <c r="AE452" s="2"/>
      <c r="AG452" t="str">
        <f>IF(Table2[[#This Row],[Monthly_Salary]]="","Exclude",
IF(Table2[[#This Row],[Row_Status]]="Mismatch","Exclude",
IF(AND(Table2[[#This Row],[Row_Status]]="Exact Duplicate",
COUNTIFS(Table2[Emp_ID],Table2[[#This Row],[Emp_ID]],Table2[Row_Concat],Table2[[#This Row],[Row_Concat]],
Table2[Row_Number],"&lt;"&amp;Table2[[#This Row],[Row_Number]])&gt;=1),"Delete","")))</f>
        <v/>
      </c>
      <c r="AH452" t="str">
        <f>VLOOKUP(Table2[[#This Row],[Department]],Raw_2!A:B,2,0)</f>
        <v>Night</v>
      </c>
      <c r="AI452">
        <f>VLOOKUP(Table2[[#This Row],[Department]],Raw_2!A:C,3,0)</f>
        <v>13</v>
      </c>
    </row>
    <row r="453" spans="1:35">
      <c r="A453" t="s">
        <v>945</v>
      </c>
      <c r="B453" t="s">
        <v>946</v>
      </c>
      <c r="C453">
        <v>28</v>
      </c>
      <c r="D453" t="s">
        <v>25</v>
      </c>
      <c r="E453" t="str">
        <f>IF(OR(Table2[[#This Row],[Gender]]="Male",Table2[[#This Row],[Gender]]="M"),"M",
IF(OR(Table2[[#This Row],[Gender]]="Female",Table2[[#This Row],[Gender]]="F"),"F",""))</f>
        <v>F</v>
      </c>
      <c r="F453" t="s">
        <v>35</v>
      </c>
      <c r="G453" t="s">
        <v>31</v>
      </c>
      <c r="H453" t="s">
        <v>1045</v>
      </c>
      <c r="I453" t="s">
        <v>1060</v>
      </c>
      <c r="J453" t="str">
        <f>IF(ISNUMBER(SEARCH("India",Table2[[#This Row],[Emp_Name]])),"INR",
IF(ISNUMBER(SEARCH("Foreign",Table2[[#This Row],[Emp_Name]])),Table2[[#This Row],[Currency]],Table2[[#This Row],[Currency]]))</f>
        <v>INR</v>
      </c>
      <c r="K453">
        <v>81000</v>
      </c>
      <c r="L453">
        <v>12</v>
      </c>
      <c r="M453">
        <f>IF(Table2[[#This Row],[Num_Month]]&lt;&gt;12,12,Table2[[#This Row],[Num_Month]])</f>
        <v>12</v>
      </c>
      <c r="N453">
        <f>IF(Table2[[#This Row],[Monthly_Salary]]="","",Table2[[#This Row],[Monthly_Salary]]*Table2[[#This Row],[Num_Month_Final]])</f>
        <v>972000</v>
      </c>
      <c r="O453">
        <v>6</v>
      </c>
      <c r="P453">
        <f>IF(Table2[[#This Row],[Exp_Years]]&lt;0,ABS(Table2[[#This Row],[Exp_Years]]),Table2[[#This Row],[Exp_Years]])</f>
        <v>6</v>
      </c>
      <c r="Q453">
        <v>3</v>
      </c>
      <c r="R453">
        <v>7000</v>
      </c>
      <c r="S453">
        <f>IF(Table2[[#This Row],[Performance_Rating]]&gt;=3,Table2[[#This Row],[Monthly_Salary]]*0.3,"")</f>
        <v>24300</v>
      </c>
      <c r="T453">
        <v>95</v>
      </c>
      <c r="U453">
        <v>15</v>
      </c>
      <c r="V453">
        <v>1</v>
      </c>
      <c r="W453" t="s">
        <v>21</v>
      </c>
      <c r="X453" t="s">
        <v>38</v>
      </c>
      <c r="Y453" t="str">
        <f>IF(Table2[[#This Row],[Work_Mode]]&lt;&gt;"",Table2[[#This Row],[Work_Mode]],
IF(ISNUMBER(SEARCH("India",Table2[[#This Row],[Emp_Name]])),"Office",
IF(ISNUMBER(SEARCH("Foreign",Table2[[#This Row],[Emp_Name]])),"Remote","")))</f>
        <v>Hybrid</v>
      </c>
      <c r="AA45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53" t="s">
        <v>22</v>
      </c>
      <c r="AC453" t="str">
        <f>IF(COUNTIF(Table2[Emp_ID],Table2[[#This Row],[Emp_ID]])&gt;1,"Duplicate","Unique")</f>
        <v>Unique</v>
      </c>
      <c r="AE453" s="2"/>
      <c r="AG453" t="str">
        <f>IF(Table2[[#This Row],[Monthly_Salary]]="","Exclude",
IF(Table2[[#This Row],[Row_Status]]="Mismatch","Exclude",
IF(AND(Table2[[#This Row],[Row_Status]]="Exact Duplicate",
COUNTIFS(Table2[Emp_ID],Table2[[#This Row],[Emp_ID]],Table2[Row_Concat],Table2[[#This Row],[Row_Concat]],
Table2[Row_Number],"&lt;"&amp;Table2[[#This Row],[Row_Number]])&gt;=1),"Delete","")))</f>
        <v/>
      </c>
      <c r="AH453" t="str">
        <f>VLOOKUP(Table2[[#This Row],[Department]],Raw_2!A:B,2,0)</f>
        <v>Night</v>
      </c>
      <c r="AI453">
        <f>VLOOKUP(Table2[[#This Row],[Department]],Raw_2!A:C,3,0)</f>
        <v>13</v>
      </c>
    </row>
    <row r="454" spans="1:35">
      <c r="A454" t="s">
        <v>947</v>
      </c>
      <c r="B454" t="s">
        <v>948</v>
      </c>
      <c r="C454">
        <v>24</v>
      </c>
      <c r="D454" t="s">
        <v>25</v>
      </c>
      <c r="E454" t="str">
        <f>IF(OR(Table2[[#This Row],[Gender]]="Male",Table2[[#This Row],[Gender]]="M"),"M",
IF(OR(Table2[[#This Row],[Gender]]="Female",Table2[[#This Row],[Gender]]="F"),"F",""))</f>
        <v>F</v>
      </c>
      <c r="F454" t="s">
        <v>64</v>
      </c>
      <c r="G454" t="s">
        <v>31</v>
      </c>
      <c r="H454" t="s">
        <v>43</v>
      </c>
      <c r="I454" t="s">
        <v>1060</v>
      </c>
      <c r="J454" t="str">
        <f>IF(ISNUMBER(SEARCH("India",Table2[[#This Row],[Emp_Name]])),"INR",
IF(ISNUMBER(SEARCH("Foreign",Table2[[#This Row],[Emp_Name]])),Table2[[#This Row],[Currency]],Table2[[#This Row],[Currency]]))</f>
        <v>INR</v>
      </c>
      <c r="K454">
        <v>24000</v>
      </c>
      <c r="L454">
        <v>12</v>
      </c>
      <c r="M454">
        <f>IF(Table2[[#This Row],[Num_Month]]&lt;&gt;12,12,Table2[[#This Row],[Num_Month]])</f>
        <v>12</v>
      </c>
      <c r="N454">
        <f>IF(Table2[[#This Row],[Monthly_Salary]]="","",Table2[[#This Row],[Monthly_Salary]]*Table2[[#This Row],[Num_Month_Final]])</f>
        <v>288000</v>
      </c>
      <c r="O454">
        <v>1</v>
      </c>
      <c r="P454">
        <f>IF(Table2[[#This Row],[Exp_Years]]&lt;0,ABS(Table2[[#This Row],[Exp_Years]]),Table2[[#This Row],[Exp_Years]])</f>
        <v>1</v>
      </c>
      <c r="Q454">
        <v>4</v>
      </c>
      <c r="R454">
        <v>13000</v>
      </c>
      <c r="S454">
        <f>IF(Table2[[#This Row],[Performance_Rating]]&gt;=3,Table2[[#This Row],[Monthly_Salary]]*0.3,"")</f>
        <v>7200</v>
      </c>
      <c r="T454">
        <v>88</v>
      </c>
      <c r="U454">
        <v>15</v>
      </c>
      <c r="V454">
        <v>5</v>
      </c>
      <c r="W454" t="s">
        <v>37</v>
      </c>
      <c r="X454" t="s">
        <v>19</v>
      </c>
      <c r="Y454" t="str">
        <f>IF(Table2[[#This Row],[Work_Mode]]&lt;&gt;"",Table2[[#This Row],[Work_Mode]],
IF(ISNUMBER(SEARCH("India",Table2[[#This Row],[Emp_Name]])),"Office",
IF(ISNUMBER(SEARCH("Foreign",Table2[[#This Row],[Emp_Name]])),"Remote","")))</f>
        <v>Office</v>
      </c>
      <c r="AA45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54" t="s">
        <v>22</v>
      </c>
      <c r="AC454" t="str">
        <f>IF(COUNTIF(Table2[Emp_ID],Table2[[#This Row],[Emp_ID]])&gt;1,"Duplicate","Unique")</f>
        <v>Unique</v>
      </c>
      <c r="AE454" s="2"/>
      <c r="AG454" t="str">
        <f>IF(Table2[[#This Row],[Monthly_Salary]]="","Exclude",
IF(Table2[[#This Row],[Row_Status]]="Mismatch","Exclude",
IF(AND(Table2[[#This Row],[Row_Status]]="Exact Duplicate",
COUNTIFS(Table2[Emp_ID],Table2[[#This Row],[Emp_ID]],Table2[Row_Concat],Table2[[#This Row],[Row_Concat]],
Table2[Row_Number],"&lt;"&amp;Table2[[#This Row],[Row_Number]])&gt;=1),"Delete","")))</f>
        <v/>
      </c>
      <c r="AH454" t="str">
        <f>VLOOKUP(Table2[[#This Row],[Department]],Raw_2!A:B,2,0)</f>
        <v>Night</v>
      </c>
      <c r="AI454">
        <f>VLOOKUP(Table2[[#This Row],[Department]],Raw_2!A:C,3,0)</f>
        <v>13</v>
      </c>
    </row>
    <row r="455" spans="1:35">
      <c r="A455" t="s">
        <v>949</v>
      </c>
      <c r="B455" t="s">
        <v>950</v>
      </c>
      <c r="C455">
        <v>24</v>
      </c>
      <c r="D455" t="s">
        <v>16</v>
      </c>
      <c r="E455" t="str">
        <f>IF(OR(Table2[[#This Row],[Gender]]="Male",Table2[[#This Row],[Gender]]="M"),"M",
IF(OR(Table2[[#This Row],[Gender]]="Female",Table2[[#This Row],[Gender]]="F"),"F",""))</f>
        <v>M</v>
      </c>
      <c r="F455" t="s">
        <v>26</v>
      </c>
      <c r="G455" t="s">
        <v>36</v>
      </c>
      <c r="H455" t="s">
        <v>43</v>
      </c>
      <c r="I455" t="s">
        <v>1060</v>
      </c>
      <c r="J455" t="str">
        <f>IF(ISNUMBER(SEARCH("India",Table2[[#This Row],[Emp_Name]])),"INR",
IF(ISNUMBER(SEARCH("Foreign",Table2[[#This Row],[Emp_Name]])),Table2[[#This Row],[Currency]],Table2[[#This Row],[Currency]]))</f>
        <v>INR</v>
      </c>
      <c r="K455">
        <v>27000</v>
      </c>
      <c r="L455">
        <v>12</v>
      </c>
      <c r="M455">
        <f>IF(Table2[[#This Row],[Num_Month]]&lt;&gt;12,12,Table2[[#This Row],[Num_Month]])</f>
        <v>12</v>
      </c>
      <c r="N455">
        <f>IF(Table2[[#This Row],[Monthly_Salary]]="","",Table2[[#This Row],[Monthly_Salary]]*Table2[[#This Row],[Num_Month_Final]])</f>
        <v>324000</v>
      </c>
      <c r="O455">
        <v>2</v>
      </c>
      <c r="P455">
        <f>IF(Table2[[#This Row],[Exp_Years]]&lt;0,ABS(Table2[[#This Row],[Exp_Years]]),Table2[[#This Row],[Exp_Years]])</f>
        <v>2</v>
      </c>
      <c r="Q455">
        <v>2</v>
      </c>
      <c r="S455" t="str">
        <f>IF(Table2[[#This Row],[Performance_Rating]]&gt;=3,Table2[[#This Row],[Monthly_Salary]]*0.3,"")</f>
        <v/>
      </c>
      <c r="T455">
        <v>90</v>
      </c>
      <c r="U455">
        <v>15</v>
      </c>
      <c r="V455">
        <v>5</v>
      </c>
      <c r="X455" t="s">
        <v>38</v>
      </c>
      <c r="Y455" t="str">
        <f>IF(Table2[[#This Row],[Work_Mode]]&lt;&gt;"",Table2[[#This Row],[Work_Mode]],
IF(ISNUMBER(SEARCH("India",Table2[[#This Row],[Emp_Name]])),"Office",
IF(ISNUMBER(SEARCH("Foreign",Table2[[#This Row],[Emp_Name]])),"Remote","")))</f>
        <v>Hybrid</v>
      </c>
      <c r="Z455">
        <v>5</v>
      </c>
      <c r="AA45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455" t="s">
        <v>39</v>
      </c>
      <c r="AC455" t="str">
        <f>IF(COUNTIF(Table2[Emp_ID],Table2[[#This Row],[Emp_ID]])&gt;1,"Duplicate","Unique")</f>
        <v>Unique</v>
      </c>
      <c r="AE455" s="2"/>
      <c r="AG455" t="str">
        <f>IF(Table2[[#This Row],[Monthly_Salary]]="","Exclude",
IF(Table2[[#This Row],[Row_Status]]="Mismatch","Exclude",
IF(AND(Table2[[#This Row],[Row_Status]]="Exact Duplicate",
COUNTIFS(Table2[Emp_ID],Table2[[#This Row],[Emp_ID]],Table2[Row_Concat],Table2[[#This Row],[Row_Concat]],
Table2[Row_Number],"&lt;"&amp;Table2[[#This Row],[Row_Number]])&gt;=1),"Delete","")))</f>
        <v/>
      </c>
      <c r="AH455" t="str">
        <f>VLOOKUP(Table2[[#This Row],[Department]],Raw_2!A:B,2,0)</f>
        <v>Day</v>
      </c>
      <c r="AI455">
        <f>VLOOKUP(Table2[[#This Row],[Department]],Raw_2!A:C,3,0)</f>
        <v>25</v>
      </c>
    </row>
    <row r="456" spans="1:35">
      <c r="A456" t="s">
        <v>951</v>
      </c>
      <c r="B456" t="s">
        <v>952</v>
      </c>
      <c r="C456">
        <v>33</v>
      </c>
      <c r="D456" t="s">
        <v>16</v>
      </c>
      <c r="E456" t="str">
        <f>IF(OR(Table2[[#This Row],[Gender]]="Male",Table2[[#This Row],[Gender]]="M"),"M",
IF(OR(Table2[[#This Row],[Gender]]="Female",Table2[[#This Row],[Gender]]="F"),"F",""))</f>
        <v>M</v>
      </c>
      <c r="F456" t="s">
        <v>47</v>
      </c>
      <c r="G456" t="s">
        <v>31</v>
      </c>
      <c r="H456" t="s">
        <v>82</v>
      </c>
      <c r="I456" t="s">
        <v>1060</v>
      </c>
      <c r="J456" t="str">
        <f>IF(ISNUMBER(SEARCH("India",Table2[[#This Row],[Emp_Name]])),"INR",
IF(ISNUMBER(SEARCH("Foreign",Table2[[#This Row],[Emp_Name]])),Table2[[#This Row],[Currency]],Table2[[#This Row],[Currency]]))</f>
        <v>INR</v>
      </c>
      <c r="K456">
        <v>80000</v>
      </c>
      <c r="L456">
        <v>12</v>
      </c>
      <c r="M456">
        <f>IF(Table2[[#This Row],[Num_Month]]&lt;&gt;12,12,Table2[[#This Row],[Num_Month]])</f>
        <v>12</v>
      </c>
      <c r="N456">
        <f>IF(Table2[[#This Row],[Monthly_Salary]]="","",Table2[[#This Row],[Monthly_Salary]]*Table2[[#This Row],[Num_Month_Final]])</f>
        <v>960000</v>
      </c>
      <c r="O456">
        <v>6</v>
      </c>
      <c r="P456">
        <f>IF(Table2[[#This Row],[Exp_Years]]&lt;0,ABS(Table2[[#This Row],[Exp_Years]]),Table2[[#This Row],[Exp_Years]])</f>
        <v>6</v>
      </c>
      <c r="Q456">
        <v>5</v>
      </c>
      <c r="R456">
        <v>34000</v>
      </c>
      <c r="S456">
        <f>IF(Table2[[#This Row],[Performance_Rating]]&gt;=3,Table2[[#This Row],[Monthly_Salary]]*0.3,"")</f>
        <v>24000</v>
      </c>
      <c r="T456">
        <v>80</v>
      </c>
      <c r="U456">
        <v>15</v>
      </c>
      <c r="V456">
        <v>8</v>
      </c>
      <c r="W456" t="s">
        <v>37</v>
      </c>
      <c r="X456" t="s">
        <v>38</v>
      </c>
      <c r="Y456" t="str">
        <f>IF(Table2[[#This Row],[Work_Mode]]&lt;&gt;"",Table2[[#This Row],[Work_Mode]],
IF(ISNUMBER(SEARCH("India",Table2[[#This Row],[Emp_Name]])),"Office",
IF(ISNUMBER(SEARCH("Foreign",Table2[[#This Row],[Emp_Name]])),"Remote","")))</f>
        <v>Hybrid</v>
      </c>
      <c r="AA45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56" t="s">
        <v>58</v>
      </c>
      <c r="AC456" t="str">
        <f>IF(COUNTIF(Table2[Emp_ID],Table2[[#This Row],[Emp_ID]])&gt;1,"Duplicate","Unique")</f>
        <v>Unique</v>
      </c>
      <c r="AE456" s="2"/>
      <c r="AG456" t="str">
        <f>IF(Table2[[#This Row],[Monthly_Salary]]="","Exclude",
IF(Table2[[#This Row],[Row_Status]]="Mismatch","Exclude",
IF(AND(Table2[[#This Row],[Row_Status]]="Exact Duplicate",
COUNTIFS(Table2[Emp_ID],Table2[[#This Row],[Emp_ID]],Table2[Row_Concat],Table2[[#This Row],[Row_Concat]],
Table2[Row_Number],"&lt;"&amp;Table2[[#This Row],[Row_Number]])&gt;=1),"Delete","")))</f>
        <v/>
      </c>
      <c r="AH456" t="str">
        <f>VLOOKUP(Table2[[#This Row],[Department]],Raw_2!A:B,2,0)</f>
        <v>Night</v>
      </c>
      <c r="AI456">
        <f>VLOOKUP(Table2[[#This Row],[Department]],Raw_2!A:C,3,0)</f>
        <v>13</v>
      </c>
    </row>
    <row r="457" spans="1:35">
      <c r="A457" t="s">
        <v>953</v>
      </c>
      <c r="B457" t="s">
        <v>954</v>
      </c>
      <c r="C457">
        <v>25</v>
      </c>
      <c r="D457" t="s">
        <v>34</v>
      </c>
      <c r="E457" t="str">
        <f>IF(OR(Table2[[#This Row],[Gender]]="Male",Table2[[#This Row],[Gender]]="M"),"M",
IF(OR(Table2[[#This Row],[Gender]]="Female",Table2[[#This Row],[Gender]]="F"),"F",""))</f>
        <v>F</v>
      </c>
      <c r="F457" t="s">
        <v>47</v>
      </c>
      <c r="G457" t="s">
        <v>42</v>
      </c>
      <c r="H457" t="s">
        <v>43</v>
      </c>
      <c r="I457" t="s">
        <v>1060</v>
      </c>
      <c r="J457" t="str">
        <f>IF(ISNUMBER(SEARCH("India",Table2[[#This Row],[Emp_Name]])),"INR",
IF(ISNUMBER(SEARCH("Foreign",Table2[[#This Row],[Emp_Name]])),Table2[[#This Row],[Currency]],Table2[[#This Row],[Currency]]))</f>
        <v>INR</v>
      </c>
      <c r="K457">
        <v>27000</v>
      </c>
      <c r="L457">
        <v>12</v>
      </c>
      <c r="M457">
        <f>IF(Table2[[#This Row],[Num_Month]]&lt;&gt;12,12,Table2[[#This Row],[Num_Month]])</f>
        <v>12</v>
      </c>
      <c r="N457">
        <f>IF(Table2[[#This Row],[Monthly_Salary]]="","",Table2[[#This Row],[Monthly_Salary]]*Table2[[#This Row],[Num_Month_Final]])</f>
        <v>324000</v>
      </c>
      <c r="O457">
        <v>2</v>
      </c>
      <c r="P457">
        <f>IF(Table2[[#This Row],[Exp_Years]]&lt;0,ABS(Table2[[#This Row],[Exp_Years]]),Table2[[#This Row],[Exp_Years]])</f>
        <v>2</v>
      </c>
      <c r="Q457">
        <v>1</v>
      </c>
      <c r="S457" t="str">
        <f>IF(Table2[[#This Row],[Performance_Rating]]&gt;=3,Table2[[#This Row],[Monthly_Salary]]*0.3,"")</f>
        <v/>
      </c>
      <c r="T457">
        <v>88</v>
      </c>
      <c r="U457">
        <v>15</v>
      </c>
      <c r="V457">
        <v>10</v>
      </c>
      <c r="W457" t="s">
        <v>21</v>
      </c>
      <c r="X457" t="s">
        <v>38</v>
      </c>
      <c r="Y457" t="str">
        <f>IF(Table2[[#This Row],[Work_Mode]]&lt;&gt;"",Table2[[#This Row],[Work_Mode]],
IF(ISNUMBER(SEARCH("India",Table2[[#This Row],[Emp_Name]])),"Office",
IF(ISNUMBER(SEARCH("Foreign",Table2[[#This Row],[Emp_Name]])),"Remote","")))</f>
        <v>Hybrid</v>
      </c>
      <c r="Z457">
        <v>5</v>
      </c>
      <c r="AA45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457" t="s">
        <v>39</v>
      </c>
      <c r="AC457" t="str">
        <f>IF(COUNTIF(Table2[Emp_ID],Table2[[#This Row],[Emp_ID]])&gt;1,"Duplicate","Unique")</f>
        <v>Unique</v>
      </c>
      <c r="AE457" s="2"/>
      <c r="AG457" t="str">
        <f>IF(Table2[[#This Row],[Monthly_Salary]]="","Exclude",
IF(Table2[[#This Row],[Row_Status]]="Mismatch","Exclude",
IF(AND(Table2[[#This Row],[Row_Status]]="Exact Duplicate",
COUNTIFS(Table2[Emp_ID],Table2[[#This Row],[Emp_ID]],Table2[Row_Concat],Table2[[#This Row],[Row_Concat]],
Table2[Row_Number],"&lt;"&amp;Table2[[#This Row],[Row_Number]])&gt;=1),"Delete","")))</f>
        <v/>
      </c>
      <c r="AH457" t="str">
        <f>VLOOKUP(Table2[[#This Row],[Department]],Raw_2!A:B,2,0)</f>
        <v>Day</v>
      </c>
      <c r="AI457">
        <f>VLOOKUP(Table2[[#This Row],[Department]],Raw_2!A:C,3,0)</f>
        <v>14</v>
      </c>
    </row>
    <row r="458" spans="1:35">
      <c r="A458" t="s">
        <v>955</v>
      </c>
      <c r="B458" t="s">
        <v>956</v>
      </c>
      <c r="C458">
        <v>36</v>
      </c>
      <c r="D458" t="s">
        <v>16</v>
      </c>
      <c r="E458" t="str">
        <f>IF(OR(Table2[[#This Row],[Gender]]="Male",Table2[[#This Row],[Gender]]="M"),"M",
IF(OR(Table2[[#This Row],[Gender]]="Female",Table2[[#This Row],[Gender]]="F"),"F",""))</f>
        <v>M</v>
      </c>
      <c r="F458" t="s">
        <v>73</v>
      </c>
      <c r="G458" t="s">
        <v>18</v>
      </c>
      <c r="H458" t="s">
        <v>82</v>
      </c>
      <c r="I458" t="s">
        <v>1060</v>
      </c>
      <c r="J458" t="str">
        <f>IF(ISNUMBER(SEARCH("India",Table2[[#This Row],[Emp_Name]])),"INR",
IF(ISNUMBER(SEARCH("Foreign",Table2[[#This Row],[Emp_Name]])),Table2[[#This Row],[Currency]],Table2[[#This Row],[Currency]]))</f>
        <v>INR</v>
      </c>
      <c r="K458">
        <v>80000</v>
      </c>
      <c r="L458">
        <v>12</v>
      </c>
      <c r="M458">
        <f>IF(Table2[[#This Row],[Num_Month]]&lt;&gt;12,12,Table2[[#This Row],[Num_Month]])</f>
        <v>12</v>
      </c>
      <c r="N458">
        <f>IF(Table2[[#This Row],[Monthly_Salary]]="","",Table2[[#This Row],[Monthly_Salary]]*Table2[[#This Row],[Num_Month_Final]])</f>
        <v>960000</v>
      </c>
      <c r="O458">
        <v>8</v>
      </c>
      <c r="P458">
        <f>IF(Table2[[#This Row],[Exp_Years]]&lt;0,ABS(Table2[[#This Row],[Exp_Years]]),Table2[[#This Row],[Exp_Years]])</f>
        <v>8</v>
      </c>
      <c r="Q458">
        <v>2</v>
      </c>
      <c r="S458" t="str">
        <f>IF(Table2[[#This Row],[Performance_Rating]]&gt;=3,Table2[[#This Row],[Monthly_Salary]]*0.3,"")</f>
        <v/>
      </c>
      <c r="T458">
        <v>90</v>
      </c>
      <c r="U458">
        <v>5</v>
      </c>
      <c r="V458">
        <v>1</v>
      </c>
      <c r="W458" t="s">
        <v>21</v>
      </c>
      <c r="X458" t="s">
        <v>38</v>
      </c>
      <c r="Y458" t="str">
        <f>IF(Table2[[#This Row],[Work_Mode]]&lt;&gt;"",Table2[[#This Row],[Work_Mode]],
IF(ISNUMBER(SEARCH("India",Table2[[#This Row],[Emp_Name]])),"Office",
IF(ISNUMBER(SEARCH("Foreign",Table2[[#This Row],[Emp_Name]])),"Remote","")))</f>
        <v>Hybrid</v>
      </c>
      <c r="AA45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58" t="s">
        <v>39</v>
      </c>
      <c r="AC458" t="str">
        <f>IF(COUNTIF(Table2[Emp_ID],Table2[[#This Row],[Emp_ID]])&gt;1,"Duplicate","Unique")</f>
        <v>Unique</v>
      </c>
      <c r="AE458" s="2"/>
      <c r="AG458" t="str">
        <f>IF(Table2[[#This Row],[Monthly_Salary]]="","Exclude",
IF(Table2[[#This Row],[Row_Status]]="Mismatch","Exclude",
IF(AND(Table2[[#This Row],[Row_Status]]="Exact Duplicate",
COUNTIFS(Table2[Emp_ID],Table2[[#This Row],[Emp_ID]],Table2[Row_Concat],Table2[[#This Row],[Row_Concat]],
Table2[Row_Number],"&lt;"&amp;Table2[[#This Row],[Row_Number]])&gt;=1),"Delete","")))</f>
        <v/>
      </c>
      <c r="AH458" t="str">
        <f>VLOOKUP(Table2[[#This Row],[Department]],Raw_2!A:B,2,0)</f>
        <v>Day</v>
      </c>
      <c r="AI458">
        <f>VLOOKUP(Table2[[#This Row],[Department]],Raw_2!A:C,3,0)</f>
        <v>10</v>
      </c>
    </row>
    <row r="459" spans="1:35">
      <c r="A459" t="s">
        <v>957</v>
      </c>
      <c r="B459" t="s">
        <v>958</v>
      </c>
      <c r="C459">
        <v>24</v>
      </c>
      <c r="D459" t="s">
        <v>34</v>
      </c>
      <c r="E459" t="str">
        <f>IF(OR(Table2[[#This Row],[Gender]]="Male",Table2[[#This Row],[Gender]]="M"),"M",
IF(OR(Table2[[#This Row],[Gender]]="Female",Table2[[#This Row],[Gender]]="F"),"F",""))</f>
        <v>F</v>
      </c>
      <c r="F459" t="s">
        <v>64</v>
      </c>
      <c r="G459" t="s">
        <v>31</v>
      </c>
      <c r="H459" t="s">
        <v>43</v>
      </c>
      <c r="I459" t="s">
        <v>1060</v>
      </c>
      <c r="J459" t="str">
        <f>IF(ISNUMBER(SEARCH("India",Table2[[#This Row],[Emp_Name]])),"INR",
IF(ISNUMBER(SEARCH("Foreign",Table2[[#This Row],[Emp_Name]])),Table2[[#This Row],[Currency]],Table2[[#This Row],[Currency]]))</f>
        <v>INR</v>
      </c>
      <c r="K459">
        <v>24000</v>
      </c>
      <c r="L459">
        <v>12</v>
      </c>
      <c r="M459">
        <f>IF(Table2[[#This Row],[Num_Month]]&lt;&gt;12,12,Table2[[#This Row],[Num_Month]])</f>
        <v>12</v>
      </c>
      <c r="N459">
        <f>IF(Table2[[#This Row],[Monthly_Salary]]="","",Table2[[#This Row],[Monthly_Salary]]*Table2[[#This Row],[Num_Month_Final]])</f>
        <v>288000</v>
      </c>
      <c r="O459">
        <v>1</v>
      </c>
      <c r="P459">
        <f>IF(Table2[[#This Row],[Exp_Years]]&lt;0,ABS(Table2[[#This Row],[Exp_Years]]),Table2[[#This Row],[Exp_Years]])</f>
        <v>1</v>
      </c>
      <c r="Q459">
        <v>1</v>
      </c>
      <c r="S459" t="str">
        <f>IF(Table2[[#This Row],[Performance_Rating]]&gt;=3,Table2[[#This Row],[Monthly_Salary]]*0.3,"")</f>
        <v/>
      </c>
      <c r="T459">
        <v>85</v>
      </c>
      <c r="U459">
        <v>10</v>
      </c>
      <c r="V459">
        <v>5</v>
      </c>
      <c r="W459" t="s">
        <v>21</v>
      </c>
      <c r="X459" t="s">
        <v>38</v>
      </c>
      <c r="Y459" t="str">
        <f>IF(Table2[[#This Row],[Work_Mode]]&lt;&gt;"",Table2[[#This Row],[Work_Mode]],
IF(ISNUMBER(SEARCH("India",Table2[[#This Row],[Emp_Name]])),"Office",
IF(ISNUMBER(SEARCH("Foreign",Table2[[#This Row],[Emp_Name]])),"Remote","")))</f>
        <v>Hybrid</v>
      </c>
      <c r="Z459">
        <v>10</v>
      </c>
      <c r="AA45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459" t="s">
        <v>39</v>
      </c>
      <c r="AC459" t="str">
        <f>IF(COUNTIF(Table2[Emp_ID],Table2[[#This Row],[Emp_ID]])&gt;1,"Duplicate","Unique")</f>
        <v>Unique</v>
      </c>
      <c r="AE459" s="2"/>
      <c r="AG459" t="str">
        <f>IF(Table2[[#This Row],[Monthly_Salary]]="","Exclude",
IF(Table2[[#This Row],[Row_Status]]="Mismatch","Exclude",
IF(AND(Table2[[#This Row],[Row_Status]]="Exact Duplicate",
COUNTIFS(Table2[Emp_ID],Table2[[#This Row],[Emp_ID]],Table2[Row_Concat],Table2[[#This Row],[Row_Concat]],
Table2[Row_Number],"&lt;"&amp;Table2[[#This Row],[Row_Number]])&gt;=1),"Delete","")))</f>
        <v/>
      </c>
      <c r="AH459" t="str">
        <f>VLOOKUP(Table2[[#This Row],[Department]],Raw_2!A:B,2,0)</f>
        <v>Night</v>
      </c>
      <c r="AI459">
        <f>VLOOKUP(Table2[[#This Row],[Department]],Raw_2!A:C,3,0)</f>
        <v>13</v>
      </c>
    </row>
    <row r="460" spans="1:35">
      <c r="A460" t="s">
        <v>959</v>
      </c>
      <c r="B460" t="s">
        <v>960</v>
      </c>
      <c r="C460">
        <v>25</v>
      </c>
      <c r="D460" t="s">
        <v>16</v>
      </c>
      <c r="E460" t="str">
        <f>IF(OR(Table2[[#This Row],[Gender]]="Male",Table2[[#This Row],[Gender]]="M"),"M",
IF(OR(Table2[[#This Row],[Gender]]="Female",Table2[[#This Row],[Gender]]="F"),"F",""))</f>
        <v>M</v>
      </c>
      <c r="F460" t="s">
        <v>65</v>
      </c>
      <c r="G460" t="s">
        <v>18</v>
      </c>
      <c r="H460" t="s">
        <v>1048</v>
      </c>
      <c r="I460" t="s">
        <v>1060</v>
      </c>
      <c r="J460" t="str">
        <f>IF(ISNUMBER(SEARCH("India",Table2[[#This Row],[Emp_Name]])),"INR",
IF(ISNUMBER(SEARCH("Foreign",Table2[[#This Row],[Emp_Name]])),Table2[[#This Row],[Currency]],Table2[[#This Row],[Currency]]))</f>
        <v>INR</v>
      </c>
      <c r="K460">
        <v>70500</v>
      </c>
      <c r="L460">
        <v>12</v>
      </c>
      <c r="M460">
        <f>IF(Table2[[#This Row],[Num_Month]]&lt;&gt;12,12,Table2[[#This Row],[Num_Month]])</f>
        <v>12</v>
      </c>
      <c r="N460">
        <f>IF(Table2[[#This Row],[Monthly_Salary]]="","",Table2[[#This Row],[Monthly_Salary]]*Table2[[#This Row],[Num_Month_Final]])</f>
        <v>846000</v>
      </c>
      <c r="O460">
        <v>5</v>
      </c>
      <c r="P460">
        <f>IF(Table2[[#This Row],[Exp_Years]]&lt;0,ABS(Table2[[#This Row],[Exp_Years]]),Table2[[#This Row],[Exp_Years]])</f>
        <v>5</v>
      </c>
      <c r="Q460">
        <v>4</v>
      </c>
      <c r="R460">
        <v>24000</v>
      </c>
      <c r="S460">
        <f>IF(Table2[[#This Row],[Performance_Rating]]&gt;=3,Table2[[#This Row],[Monthly_Salary]]*0.3,"")</f>
        <v>21150</v>
      </c>
      <c r="T460">
        <v>95</v>
      </c>
      <c r="U460">
        <v>10</v>
      </c>
      <c r="V460">
        <v>9</v>
      </c>
      <c r="W460" t="s">
        <v>21</v>
      </c>
      <c r="X460" t="s">
        <v>38</v>
      </c>
      <c r="Y460" t="str">
        <f>IF(Table2[[#This Row],[Work_Mode]]&lt;&gt;"",Table2[[#This Row],[Work_Mode]],
IF(ISNUMBER(SEARCH("India",Table2[[#This Row],[Emp_Name]])),"Office",
IF(ISNUMBER(SEARCH("Foreign",Table2[[#This Row],[Emp_Name]])),"Remote","")))</f>
        <v>Hybrid</v>
      </c>
      <c r="Z460">
        <v>20</v>
      </c>
      <c r="AA46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460" t="s">
        <v>58</v>
      </c>
      <c r="AC460" t="str">
        <f>IF(COUNTIF(Table2[Emp_ID],Table2[[#This Row],[Emp_ID]])&gt;1,"Duplicate","Unique")</f>
        <v>Unique</v>
      </c>
      <c r="AE460" s="2"/>
      <c r="AG460" t="str">
        <f>IF(Table2[[#This Row],[Monthly_Salary]]="","Exclude",
IF(Table2[[#This Row],[Row_Status]]="Mismatch","Exclude",
IF(AND(Table2[[#This Row],[Row_Status]]="Exact Duplicate",
COUNTIFS(Table2[Emp_ID],Table2[[#This Row],[Emp_ID]],Table2[Row_Concat],Table2[[#This Row],[Row_Concat]],
Table2[Row_Number],"&lt;"&amp;Table2[[#This Row],[Row_Number]])&gt;=1),"Delete","")))</f>
        <v/>
      </c>
      <c r="AH460" t="str">
        <f>VLOOKUP(Table2[[#This Row],[Department]],Raw_2!A:B,2,0)</f>
        <v>Day</v>
      </c>
      <c r="AI460">
        <f>VLOOKUP(Table2[[#This Row],[Department]],Raw_2!A:C,3,0)</f>
        <v>10</v>
      </c>
    </row>
    <row r="461" spans="1:35">
      <c r="A461" t="s">
        <v>961</v>
      </c>
      <c r="B461" t="s">
        <v>962</v>
      </c>
      <c r="C461">
        <v>24</v>
      </c>
      <c r="D461" t="s">
        <v>16</v>
      </c>
      <c r="E461" t="str">
        <f>IF(OR(Table2[[#This Row],[Gender]]="Male",Table2[[#This Row],[Gender]]="M"),"M",
IF(OR(Table2[[#This Row],[Gender]]="Female",Table2[[#This Row],[Gender]]="F"),"F",""))</f>
        <v>M</v>
      </c>
      <c r="F461" t="s">
        <v>64</v>
      </c>
      <c r="G461" t="s">
        <v>27</v>
      </c>
      <c r="H461" t="s">
        <v>43</v>
      </c>
      <c r="I461" t="s">
        <v>1060</v>
      </c>
      <c r="J461" t="str">
        <f>IF(ISNUMBER(SEARCH("India",Table2[[#This Row],[Emp_Name]])),"INR",
IF(ISNUMBER(SEARCH("Foreign",Table2[[#This Row],[Emp_Name]])),Table2[[#This Row],[Currency]],Table2[[#This Row],[Currency]]))</f>
        <v>INR</v>
      </c>
      <c r="K461">
        <v>29000</v>
      </c>
      <c r="L461">
        <v>12</v>
      </c>
      <c r="M461">
        <f>IF(Table2[[#This Row],[Num_Month]]&lt;&gt;12,12,Table2[[#This Row],[Num_Month]])</f>
        <v>12</v>
      </c>
      <c r="N461">
        <f>IF(Table2[[#This Row],[Monthly_Salary]]="","",Table2[[#This Row],[Monthly_Salary]]*Table2[[#This Row],[Num_Month_Final]])</f>
        <v>348000</v>
      </c>
      <c r="O461">
        <v>2</v>
      </c>
      <c r="P461">
        <f>IF(Table2[[#This Row],[Exp_Years]]&lt;0,ABS(Table2[[#This Row],[Exp_Years]]),Table2[[#This Row],[Exp_Years]])</f>
        <v>2</v>
      </c>
      <c r="Q461">
        <v>2</v>
      </c>
      <c r="S461" t="str">
        <f>IF(Table2[[#This Row],[Performance_Rating]]&gt;=3,Table2[[#This Row],[Monthly_Salary]]*0.3,"")</f>
        <v/>
      </c>
      <c r="T461">
        <v>80</v>
      </c>
      <c r="U461">
        <v>5</v>
      </c>
      <c r="V461">
        <v>5</v>
      </c>
      <c r="W461" t="s">
        <v>37</v>
      </c>
      <c r="X461" t="s">
        <v>38</v>
      </c>
      <c r="Y461" t="str">
        <f>IF(Table2[[#This Row],[Work_Mode]]&lt;&gt;"",Table2[[#This Row],[Work_Mode]],
IF(ISNUMBER(SEARCH("India",Table2[[#This Row],[Emp_Name]])),"Office",
IF(ISNUMBER(SEARCH("Foreign",Table2[[#This Row],[Emp_Name]])),"Remote","")))</f>
        <v>Hybrid</v>
      </c>
      <c r="AA46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61" t="s">
        <v>39</v>
      </c>
      <c r="AC461" t="str">
        <f>IF(COUNTIF(Table2[Emp_ID],Table2[[#This Row],[Emp_ID]])&gt;1,"Duplicate","Unique")</f>
        <v>Unique</v>
      </c>
      <c r="AE461" s="2"/>
      <c r="AG461" t="str">
        <f>IF(Table2[[#This Row],[Monthly_Salary]]="","Exclude",
IF(Table2[[#This Row],[Row_Status]]="Mismatch","Exclude",
IF(AND(Table2[[#This Row],[Row_Status]]="Exact Duplicate",
COUNTIFS(Table2[Emp_ID],Table2[[#This Row],[Emp_ID]],Table2[Row_Concat],Table2[[#This Row],[Row_Concat]],
Table2[Row_Number],"&lt;"&amp;Table2[[#This Row],[Row_Number]])&gt;=1),"Delete","")))</f>
        <v/>
      </c>
      <c r="AH461" t="str">
        <f>VLOOKUP(Table2[[#This Row],[Department]],Raw_2!A:B,2,0)</f>
        <v>Day</v>
      </c>
      <c r="AI461">
        <f>VLOOKUP(Table2[[#This Row],[Department]],Raw_2!A:C,3,0)</f>
        <v>12</v>
      </c>
    </row>
    <row r="462" spans="1:35">
      <c r="A462" t="s">
        <v>963</v>
      </c>
      <c r="B462" t="s">
        <v>964</v>
      </c>
      <c r="C462">
        <v>25</v>
      </c>
      <c r="D462" t="s">
        <v>34</v>
      </c>
      <c r="E462" t="str">
        <f>IF(OR(Table2[[#This Row],[Gender]]="Male",Table2[[#This Row],[Gender]]="M"),"M",
IF(OR(Table2[[#This Row],[Gender]]="Female",Table2[[#This Row],[Gender]]="F"),"F",""))</f>
        <v>F</v>
      </c>
      <c r="F462" t="s">
        <v>35</v>
      </c>
      <c r="G462" t="s">
        <v>18</v>
      </c>
      <c r="H462" t="s">
        <v>43</v>
      </c>
      <c r="I462" t="s">
        <v>1060</v>
      </c>
      <c r="J462" t="str">
        <f>IF(ISNUMBER(SEARCH("India",Table2[[#This Row],[Emp_Name]])),"INR",
IF(ISNUMBER(SEARCH("Foreign",Table2[[#This Row],[Emp_Name]])),Table2[[#This Row],[Currency]],Table2[[#This Row],[Currency]]))</f>
        <v>INR</v>
      </c>
      <c r="K462">
        <v>29000</v>
      </c>
      <c r="L462">
        <v>12</v>
      </c>
      <c r="M462">
        <f>IF(Table2[[#This Row],[Num_Month]]&lt;&gt;12,12,Table2[[#This Row],[Num_Month]])</f>
        <v>12</v>
      </c>
      <c r="N462">
        <f>IF(Table2[[#This Row],[Monthly_Salary]]="","",Table2[[#This Row],[Monthly_Salary]]*Table2[[#This Row],[Num_Month_Final]])</f>
        <v>348000</v>
      </c>
      <c r="O462">
        <v>2</v>
      </c>
      <c r="P462">
        <f>IF(Table2[[#This Row],[Exp_Years]]&lt;0,ABS(Table2[[#This Row],[Exp_Years]]),Table2[[#This Row],[Exp_Years]])</f>
        <v>2</v>
      </c>
      <c r="Q462">
        <v>2</v>
      </c>
      <c r="S462" t="str">
        <f>IF(Table2[[#This Row],[Performance_Rating]]&gt;=3,Table2[[#This Row],[Monthly_Salary]]*0.3,"")</f>
        <v/>
      </c>
      <c r="T462">
        <v>88</v>
      </c>
      <c r="U462">
        <v>5</v>
      </c>
      <c r="V462">
        <v>3</v>
      </c>
      <c r="X462" t="s">
        <v>38</v>
      </c>
      <c r="Y462" t="str">
        <f>IF(Table2[[#This Row],[Work_Mode]]&lt;&gt;"",Table2[[#This Row],[Work_Mode]],
IF(ISNUMBER(SEARCH("India",Table2[[#This Row],[Emp_Name]])),"Office",
IF(ISNUMBER(SEARCH("Foreign",Table2[[#This Row],[Emp_Name]])),"Remote","")))</f>
        <v>Hybrid</v>
      </c>
      <c r="Z462">
        <v>5</v>
      </c>
      <c r="AA46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462" t="s">
        <v>39</v>
      </c>
      <c r="AC462" t="str">
        <f>IF(COUNTIF(Table2[Emp_ID],Table2[[#This Row],[Emp_ID]])&gt;1,"Duplicate","Unique")</f>
        <v>Unique</v>
      </c>
      <c r="AE462" s="2"/>
      <c r="AG462" t="str">
        <f>IF(Table2[[#This Row],[Monthly_Salary]]="","Exclude",
IF(Table2[[#This Row],[Row_Status]]="Mismatch","Exclude",
IF(AND(Table2[[#This Row],[Row_Status]]="Exact Duplicate",
COUNTIFS(Table2[Emp_ID],Table2[[#This Row],[Emp_ID]],Table2[Row_Concat],Table2[[#This Row],[Row_Concat]],
Table2[Row_Number],"&lt;"&amp;Table2[[#This Row],[Row_Number]])&gt;=1),"Delete","")))</f>
        <v/>
      </c>
      <c r="AH462" t="str">
        <f>VLOOKUP(Table2[[#This Row],[Department]],Raw_2!A:B,2,0)</f>
        <v>Day</v>
      </c>
      <c r="AI462">
        <f>VLOOKUP(Table2[[#This Row],[Department]],Raw_2!A:C,3,0)</f>
        <v>10</v>
      </c>
    </row>
    <row r="463" spans="1:35">
      <c r="A463" t="s">
        <v>965</v>
      </c>
      <c r="B463" t="s">
        <v>966</v>
      </c>
      <c r="C463">
        <v>23</v>
      </c>
      <c r="E463" t="str">
        <f>IF(OR(Table2[[#This Row],[Gender]]="Male",Table2[[#This Row],[Gender]]="M"),"M",
IF(OR(Table2[[#This Row],[Gender]]="Female",Table2[[#This Row],[Gender]]="F"),"F",""))</f>
        <v/>
      </c>
      <c r="F463" t="s">
        <v>35</v>
      </c>
      <c r="G463" t="s">
        <v>66</v>
      </c>
      <c r="H463" t="s">
        <v>43</v>
      </c>
      <c r="I463" t="s">
        <v>1060</v>
      </c>
      <c r="J463" t="str">
        <f>IF(ISNUMBER(SEARCH("India",Table2[[#This Row],[Emp_Name]])),"INR",
IF(ISNUMBER(SEARCH("Foreign",Table2[[#This Row],[Emp_Name]])),Table2[[#This Row],[Currency]],Table2[[#This Row],[Currency]]))</f>
        <v>INR</v>
      </c>
      <c r="K463">
        <v>24000</v>
      </c>
      <c r="L463">
        <v>12</v>
      </c>
      <c r="M463">
        <f>IF(Table2[[#This Row],[Num_Month]]&lt;&gt;12,12,Table2[[#This Row],[Num_Month]])</f>
        <v>12</v>
      </c>
      <c r="N463">
        <f>IF(Table2[[#This Row],[Monthly_Salary]]="","",Table2[[#This Row],[Monthly_Salary]]*Table2[[#This Row],[Num_Month_Final]])</f>
        <v>288000</v>
      </c>
      <c r="O463">
        <v>1</v>
      </c>
      <c r="P463">
        <f>IF(Table2[[#This Row],[Exp_Years]]&lt;0,ABS(Table2[[#This Row],[Exp_Years]]),Table2[[#This Row],[Exp_Years]])</f>
        <v>1</v>
      </c>
      <c r="Q463">
        <v>2</v>
      </c>
      <c r="S463" t="str">
        <f>IF(Table2[[#This Row],[Performance_Rating]]&gt;=3,Table2[[#This Row],[Monthly_Salary]]*0.3,"")</f>
        <v/>
      </c>
      <c r="T463">
        <v>85</v>
      </c>
      <c r="U463">
        <v>15</v>
      </c>
      <c r="V463">
        <v>1</v>
      </c>
      <c r="W463" t="s">
        <v>21</v>
      </c>
      <c r="X463" t="s">
        <v>38</v>
      </c>
      <c r="Y463" t="str">
        <f>IF(Table2[[#This Row],[Work_Mode]]&lt;&gt;"",Table2[[#This Row],[Work_Mode]],
IF(ISNUMBER(SEARCH("India",Table2[[#This Row],[Emp_Name]])),"Office",
IF(ISNUMBER(SEARCH("Foreign",Table2[[#This Row],[Emp_Name]])),"Remote","")))</f>
        <v>Hybrid</v>
      </c>
      <c r="Z463">
        <v>20</v>
      </c>
      <c r="AA46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463" t="s">
        <v>39</v>
      </c>
      <c r="AC463" t="str">
        <f>IF(COUNTIF(Table2[Emp_ID],Table2[[#This Row],[Emp_ID]])&gt;1,"Duplicate","Unique")</f>
        <v>Unique</v>
      </c>
      <c r="AE463" s="2"/>
      <c r="AG463" t="str">
        <f>IF(Table2[[#This Row],[Monthly_Salary]]="","Exclude",
IF(Table2[[#This Row],[Row_Status]]="Mismatch","Exclude",
IF(AND(Table2[[#This Row],[Row_Status]]="Exact Duplicate",
COUNTIFS(Table2[Emp_ID],Table2[[#This Row],[Emp_ID]],Table2[Row_Concat],Table2[[#This Row],[Row_Concat]],
Table2[Row_Number],"&lt;"&amp;Table2[[#This Row],[Row_Number]])&gt;=1),"Delete","")))</f>
        <v/>
      </c>
      <c r="AH463" t="str">
        <f>VLOOKUP(Table2[[#This Row],[Department]],Raw_2!A:B,2,0)</f>
        <v>Night</v>
      </c>
      <c r="AI463">
        <f>VLOOKUP(Table2[[#This Row],[Department]],Raw_2!A:C,3,0)</f>
        <v>20</v>
      </c>
    </row>
    <row r="464" spans="1:35">
      <c r="A464" t="s">
        <v>967</v>
      </c>
      <c r="B464" t="s">
        <v>968</v>
      </c>
      <c r="C464">
        <v>24</v>
      </c>
      <c r="D464" t="s">
        <v>16</v>
      </c>
      <c r="E464" t="str">
        <f>IF(OR(Table2[[#This Row],[Gender]]="Male",Table2[[#This Row],[Gender]]="M"),"M",
IF(OR(Table2[[#This Row],[Gender]]="Female",Table2[[#This Row],[Gender]]="F"),"F",""))</f>
        <v>M</v>
      </c>
      <c r="F464" t="s">
        <v>50</v>
      </c>
      <c r="G464" t="s">
        <v>27</v>
      </c>
      <c r="H464" t="s">
        <v>43</v>
      </c>
      <c r="I464" t="s">
        <v>1060</v>
      </c>
      <c r="J464" t="str">
        <f>IF(ISNUMBER(SEARCH("India",Table2[[#This Row],[Emp_Name]])),"INR",
IF(ISNUMBER(SEARCH("Foreign",Table2[[#This Row],[Emp_Name]])),Table2[[#This Row],[Currency]],Table2[[#This Row],[Currency]]))</f>
        <v>INR</v>
      </c>
      <c r="K464">
        <v>29000</v>
      </c>
      <c r="L464">
        <v>12</v>
      </c>
      <c r="M464">
        <f>IF(Table2[[#This Row],[Num_Month]]&lt;&gt;12,12,Table2[[#This Row],[Num_Month]])</f>
        <v>12</v>
      </c>
      <c r="N464">
        <f>IF(Table2[[#This Row],[Monthly_Salary]]="","",Table2[[#This Row],[Monthly_Salary]]*Table2[[#This Row],[Num_Month_Final]])</f>
        <v>348000</v>
      </c>
      <c r="O464">
        <v>2</v>
      </c>
      <c r="P464">
        <f>IF(Table2[[#This Row],[Exp_Years]]&lt;0,ABS(Table2[[#This Row],[Exp_Years]]),Table2[[#This Row],[Exp_Years]])</f>
        <v>2</v>
      </c>
      <c r="Q464">
        <v>2</v>
      </c>
      <c r="S464" t="str">
        <f>IF(Table2[[#This Row],[Performance_Rating]]&gt;=3,Table2[[#This Row],[Monthly_Salary]]*0.3,"")</f>
        <v/>
      </c>
      <c r="T464">
        <v>85</v>
      </c>
      <c r="U464">
        <v>10</v>
      </c>
      <c r="V464">
        <v>3</v>
      </c>
      <c r="W464" t="s">
        <v>21</v>
      </c>
      <c r="X464" t="s">
        <v>38</v>
      </c>
      <c r="Y464" t="str">
        <f>IF(Table2[[#This Row],[Work_Mode]]&lt;&gt;"",Table2[[#This Row],[Work_Mode]],
IF(ISNUMBER(SEARCH("India",Table2[[#This Row],[Emp_Name]])),"Office",
IF(ISNUMBER(SEARCH("Foreign",Table2[[#This Row],[Emp_Name]])),"Remote","")))</f>
        <v>Hybrid</v>
      </c>
      <c r="AA46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64" t="s">
        <v>39</v>
      </c>
      <c r="AC464" t="str">
        <f>IF(COUNTIF(Table2[Emp_ID],Table2[[#This Row],[Emp_ID]])&gt;1,"Duplicate","Unique")</f>
        <v>Unique</v>
      </c>
      <c r="AE464" s="2"/>
      <c r="AG464" t="str">
        <f>IF(Table2[[#This Row],[Monthly_Salary]]="","Exclude",
IF(Table2[[#This Row],[Row_Status]]="Mismatch","Exclude",
IF(AND(Table2[[#This Row],[Row_Status]]="Exact Duplicate",
COUNTIFS(Table2[Emp_ID],Table2[[#This Row],[Emp_ID]],Table2[Row_Concat],Table2[[#This Row],[Row_Concat]],
Table2[Row_Number],"&lt;"&amp;Table2[[#This Row],[Row_Number]])&gt;=1),"Delete","")))</f>
        <v/>
      </c>
      <c r="AH464" t="str">
        <f>VLOOKUP(Table2[[#This Row],[Department]],Raw_2!A:B,2,0)</f>
        <v>Day</v>
      </c>
      <c r="AI464">
        <f>VLOOKUP(Table2[[#This Row],[Department]],Raw_2!A:C,3,0)</f>
        <v>12</v>
      </c>
    </row>
    <row r="465" spans="1:35">
      <c r="A465" t="s">
        <v>969</v>
      </c>
      <c r="B465" t="s">
        <v>970</v>
      </c>
      <c r="C465">
        <v>25</v>
      </c>
      <c r="D465" t="s">
        <v>34</v>
      </c>
      <c r="E465" t="str">
        <f>IF(OR(Table2[[#This Row],[Gender]]="Male",Table2[[#This Row],[Gender]]="M"),"M",
IF(OR(Table2[[#This Row],[Gender]]="Female",Table2[[#This Row],[Gender]]="F"),"F",""))</f>
        <v>F</v>
      </c>
      <c r="F465" t="s">
        <v>65</v>
      </c>
      <c r="G465" t="s">
        <v>42</v>
      </c>
      <c r="H465" t="s">
        <v>43</v>
      </c>
      <c r="I465" t="s">
        <v>1060</v>
      </c>
      <c r="J465" t="str">
        <f>IF(ISNUMBER(SEARCH("India",Table2[[#This Row],[Emp_Name]])),"INR",
IF(ISNUMBER(SEARCH("Foreign",Table2[[#This Row],[Emp_Name]])),Table2[[#This Row],[Currency]],Table2[[#This Row],[Currency]]))</f>
        <v>INR</v>
      </c>
      <c r="K465">
        <v>22500</v>
      </c>
      <c r="L465">
        <v>12</v>
      </c>
      <c r="M465">
        <f>IF(Table2[[#This Row],[Num_Month]]&lt;&gt;12,12,Table2[[#This Row],[Num_Month]])</f>
        <v>12</v>
      </c>
      <c r="N465">
        <f>IF(Table2[[#This Row],[Monthly_Salary]]="","",Table2[[#This Row],[Monthly_Salary]]*Table2[[#This Row],[Num_Month_Final]])</f>
        <v>270000</v>
      </c>
      <c r="O465">
        <v>1</v>
      </c>
      <c r="P465">
        <f>IF(Table2[[#This Row],[Exp_Years]]&lt;0,ABS(Table2[[#This Row],[Exp_Years]]),Table2[[#This Row],[Exp_Years]])</f>
        <v>1</v>
      </c>
      <c r="Q465">
        <v>1</v>
      </c>
      <c r="S465" t="str">
        <f>IF(Table2[[#This Row],[Performance_Rating]]&gt;=3,Table2[[#This Row],[Monthly_Salary]]*0.3,"")</f>
        <v/>
      </c>
      <c r="T465">
        <v>80</v>
      </c>
      <c r="U465">
        <v>15</v>
      </c>
      <c r="V465">
        <v>4</v>
      </c>
      <c r="X465" t="s">
        <v>38</v>
      </c>
      <c r="Y465" t="str">
        <f>IF(Table2[[#This Row],[Work_Mode]]&lt;&gt;"",Table2[[#This Row],[Work_Mode]],
IF(ISNUMBER(SEARCH("India",Table2[[#This Row],[Emp_Name]])),"Office",
IF(ISNUMBER(SEARCH("Foreign",Table2[[#This Row],[Emp_Name]])),"Remote","")))</f>
        <v>Hybrid</v>
      </c>
      <c r="Z465">
        <v>5</v>
      </c>
      <c r="AA46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465" t="s">
        <v>39</v>
      </c>
      <c r="AC465" t="str">
        <f>IF(COUNTIF(Table2[Emp_ID],Table2[[#This Row],[Emp_ID]])&gt;1,"Duplicate","Unique")</f>
        <v>Unique</v>
      </c>
      <c r="AE465" s="2"/>
      <c r="AG465" t="str">
        <f>IF(Table2[[#This Row],[Monthly_Salary]]="","Exclude",
IF(Table2[[#This Row],[Row_Status]]="Mismatch","Exclude",
IF(AND(Table2[[#This Row],[Row_Status]]="Exact Duplicate",
COUNTIFS(Table2[Emp_ID],Table2[[#This Row],[Emp_ID]],Table2[Row_Concat],Table2[[#This Row],[Row_Concat]],
Table2[Row_Number],"&lt;"&amp;Table2[[#This Row],[Row_Number]])&gt;=1),"Delete","")))</f>
        <v/>
      </c>
      <c r="AH465" t="str">
        <f>VLOOKUP(Table2[[#This Row],[Department]],Raw_2!A:B,2,0)</f>
        <v>Day</v>
      </c>
      <c r="AI465">
        <f>VLOOKUP(Table2[[#This Row],[Department]],Raw_2!A:C,3,0)</f>
        <v>14</v>
      </c>
    </row>
    <row r="466" spans="1:35">
      <c r="A466" t="s">
        <v>971</v>
      </c>
      <c r="B466" t="s">
        <v>972</v>
      </c>
      <c r="C466">
        <v>25</v>
      </c>
      <c r="D466" t="s">
        <v>25</v>
      </c>
      <c r="E466" t="str">
        <f>IF(OR(Table2[[#This Row],[Gender]]="Male",Table2[[#This Row],[Gender]]="M"),"M",
IF(OR(Table2[[#This Row],[Gender]]="Female",Table2[[#This Row],[Gender]]="F"),"F",""))</f>
        <v>F</v>
      </c>
      <c r="F466" t="s">
        <v>26</v>
      </c>
      <c r="G466" t="s">
        <v>27</v>
      </c>
      <c r="H466" t="s">
        <v>1048</v>
      </c>
      <c r="I466" t="s">
        <v>1060</v>
      </c>
      <c r="J466" t="str">
        <f>IF(ISNUMBER(SEARCH("India",Table2[[#This Row],[Emp_Name]])),"INR",
IF(ISNUMBER(SEARCH("Foreign",Table2[[#This Row],[Emp_Name]])),Table2[[#This Row],[Currency]],Table2[[#This Row],[Currency]]))</f>
        <v>INR</v>
      </c>
      <c r="K466">
        <v>60000</v>
      </c>
      <c r="L466">
        <v>12</v>
      </c>
      <c r="M466">
        <f>IF(Table2[[#This Row],[Num_Month]]&lt;&gt;12,12,Table2[[#This Row],[Num_Month]])</f>
        <v>12</v>
      </c>
      <c r="N466">
        <f>IF(Table2[[#This Row],[Monthly_Salary]]="","",Table2[[#This Row],[Monthly_Salary]]*Table2[[#This Row],[Num_Month_Final]])</f>
        <v>720000</v>
      </c>
      <c r="O466">
        <v>4</v>
      </c>
      <c r="P466">
        <f>IF(Table2[[#This Row],[Exp_Years]]&lt;0,ABS(Table2[[#This Row],[Exp_Years]]),Table2[[#This Row],[Exp_Years]])</f>
        <v>4</v>
      </c>
      <c r="Q466">
        <v>4</v>
      </c>
      <c r="R466">
        <v>24000</v>
      </c>
      <c r="S466">
        <f>IF(Table2[[#This Row],[Performance_Rating]]&gt;=3,Table2[[#This Row],[Monthly_Salary]]*0.3,"")</f>
        <v>18000</v>
      </c>
      <c r="T466">
        <v>95</v>
      </c>
      <c r="U466">
        <v>10</v>
      </c>
      <c r="V466">
        <v>1</v>
      </c>
      <c r="W466" t="s">
        <v>37</v>
      </c>
      <c r="X466" t="s">
        <v>28</v>
      </c>
      <c r="Y466" t="str">
        <f>IF(Table2[[#This Row],[Work_Mode]]&lt;&gt;"",Table2[[#This Row],[Work_Mode]],
IF(ISNUMBER(SEARCH("India",Table2[[#This Row],[Emp_Name]])),"Office",
IF(ISNUMBER(SEARCH("Foreign",Table2[[#This Row],[Emp_Name]])),"Remote","")))</f>
        <v>Remote</v>
      </c>
      <c r="Z466">
        <v>20</v>
      </c>
      <c r="AA46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466" t="s">
        <v>58</v>
      </c>
      <c r="AC466" t="str">
        <f>IF(COUNTIF(Table2[Emp_ID],Table2[[#This Row],[Emp_ID]])&gt;1,"Duplicate","Unique")</f>
        <v>Unique</v>
      </c>
      <c r="AE466" s="2"/>
      <c r="AG466" t="str">
        <f>IF(Table2[[#This Row],[Monthly_Salary]]="","Exclude",
IF(Table2[[#This Row],[Row_Status]]="Mismatch","Exclude",
IF(AND(Table2[[#This Row],[Row_Status]]="Exact Duplicate",
COUNTIFS(Table2[Emp_ID],Table2[[#This Row],[Emp_ID]],Table2[Row_Concat],Table2[[#This Row],[Row_Concat]],
Table2[Row_Number],"&lt;"&amp;Table2[[#This Row],[Row_Number]])&gt;=1),"Delete","")))</f>
        <v/>
      </c>
      <c r="AH466" t="str">
        <f>VLOOKUP(Table2[[#This Row],[Department]],Raw_2!A:B,2,0)</f>
        <v>Day</v>
      </c>
      <c r="AI466">
        <f>VLOOKUP(Table2[[#This Row],[Department]],Raw_2!A:C,3,0)</f>
        <v>12</v>
      </c>
    </row>
    <row r="467" spans="1:35">
      <c r="A467" t="s">
        <v>973</v>
      </c>
      <c r="B467" t="s">
        <v>974</v>
      </c>
      <c r="C467">
        <v>25</v>
      </c>
      <c r="E467" t="str">
        <f>IF(OR(Table2[[#This Row],[Gender]]="Male",Table2[[#This Row],[Gender]]="M"),"M",
IF(OR(Table2[[#This Row],[Gender]]="Female",Table2[[#This Row],[Gender]]="F"),"F",""))</f>
        <v/>
      </c>
      <c r="F467" t="s">
        <v>26</v>
      </c>
      <c r="G467" t="s">
        <v>18</v>
      </c>
      <c r="H467" t="s">
        <v>43</v>
      </c>
      <c r="I467" t="s">
        <v>1060</v>
      </c>
      <c r="J467" t="str">
        <f>IF(ISNUMBER(SEARCH("India",Table2[[#This Row],[Emp_Name]])),"INR",
IF(ISNUMBER(SEARCH("Foreign",Table2[[#This Row],[Emp_Name]])),Table2[[#This Row],[Currency]],Table2[[#This Row],[Currency]]))</f>
        <v>INR</v>
      </c>
      <c r="K467">
        <v>29000</v>
      </c>
      <c r="L467">
        <v>12</v>
      </c>
      <c r="M467">
        <f>IF(Table2[[#This Row],[Num_Month]]&lt;&gt;12,12,Table2[[#This Row],[Num_Month]])</f>
        <v>12</v>
      </c>
      <c r="N467">
        <f>IF(Table2[[#This Row],[Monthly_Salary]]="","",Table2[[#This Row],[Monthly_Salary]]*Table2[[#This Row],[Num_Month_Final]])</f>
        <v>348000</v>
      </c>
      <c r="O467">
        <v>2</v>
      </c>
      <c r="P467">
        <f>IF(Table2[[#This Row],[Exp_Years]]&lt;0,ABS(Table2[[#This Row],[Exp_Years]]),Table2[[#This Row],[Exp_Years]])</f>
        <v>2</v>
      </c>
      <c r="Q467">
        <v>2</v>
      </c>
      <c r="S467" t="str">
        <f>IF(Table2[[#This Row],[Performance_Rating]]&gt;=3,Table2[[#This Row],[Monthly_Salary]]*0.3,"")</f>
        <v/>
      </c>
      <c r="T467">
        <v>85</v>
      </c>
      <c r="U467">
        <v>5</v>
      </c>
      <c r="V467">
        <v>2</v>
      </c>
      <c r="W467" t="s">
        <v>37</v>
      </c>
      <c r="X467" t="s">
        <v>38</v>
      </c>
      <c r="Y467" t="str">
        <f>IF(Table2[[#This Row],[Work_Mode]]&lt;&gt;"",Table2[[#This Row],[Work_Mode]],
IF(ISNUMBER(SEARCH("India",Table2[[#This Row],[Emp_Name]])),"Office",
IF(ISNUMBER(SEARCH("Foreign",Table2[[#This Row],[Emp_Name]])),"Remote","")))</f>
        <v>Hybrid</v>
      </c>
      <c r="Z467">
        <v>5</v>
      </c>
      <c r="AA46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467" t="s">
        <v>39</v>
      </c>
      <c r="AC467" t="str">
        <f>IF(COUNTIF(Table2[Emp_ID],Table2[[#This Row],[Emp_ID]])&gt;1,"Duplicate","Unique")</f>
        <v>Unique</v>
      </c>
      <c r="AE467" s="2"/>
      <c r="AG467" t="str">
        <f>IF(Table2[[#This Row],[Monthly_Salary]]="","Exclude",
IF(Table2[[#This Row],[Row_Status]]="Mismatch","Exclude",
IF(AND(Table2[[#This Row],[Row_Status]]="Exact Duplicate",
COUNTIFS(Table2[Emp_ID],Table2[[#This Row],[Emp_ID]],Table2[Row_Concat],Table2[[#This Row],[Row_Concat]],
Table2[Row_Number],"&lt;"&amp;Table2[[#This Row],[Row_Number]])&gt;=1),"Delete","")))</f>
        <v/>
      </c>
      <c r="AH467" t="str">
        <f>VLOOKUP(Table2[[#This Row],[Department]],Raw_2!A:B,2,0)</f>
        <v>Day</v>
      </c>
      <c r="AI467">
        <f>VLOOKUP(Table2[[#This Row],[Department]],Raw_2!A:C,3,0)</f>
        <v>10</v>
      </c>
    </row>
    <row r="468" spans="1:35">
      <c r="A468" t="s">
        <v>975</v>
      </c>
      <c r="B468" t="s">
        <v>976</v>
      </c>
      <c r="C468">
        <v>24</v>
      </c>
      <c r="D468" t="s">
        <v>25</v>
      </c>
      <c r="E468" t="str">
        <f>IF(OR(Table2[[#This Row],[Gender]]="Male",Table2[[#This Row],[Gender]]="M"),"M",
IF(OR(Table2[[#This Row],[Gender]]="Female",Table2[[#This Row],[Gender]]="F"),"F",""))</f>
        <v>F</v>
      </c>
      <c r="F468" t="s">
        <v>73</v>
      </c>
      <c r="G468" t="s">
        <v>27</v>
      </c>
      <c r="H468" t="s">
        <v>43</v>
      </c>
      <c r="I468" t="s">
        <v>1060</v>
      </c>
      <c r="J468" t="str">
        <f>IF(ISNUMBER(SEARCH("India",Table2[[#This Row],[Emp_Name]])),"INR",
IF(ISNUMBER(SEARCH("Foreign",Table2[[#This Row],[Emp_Name]])),Table2[[#This Row],[Currency]],Table2[[#This Row],[Currency]]))</f>
        <v>INR</v>
      </c>
      <c r="K468">
        <v>29000</v>
      </c>
      <c r="L468">
        <v>12</v>
      </c>
      <c r="M468">
        <f>IF(Table2[[#This Row],[Num_Month]]&lt;&gt;12,12,Table2[[#This Row],[Num_Month]])</f>
        <v>12</v>
      </c>
      <c r="N468">
        <f>IF(Table2[[#This Row],[Monthly_Salary]]="","",Table2[[#This Row],[Monthly_Salary]]*Table2[[#This Row],[Num_Month_Final]])</f>
        <v>348000</v>
      </c>
      <c r="O468">
        <v>2</v>
      </c>
      <c r="P468">
        <f>IF(Table2[[#This Row],[Exp_Years]]&lt;0,ABS(Table2[[#This Row],[Exp_Years]]),Table2[[#This Row],[Exp_Years]])</f>
        <v>2</v>
      </c>
      <c r="Q468">
        <v>1</v>
      </c>
      <c r="S468" t="str">
        <f>IF(Table2[[#This Row],[Performance_Rating]]&gt;=3,Table2[[#This Row],[Monthly_Salary]]*0.3,"")</f>
        <v/>
      </c>
      <c r="T468">
        <v>80</v>
      </c>
      <c r="U468">
        <v>10</v>
      </c>
      <c r="V468">
        <v>3</v>
      </c>
      <c r="W468" t="s">
        <v>21</v>
      </c>
      <c r="X468" t="s">
        <v>38</v>
      </c>
      <c r="Y468" t="str">
        <f>IF(Table2[[#This Row],[Work_Mode]]&lt;&gt;"",Table2[[#This Row],[Work_Mode]],
IF(ISNUMBER(SEARCH("India",Table2[[#This Row],[Emp_Name]])),"Office",
IF(ISNUMBER(SEARCH("Foreign",Table2[[#This Row],[Emp_Name]])),"Remote","")))</f>
        <v>Hybrid</v>
      </c>
      <c r="Z468">
        <v>20</v>
      </c>
      <c r="AA46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468" t="s">
        <v>39</v>
      </c>
      <c r="AC468" t="str">
        <f>IF(COUNTIF(Table2[Emp_ID],Table2[[#This Row],[Emp_ID]])&gt;1,"Duplicate","Unique")</f>
        <v>Unique</v>
      </c>
      <c r="AE468" s="2"/>
      <c r="AG468" t="str">
        <f>IF(Table2[[#This Row],[Monthly_Salary]]="","Exclude",
IF(Table2[[#This Row],[Row_Status]]="Mismatch","Exclude",
IF(AND(Table2[[#This Row],[Row_Status]]="Exact Duplicate",
COUNTIFS(Table2[Emp_ID],Table2[[#This Row],[Emp_ID]],Table2[Row_Concat],Table2[[#This Row],[Row_Concat]],
Table2[Row_Number],"&lt;"&amp;Table2[[#This Row],[Row_Number]])&gt;=1),"Delete","")))</f>
        <v/>
      </c>
      <c r="AH468" t="str">
        <f>VLOOKUP(Table2[[#This Row],[Department]],Raw_2!A:B,2,0)</f>
        <v>Day</v>
      </c>
      <c r="AI468">
        <f>VLOOKUP(Table2[[#This Row],[Department]],Raw_2!A:C,3,0)</f>
        <v>12</v>
      </c>
    </row>
    <row r="469" spans="1:35">
      <c r="A469" t="s">
        <v>977</v>
      </c>
      <c r="B469" t="s">
        <v>978</v>
      </c>
      <c r="C469">
        <v>25</v>
      </c>
      <c r="D469" t="s">
        <v>46</v>
      </c>
      <c r="E469" t="str">
        <f>IF(OR(Table2[[#This Row],[Gender]]="Male",Table2[[#This Row],[Gender]]="M"),"M",
IF(OR(Table2[[#This Row],[Gender]]="Female",Table2[[#This Row],[Gender]]="F"),"F",""))</f>
        <v>M</v>
      </c>
      <c r="F469" t="s">
        <v>57</v>
      </c>
      <c r="G469" t="s">
        <v>18</v>
      </c>
      <c r="H469" t="s">
        <v>43</v>
      </c>
      <c r="I469" t="s">
        <v>1059</v>
      </c>
      <c r="J469" t="str">
        <f>IF(ISNUMBER(SEARCH("India",Table2[[#This Row],[Emp_Name]])),"INR",
IF(ISNUMBER(SEARCH("Foreign",Table2[[#This Row],[Emp_Name]])),Table2[[#This Row],[Currency]],Table2[[#This Row],[Currency]]))</f>
        <v>USD</v>
      </c>
      <c r="K469">
        <v>29000</v>
      </c>
      <c r="L469">
        <v>12</v>
      </c>
      <c r="M469">
        <f>IF(Table2[[#This Row],[Num_Month]]&lt;&gt;12,12,Table2[[#This Row],[Num_Month]])</f>
        <v>12</v>
      </c>
      <c r="N469">
        <f>IF(Table2[[#This Row],[Monthly_Salary]]="","",Table2[[#This Row],[Monthly_Salary]]*Table2[[#This Row],[Num_Month_Final]])</f>
        <v>348000</v>
      </c>
      <c r="O469">
        <v>2</v>
      </c>
      <c r="P469">
        <f>IF(Table2[[#This Row],[Exp_Years]]&lt;0,ABS(Table2[[#This Row],[Exp_Years]]),Table2[[#This Row],[Exp_Years]])</f>
        <v>2</v>
      </c>
      <c r="Q469">
        <v>5</v>
      </c>
      <c r="R469">
        <v>20000</v>
      </c>
      <c r="S469">
        <f>IF(Table2[[#This Row],[Performance_Rating]]&gt;=3,Table2[[#This Row],[Monthly_Salary]]*0.3,"")</f>
        <v>8700</v>
      </c>
      <c r="T469">
        <v>85</v>
      </c>
      <c r="U469">
        <v>15</v>
      </c>
      <c r="V469">
        <v>3</v>
      </c>
      <c r="W469" t="s">
        <v>21</v>
      </c>
      <c r="X469" t="s">
        <v>28</v>
      </c>
      <c r="Y469" t="str">
        <f>IF(Table2[[#This Row],[Work_Mode]]&lt;&gt;"",Table2[[#This Row],[Work_Mode]],
IF(ISNUMBER(SEARCH("India",Table2[[#This Row],[Emp_Name]])),"Office",
IF(ISNUMBER(SEARCH("Foreign",Table2[[#This Row],[Emp_Name]])),"Remote","")))</f>
        <v>Remote</v>
      </c>
      <c r="Z469">
        <v>20</v>
      </c>
      <c r="AA46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469" t="s">
        <v>58</v>
      </c>
      <c r="AC469" t="str">
        <f>IF(COUNTIF(Table2[Emp_ID],Table2[[#This Row],[Emp_ID]])&gt;1,"Duplicate","Unique")</f>
        <v>Unique</v>
      </c>
      <c r="AE469" s="2"/>
      <c r="AG469" t="str">
        <f>IF(Table2[[#This Row],[Monthly_Salary]]="","Exclude",
IF(Table2[[#This Row],[Row_Status]]="Mismatch","Exclude",
IF(AND(Table2[[#This Row],[Row_Status]]="Exact Duplicate",
COUNTIFS(Table2[Emp_ID],Table2[[#This Row],[Emp_ID]],Table2[Row_Concat],Table2[[#This Row],[Row_Concat]],
Table2[Row_Number],"&lt;"&amp;Table2[[#This Row],[Row_Number]])&gt;=1),"Delete","")))</f>
        <v/>
      </c>
      <c r="AH469" t="str">
        <f>VLOOKUP(Table2[[#This Row],[Department]],Raw_2!A:B,2,0)</f>
        <v>Day</v>
      </c>
      <c r="AI469">
        <f>VLOOKUP(Table2[[#This Row],[Department]],Raw_2!A:C,3,0)</f>
        <v>10</v>
      </c>
    </row>
    <row r="470" spans="1:35">
      <c r="A470" t="s">
        <v>979</v>
      </c>
      <c r="B470" t="s">
        <v>980</v>
      </c>
      <c r="C470">
        <v>40</v>
      </c>
      <c r="D470" t="s">
        <v>16</v>
      </c>
      <c r="E470" t="str">
        <f>IF(OR(Table2[[#This Row],[Gender]]="Male",Table2[[#This Row],[Gender]]="M"),"M",
IF(OR(Table2[[#This Row],[Gender]]="Female",Table2[[#This Row],[Gender]]="F"),"F",""))</f>
        <v>M</v>
      </c>
      <c r="F470" t="s">
        <v>26</v>
      </c>
      <c r="G470" t="s">
        <v>36</v>
      </c>
      <c r="H470" t="s">
        <v>32</v>
      </c>
      <c r="I470" t="s">
        <v>1060</v>
      </c>
      <c r="J470" t="str">
        <f>IF(ISNUMBER(SEARCH("India",Table2[[#This Row],[Emp_Name]])),"INR",
IF(ISNUMBER(SEARCH("Foreign",Table2[[#This Row],[Emp_Name]])),Table2[[#This Row],[Currency]],Table2[[#This Row],[Currency]]))</f>
        <v>INR</v>
      </c>
      <c r="K470">
        <v>90000</v>
      </c>
      <c r="L470">
        <v>12</v>
      </c>
      <c r="M470">
        <f>IF(Table2[[#This Row],[Num_Month]]&lt;&gt;12,12,Table2[[#This Row],[Num_Month]])</f>
        <v>12</v>
      </c>
      <c r="N470">
        <f>IF(Table2[[#This Row],[Monthly_Salary]]="","",Table2[[#This Row],[Monthly_Salary]]*Table2[[#This Row],[Num_Month_Final]])</f>
        <v>1080000</v>
      </c>
      <c r="O470">
        <v>10</v>
      </c>
      <c r="P470">
        <f>IF(Table2[[#This Row],[Exp_Years]]&lt;0,ABS(Table2[[#This Row],[Exp_Years]]),Table2[[#This Row],[Exp_Years]])</f>
        <v>10</v>
      </c>
      <c r="Q470">
        <v>3</v>
      </c>
      <c r="R470">
        <v>38000</v>
      </c>
      <c r="S470">
        <f>IF(Table2[[#This Row],[Performance_Rating]]&gt;=3,Table2[[#This Row],[Monthly_Salary]]*0.3,"")</f>
        <v>27000</v>
      </c>
      <c r="T470">
        <v>80</v>
      </c>
      <c r="U470">
        <v>15</v>
      </c>
      <c r="V470">
        <v>2</v>
      </c>
      <c r="W470" t="s">
        <v>37</v>
      </c>
      <c r="X470" t="s">
        <v>28</v>
      </c>
      <c r="Y470" t="str">
        <f>IF(Table2[[#This Row],[Work_Mode]]&lt;&gt;"",Table2[[#This Row],[Work_Mode]],
IF(ISNUMBER(SEARCH("India",Table2[[#This Row],[Emp_Name]])),"Office",
IF(ISNUMBER(SEARCH("Foreign",Table2[[#This Row],[Emp_Name]])),"Remote","")))</f>
        <v>Remote</v>
      </c>
      <c r="Z470">
        <v>5</v>
      </c>
      <c r="AA47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1750</v>
      </c>
      <c r="AB470" t="s">
        <v>22</v>
      </c>
      <c r="AC470" t="str">
        <f>IF(COUNTIF(Table2[Emp_ID],Table2[[#This Row],[Emp_ID]])&gt;1,"Duplicate","Unique")</f>
        <v>Unique</v>
      </c>
      <c r="AE470" s="2"/>
      <c r="AG470" t="str">
        <f>IF(Table2[[#This Row],[Monthly_Salary]]="","Exclude",
IF(Table2[[#This Row],[Row_Status]]="Mismatch","Exclude",
IF(AND(Table2[[#This Row],[Row_Status]]="Exact Duplicate",
COUNTIFS(Table2[Emp_ID],Table2[[#This Row],[Emp_ID]],Table2[Row_Concat],Table2[[#This Row],[Row_Concat]],
Table2[Row_Number],"&lt;"&amp;Table2[[#This Row],[Row_Number]])&gt;=1),"Delete","")))</f>
        <v/>
      </c>
      <c r="AH470" t="str">
        <f>VLOOKUP(Table2[[#This Row],[Department]],Raw_2!A:B,2,0)</f>
        <v>Day</v>
      </c>
      <c r="AI470">
        <f>VLOOKUP(Table2[[#This Row],[Department]],Raw_2!A:C,3,0)</f>
        <v>25</v>
      </c>
    </row>
    <row r="471" spans="1:35">
      <c r="A471" t="s">
        <v>981</v>
      </c>
      <c r="B471" t="s">
        <v>982</v>
      </c>
      <c r="C471">
        <v>24</v>
      </c>
      <c r="D471" t="s">
        <v>16</v>
      </c>
      <c r="E471" t="str">
        <f>IF(OR(Table2[[#This Row],[Gender]]="Male",Table2[[#This Row],[Gender]]="M"),"M",
IF(OR(Table2[[#This Row],[Gender]]="Female",Table2[[#This Row],[Gender]]="F"),"F",""))</f>
        <v>M</v>
      </c>
      <c r="F471" t="s">
        <v>35</v>
      </c>
      <c r="G471" t="s">
        <v>18</v>
      </c>
      <c r="H471" t="s">
        <v>43</v>
      </c>
      <c r="I471" t="s">
        <v>1060</v>
      </c>
      <c r="J471" t="str">
        <f>IF(ISNUMBER(SEARCH("India",Table2[[#This Row],[Emp_Name]])),"INR",
IF(ISNUMBER(SEARCH("Foreign",Table2[[#This Row],[Emp_Name]])),Table2[[#This Row],[Currency]],Table2[[#This Row],[Currency]]))</f>
        <v>INR</v>
      </c>
      <c r="K471">
        <v>28000</v>
      </c>
      <c r="L471">
        <v>12</v>
      </c>
      <c r="M471">
        <f>IF(Table2[[#This Row],[Num_Month]]&lt;&gt;12,12,Table2[[#This Row],[Num_Month]])</f>
        <v>12</v>
      </c>
      <c r="N471">
        <f>IF(Table2[[#This Row],[Monthly_Salary]]="","",Table2[[#This Row],[Monthly_Salary]]*Table2[[#This Row],[Num_Month_Final]])</f>
        <v>336000</v>
      </c>
      <c r="O471">
        <v>2</v>
      </c>
      <c r="P471">
        <f>IF(Table2[[#This Row],[Exp_Years]]&lt;0,ABS(Table2[[#This Row],[Exp_Years]]),Table2[[#This Row],[Exp_Years]])</f>
        <v>2</v>
      </c>
      <c r="Q471">
        <v>1</v>
      </c>
      <c r="S471" t="str">
        <f>IF(Table2[[#This Row],[Performance_Rating]]&gt;=3,Table2[[#This Row],[Monthly_Salary]]*0.3,"")</f>
        <v/>
      </c>
      <c r="T471">
        <v>90</v>
      </c>
      <c r="U471">
        <v>10</v>
      </c>
      <c r="V471">
        <v>2</v>
      </c>
      <c r="W471" t="s">
        <v>37</v>
      </c>
      <c r="X471" t="s">
        <v>19</v>
      </c>
      <c r="Y471" t="str">
        <f>IF(Table2[[#This Row],[Work_Mode]]&lt;&gt;"",Table2[[#This Row],[Work_Mode]],
IF(ISNUMBER(SEARCH("India",Table2[[#This Row],[Emp_Name]])),"Office",
IF(ISNUMBER(SEARCH("Foreign",Table2[[#This Row],[Emp_Name]])),"Remote","")))</f>
        <v>Office</v>
      </c>
      <c r="AA47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71" t="s">
        <v>39</v>
      </c>
      <c r="AC471" t="str">
        <f>IF(COUNTIF(Table2[Emp_ID],Table2[[#This Row],[Emp_ID]])&gt;1,"Duplicate","Unique")</f>
        <v>Unique</v>
      </c>
      <c r="AE471" s="2"/>
      <c r="AG471" t="str">
        <f>IF(Table2[[#This Row],[Monthly_Salary]]="","Exclude",
IF(Table2[[#This Row],[Row_Status]]="Mismatch","Exclude",
IF(AND(Table2[[#This Row],[Row_Status]]="Exact Duplicate",
COUNTIFS(Table2[Emp_ID],Table2[[#This Row],[Emp_ID]],Table2[Row_Concat],Table2[[#This Row],[Row_Concat]],
Table2[Row_Number],"&lt;"&amp;Table2[[#This Row],[Row_Number]])&gt;=1),"Delete","")))</f>
        <v/>
      </c>
      <c r="AH471" t="str">
        <f>VLOOKUP(Table2[[#This Row],[Department]],Raw_2!A:B,2,0)</f>
        <v>Day</v>
      </c>
      <c r="AI471">
        <f>VLOOKUP(Table2[[#This Row],[Department]],Raw_2!A:C,3,0)</f>
        <v>10</v>
      </c>
    </row>
    <row r="472" spans="1:35">
      <c r="A472" t="s">
        <v>983</v>
      </c>
      <c r="B472" t="s">
        <v>984</v>
      </c>
      <c r="C472">
        <v>24</v>
      </c>
      <c r="E472" t="str">
        <f>IF(OR(Table2[[#This Row],[Gender]]="Male",Table2[[#This Row],[Gender]]="M"),"M",
IF(OR(Table2[[#This Row],[Gender]]="Female",Table2[[#This Row],[Gender]]="F"),"F",""))</f>
        <v/>
      </c>
      <c r="F472" t="s">
        <v>35</v>
      </c>
      <c r="G472" t="s">
        <v>36</v>
      </c>
      <c r="H472" t="s">
        <v>43</v>
      </c>
      <c r="I472" t="s">
        <v>1060</v>
      </c>
      <c r="J472" t="str">
        <f>IF(ISNUMBER(SEARCH("India",Table2[[#This Row],[Emp_Name]])),"INR",
IF(ISNUMBER(SEARCH("Foreign",Table2[[#This Row],[Emp_Name]])),Table2[[#This Row],[Currency]],Table2[[#This Row],[Currency]]))</f>
        <v>INR</v>
      </c>
      <c r="K472">
        <v>24000</v>
      </c>
      <c r="L472">
        <v>12</v>
      </c>
      <c r="M472">
        <f>IF(Table2[[#This Row],[Num_Month]]&lt;&gt;12,12,Table2[[#This Row],[Num_Month]])</f>
        <v>12</v>
      </c>
      <c r="N472">
        <f>IF(Table2[[#This Row],[Monthly_Salary]]="","",Table2[[#This Row],[Monthly_Salary]]*Table2[[#This Row],[Num_Month_Final]])</f>
        <v>288000</v>
      </c>
      <c r="O472">
        <v>1</v>
      </c>
      <c r="P472">
        <f>IF(Table2[[#This Row],[Exp_Years]]&lt;0,ABS(Table2[[#This Row],[Exp_Years]]),Table2[[#This Row],[Exp_Years]])</f>
        <v>1</v>
      </c>
      <c r="Q472">
        <v>1</v>
      </c>
      <c r="S472" t="str">
        <f>IF(Table2[[#This Row],[Performance_Rating]]&gt;=3,Table2[[#This Row],[Monthly_Salary]]*0.3,"")</f>
        <v/>
      </c>
      <c r="T472">
        <v>90</v>
      </c>
      <c r="U472">
        <v>15</v>
      </c>
      <c r="V472">
        <v>10</v>
      </c>
      <c r="W472" t="s">
        <v>37</v>
      </c>
      <c r="X472" t="s">
        <v>38</v>
      </c>
      <c r="Y472" t="str">
        <f>IF(Table2[[#This Row],[Work_Mode]]&lt;&gt;"",Table2[[#This Row],[Work_Mode]],
IF(ISNUMBER(SEARCH("India",Table2[[#This Row],[Emp_Name]])),"Office",
IF(ISNUMBER(SEARCH("Foreign",Table2[[#This Row],[Emp_Name]])),"Remote","")))</f>
        <v>Hybrid</v>
      </c>
      <c r="Z472">
        <v>10</v>
      </c>
      <c r="AA47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472" t="s">
        <v>39</v>
      </c>
      <c r="AC472" t="str">
        <f>IF(COUNTIF(Table2[Emp_ID],Table2[[#This Row],[Emp_ID]])&gt;1,"Duplicate","Unique")</f>
        <v>Unique</v>
      </c>
      <c r="AE472" s="2"/>
      <c r="AG472" t="str">
        <f>IF(Table2[[#This Row],[Monthly_Salary]]="","Exclude",
IF(Table2[[#This Row],[Row_Status]]="Mismatch","Exclude",
IF(AND(Table2[[#This Row],[Row_Status]]="Exact Duplicate",
COUNTIFS(Table2[Emp_ID],Table2[[#This Row],[Emp_ID]],Table2[Row_Concat],Table2[[#This Row],[Row_Concat]],
Table2[Row_Number],"&lt;"&amp;Table2[[#This Row],[Row_Number]])&gt;=1),"Delete","")))</f>
        <v/>
      </c>
      <c r="AH472" t="str">
        <f>VLOOKUP(Table2[[#This Row],[Department]],Raw_2!A:B,2,0)</f>
        <v>Day</v>
      </c>
      <c r="AI472">
        <f>VLOOKUP(Table2[[#This Row],[Department]],Raw_2!A:C,3,0)</f>
        <v>25</v>
      </c>
    </row>
    <row r="473" spans="1:35">
      <c r="A473" t="s">
        <v>985</v>
      </c>
      <c r="B473" t="s">
        <v>986</v>
      </c>
      <c r="C473">
        <v>23</v>
      </c>
      <c r="D473" t="s">
        <v>46</v>
      </c>
      <c r="E473" t="str">
        <f>IF(OR(Table2[[#This Row],[Gender]]="Male",Table2[[#This Row],[Gender]]="M"),"M",
IF(OR(Table2[[#This Row],[Gender]]="Female",Table2[[#This Row],[Gender]]="F"),"F",""))</f>
        <v>M</v>
      </c>
      <c r="F473" t="s">
        <v>47</v>
      </c>
      <c r="G473" t="s">
        <v>42</v>
      </c>
      <c r="H473" t="s">
        <v>43</v>
      </c>
      <c r="I473" t="s">
        <v>1060</v>
      </c>
      <c r="J473" t="str">
        <f>IF(ISNUMBER(SEARCH("India",Table2[[#This Row],[Emp_Name]])),"INR",
IF(ISNUMBER(SEARCH("Foreign",Table2[[#This Row],[Emp_Name]])),Table2[[#This Row],[Currency]],Table2[[#This Row],[Currency]]))</f>
        <v>INR</v>
      </c>
      <c r="K473">
        <v>24000</v>
      </c>
      <c r="L473">
        <v>12</v>
      </c>
      <c r="M473">
        <f>IF(Table2[[#This Row],[Num_Month]]&lt;&gt;12,12,Table2[[#This Row],[Num_Month]])</f>
        <v>12</v>
      </c>
      <c r="N473">
        <f>IF(Table2[[#This Row],[Monthly_Salary]]="","",Table2[[#This Row],[Monthly_Salary]]*Table2[[#This Row],[Num_Month_Final]])</f>
        <v>288000</v>
      </c>
      <c r="O473">
        <v>1</v>
      </c>
      <c r="P473">
        <f>IF(Table2[[#This Row],[Exp_Years]]&lt;0,ABS(Table2[[#This Row],[Exp_Years]]),Table2[[#This Row],[Exp_Years]])</f>
        <v>1</v>
      </c>
      <c r="Q473">
        <v>2</v>
      </c>
      <c r="S473" t="str">
        <f>IF(Table2[[#This Row],[Performance_Rating]]&gt;=3,Table2[[#This Row],[Monthly_Salary]]*0.3,"")</f>
        <v/>
      </c>
      <c r="T473">
        <v>88</v>
      </c>
      <c r="U473">
        <v>10</v>
      </c>
      <c r="V473">
        <v>9</v>
      </c>
      <c r="X473" t="s">
        <v>28</v>
      </c>
      <c r="Y473" t="str">
        <f>IF(Table2[[#This Row],[Work_Mode]]&lt;&gt;"",Table2[[#This Row],[Work_Mode]],
IF(ISNUMBER(SEARCH("India",Table2[[#This Row],[Emp_Name]])),"Office",
IF(ISNUMBER(SEARCH("Foreign",Table2[[#This Row],[Emp_Name]])),"Remote","")))</f>
        <v>Remote</v>
      </c>
      <c r="Z473">
        <v>10</v>
      </c>
      <c r="AA47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473" t="s">
        <v>39</v>
      </c>
      <c r="AC473" t="str">
        <f>IF(COUNTIF(Table2[Emp_ID],Table2[[#This Row],[Emp_ID]])&gt;1,"Duplicate","Unique")</f>
        <v>Unique</v>
      </c>
      <c r="AE473" s="2"/>
      <c r="AG473" t="str">
        <f>IF(Table2[[#This Row],[Monthly_Salary]]="","Exclude",
IF(Table2[[#This Row],[Row_Status]]="Mismatch","Exclude",
IF(AND(Table2[[#This Row],[Row_Status]]="Exact Duplicate",
COUNTIFS(Table2[Emp_ID],Table2[[#This Row],[Emp_ID]],Table2[Row_Concat],Table2[[#This Row],[Row_Concat]],
Table2[Row_Number],"&lt;"&amp;Table2[[#This Row],[Row_Number]])&gt;=1),"Delete","")))</f>
        <v/>
      </c>
      <c r="AH473" t="str">
        <f>VLOOKUP(Table2[[#This Row],[Department]],Raw_2!A:B,2,0)</f>
        <v>Day</v>
      </c>
      <c r="AI473">
        <f>VLOOKUP(Table2[[#This Row],[Department]],Raw_2!A:C,3,0)</f>
        <v>14</v>
      </c>
    </row>
    <row r="474" spans="1:35">
      <c r="A474" t="s">
        <v>987</v>
      </c>
      <c r="B474" t="s">
        <v>988</v>
      </c>
      <c r="C474">
        <v>26</v>
      </c>
      <c r="E474" t="str">
        <f>IF(OR(Table2[[#This Row],[Gender]]="Male",Table2[[#This Row],[Gender]]="M"),"M",
IF(OR(Table2[[#This Row],[Gender]]="Female",Table2[[#This Row],[Gender]]="F"),"F",""))</f>
        <v/>
      </c>
      <c r="F474" t="s">
        <v>17</v>
      </c>
      <c r="G474" t="s">
        <v>42</v>
      </c>
      <c r="H474" t="s">
        <v>1045</v>
      </c>
      <c r="I474" t="s">
        <v>1060</v>
      </c>
      <c r="J474" t="str">
        <f>IF(ISNUMBER(SEARCH("India",Table2[[#This Row],[Emp_Name]])),"INR",
IF(ISNUMBER(SEARCH("Foreign",Table2[[#This Row],[Emp_Name]])),Table2[[#This Row],[Currency]],Table2[[#This Row],[Currency]]))</f>
        <v>INR</v>
      </c>
      <c r="K474">
        <v>81000</v>
      </c>
      <c r="L474">
        <v>12</v>
      </c>
      <c r="M474">
        <f>IF(Table2[[#This Row],[Num_Month]]&lt;&gt;12,12,Table2[[#This Row],[Num_Month]])</f>
        <v>12</v>
      </c>
      <c r="N474">
        <f>IF(Table2[[#This Row],[Monthly_Salary]]="","",Table2[[#This Row],[Monthly_Salary]]*Table2[[#This Row],[Num_Month_Final]])</f>
        <v>972000</v>
      </c>
      <c r="O474">
        <v>6</v>
      </c>
      <c r="P474">
        <f>IF(Table2[[#This Row],[Exp_Years]]&lt;0,ABS(Table2[[#This Row],[Exp_Years]]),Table2[[#This Row],[Exp_Years]])</f>
        <v>6</v>
      </c>
      <c r="Q474">
        <v>3</v>
      </c>
      <c r="R474">
        <v>7000</v>
      </c>
      <c r="S474">
        <f>IF(Table2[[#This Row],[Performance_Rating]]&gt;=3,Table2[[#This Row],[Monthly_Salary]]*0.3,"")</f>
        <v>24300</v>
      </c>
      <c r="T474">
        <v>88</v>
      </c>
      <c r="U474">
        <v>15</v>
      </c>
      <c r="V474">
        <v>3</v>
      </c>
      <c r="X474" t="s">
        <v>19</v>
      </c>
      <c r="Y474" t="str">
        <f>IF(Table2[[#This Row],[Work_Mode]]&lt;&gt;"",Table2[[#This Row],[Work_Mode]],
IF(ISNUMBER(SEARCH("India",Table2[[#This Row],[Emp_Name]])),"Office",
IF(ISNUMBER(SEARCH("Foreign",Table2[[#This Row],[Emp_Name]])),"Remote","")))</f>
        <v>Office</v>
      </c>
      <c r="Z474">
        <v>5</v>
      </c>
      <c r="AA47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1500</v>
      </c>
      <c r="AB474" t="s">
        <v>22</v>
      </c>
      <c r="AC474" t="str">
        <f>IF(COUNTIF(Table2[Emp_ID],Table2[[#This Row],[Emp_ID]])&gt;1,"Duplicate","Unique")</f>
        <v>Unique</v>
      </c>
      <c r="AE474" s="2"/>
      <c r="AG474" t="str">
        <f>IF(Table2[[#This Row],[Monthly_Salary]]="","Exclude",
IF(Table2[[#This Row],[Row_Status]]="Mismatch","Exclude",
IF(AND(Table2[[#This Row],[Row_Status]]="Exact Duplicate",
COUNTIFS(Table2[Emp_ID],Table2[[#This Row],[Emp_ID]],Table2[Row_Concat],Table2[[#This Row],[Row_Concat]],
Table2[Row_Number],"&lt;"&amp;Table2[[#This Row],[Row_Number]])&gt;=1),"Delete","")))</f>
        <v/>
      </c>
      <c r="AH474" t="str">
        <f>VLOOKUP(Table2[[#This Row],[Department]],Raw_2!A:B,2,0)</f>
        <v>Day</v>
      </c>
      <c r="AI474">
        <f>VLOOKUP(Table2[[#This Row],[Department]],Raw_2!A:C,3,0)</f>
        <v>14</v>
      </c>
    </row>
    <row r="475" spans="1:35">
      <c r="A475" t="s">
        <v>989</v>
      </c>
      <c r="B475" t="s">
        <v>990</v>
      </c>
      <c r="C475">
        <v>24</v>
      </c>
      <c r="D475" t="s">
        <v>16</v>
      </c>
      <c r="E475" t="str">
        <f>IF(OR(Table2[[#This Row],[Gender]]="Male",Table2[[#This Row],[Gender]]="M"),"M",
IF(OR(Table2[[#This Row],[Gender]]="Female",Table2[[#This Row],[Gender]]="F"),"F",""))</f>
        <v>M</v>
      </c>
      <c r="F475" t="s">
        <v>57</v>
      </c>
      <c r="G475" t="s">
        <v>66</v>
      </c>
      <c r="H475" t="s">
        <v>43</v>
      </c>
      <c r="I475" t="s">
        <v>1060</v>
      </c>
      <c r="J475" t="str">
        <f>IF(ISNUMBER(SEARCH("India",Table2[[#This Row],[Emp_Name]])),"INR",
IF(ISNUMBER(SEARCH("Foreign",Table2[[#This Row],[Emp_Name]])),Table2[[#This Row],[Currency]],Table2[[#This Row],[Currency]]))</f>
        <v>INR</v>
      </c>
      <c r="K475">
        <v>24000</v>
      </c>
      <c r="L475">
        <v>12</v>
      </c>
      <c r="M475">
        <f>IF(Table2[[#This Row],[Num_Month]]&lt;&gt;12,12,Table2[[#This Row],[Num_Month]])</f>
        <v>12</v>
      </c>
      <c r="N475">
        <f>IF(Table2[[#This Row],[Monthly_Salary]]="","",Table2[[#This Row],[Monthly_Salary]]*Table2[[#This Row],[Num_Month_Final]])</f>
        <v>288000</v>
      </c>
      <c r="O475">
        <v>1</v>
      </c>
      <c r="P475">
        <f>IF(Table2[[#This Row],[Exp_Years]]&lt;0,ABS(Table2[[#This Row],[Exp_Years]]),Table2[[#This Row],[Exp_Years]])</f>
        <v>1</v>
      </c>
      <c r="Q475">
        <v>4</v>
      </c>
      <c r="R475">
        <v>16000</v>
      </c>
      <c r="S475">
        <f>IF(Table2[[#This Row],[Performance_Rating]]&gt;=3,Table2[[#This Row],[Monthly_Salary]]*0.3,"")</f>
        <v>7200</v>
      </c>
      <c r="T475">
        <v>85</v>
      </c>
      <c r="U475">
        <v>5</v>
      </c>
      <c r="V475">
        <v>3</v>
      </c>
      <c r="X475" t="s">
        <v>38</v>
      </c>
      <c r="Y475" t="str">
        <f>IF(Table2[[#This Row],[Work_Mode]]&lt;&gt;"",Table2[[#This Row],[Work_Mode]],
IF(ISNUMBER(SEARCH("India",Table2[[#This Row],[Emp_Name]])),"Office",
IF(ISNUMBER(SEARCH("Foreign",Table2[[#This Row],[Emp_Name]])),"Remote","")))</f>
        <v>Hybrid</v>
      </c>
      <c r="AA47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75" t="s">
        <v>22</v>
      </c>
      <c r="AC475" t="str">
        <f>IF(COUNTIF(Table2[Emp_ID],Table2[[#This Row],[Emp_ID]])&gt;1,"Duplicate","Unique")</f>
        <v>Unique</v>
      </c>
      <c r="AE475" s="2"/>
      <c r="AG475" t="str">
        <f>IF(Table2[[#This Row],[Monthly_Salary]]="","Exclude",
IF(Table2[[#This Row],[Row_Status]]="Mismatch","Exclude",
IF(AND(Table2[[#This Row],[Row_Status]]="Exact Duplicate",
COUNTIFS(Table2[Emp_ID],Table2[[#This Row],[Emp_ID]],Table2[Row_Concat],Table2[[#This Row],[Row_Concat]],
Table2[Row_Number],"&lt;"&amp;Table2[[#This Row],[Row_Number]])&gt;=1),"Delete","")))</f>
        <v/>
      </c>
      <c r="AH475" t="str">
        <f>VLOOKUP(Table2[[#This Row],[Department]],Raw_2!A:B,2,0)</f>
        <v>Night</v>
      </c>
      <c r="AI475">
        <f>VLOOKUP(Table2[[#This Row],[Department]],Raw_2!A:C,3,0)</f>
        <v>20</v>
      </c>
    </row>
    <row r="476" spans="1:35">
      <c r="A476" t="s">
        <v>991</v>
      </c>
      <c r="B476" t="s">
        <v>992</v>
      </c>
      <c r="C476">
        <v>25</v>
      </c>
      <c r="D476" t="s">
        <v>16</v>
      </c>
      <c r="E476" t="str">
        <f>IF(OR(Table2[[#This Row],[Gender]]="Male",Table2[[#This Row],[Gender]]="M"),"M",
IF(OR(Table2[[#This Row],[Gender]]="Female",Table2[[#This Row],[Gender]]="F"),"F",""))</f>
        <v>M</v>
      </c>
      <c r="F476" t="s">
        <v>65</v>
      </c>
      <c r="G476" t="s">
        <v>31</v>
      </c>
      <c r="H476" t="s">
        <v>43</v>
      </c>
      <c r="I476" t="s">
        <v>1060</v>
      </c>
      <c r="J476" t="str">
        <f>IF(ISNUMBER(SEARCH("India",Table2[[#This Row],[Emp_Name]])),"INR",
IF(ISNUMBER(SEARCH("Foreign",Table2[[#This Row],[Emp_Name]])),Table2[[#This Row],[Currency]],Table2[[#This Row],[Currency]]))</f>
        <v>INR</v>
      </c>
      <c r="K476">
        <v>28000</v>
      </c>
      <c r="L476">
        <v>12</v>
      </c>
      <c r="M476">
        <f>IF(Table2[[#This Row],[Num_Month]]&lt;&gt;12,12,Table2[[#This Row],[Num_Month]])</f>
        <v>12</v>
      </c>
      <c r="N476">
        <f>IF(Table2[[#This Row],[Monthly_Salary]]="","",Table2[[#This Row],[Monthly_Salary]]*Table2[[#This Row],[Num_Month_Final]])</f>
        <v>336000</v>
      </c>
      <c r="O476">
        <v>2</v>
      </c>
      <c r="P476">
        <f>IF(Table2[[#This Row],[Exp_Years]]&lt;0,ABS(Table2[[#This Row],[Exp_Years]]),Table2[[#This Row],[Exp_Years]])</f>
        <v>2</v>
      </c>
      <c r="Q476">
        <v>2</v>
      </c>
      <c r="S476" t="str">
        <f>IF(Table2[[#This Row],[Performance_Rating]]&gt;=3,Table2[[#This Row],[Monthly_Salary]]*0.3,"")</f>
        <v/>
      </c>
      <c r="T476">
        <v>80</v>
      </c>
      <c r="U476">
        <v>10</v>
      </c>
      <c r="V476">
        <v>2</v>
      </c>
      <c r="W476" t="s">
        <v>21</v>
      </c>
      <c r="X476" t="s">
        <v>28</v>
      </c>
      <c r="Y476" t="str">
        <f>IF(Table2[[#This Row],[Work_Mode]]&lt;&gt;"",Table2[[#This Row],[Work_Mode]],
IF(ISNUMBER(SEARCH("India",Table2[[#This Row],[Emp_Name]])),"Office",
IF(ISNUMBER(SEARCH("Foreign",Table2[[#This Row],[Emp_Name]])),"Remote","")))</f>
        <v>Remote</v>
      </c>
      <c r="AA47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76" t="s">
        <v>39</v>
      </c>
      <c r="AC476" t="str">
        <f>IF(COUNTIF(Table2[Emp_ID],Table2[[#This Row],[Emp_ID]])&gt;1,"Duplicate","Unique")</f>
        <v>Unique</v>
      </c>
      <c r="AE476" s="2"/>
      <c r="AG476" t="str">
        <f>IF(Table2[[#This Row],[Monthly_Salary]]="","Exclude",
IF(Table2[[#This Row],[Row_Status]]="Mismatch","Exclude",
IF(AND(Table2[[#This Row],[Row_Status]]="Exact Duplicate",
COUNTIFS(Table2[Emp_ID],Table2[[#This Row],[Emp_ID]],Table2[Row_Concat],Table2[[#This Row],[Row_Concat]],
Table2[Row_Number],"&lt;"&amp;Table2[[#This Row],[Row_Number]])&gt;=1),"Delete","")))</f>
        <v/>
      </c>
      <c r="AH476" t="str">
        <f>VLOOKUP(Table2[[#This Row],[Department]],Raw_2!A:B,2,0)</f>
        <v>Night</v>
      </c>
      <c r="AI476">
        <f>VLOOKUP(Table2[[#This Row],[Department]],Raw_2!A:C,3,0)</f>
        <v>13</v>
      </c>
    </row>
    <row r="477" spans="1:35">
      <c r="A477" t="s">
        <v>993</v>
      </c>
      <c r="B477" t="s">
        <v>994</v>
      </c>
      <c r="C477">
        <v>25</v>
      </c>
      <c r="D477" t="s">
        <v>46</v>
      </c>
      <c r="E477" t="str">
        <f>IF(OR(Table2[[#This Row],[Gender]]="Male",Table2[[#This Row],[Gender]]="M"),"M",
IF(OR(Table2[[#This Row],[Gender]]="Female",Table2[[#This Row],[Gender]]="F"),"F",""))</f>
        <v>M</v>
      </c>
      <c r="F477" t="s">
        <v>26</v>
      </c>
      <c r="G477" t="s">
        <v>31</v>
      </c>
      <c r="H477" t="s">
        <v>43</v>
      </c>
      <c r="I477" t="s">
        <v>1060</v>
      </c>
      <c r="J477" t="str">
        <f>IF(ISNUMBER(SEARCH("India",Table2[[#This Row],[Emp_Name]])),"INR",
IF(ISNUMBER(SEARCH("Foreign",Table2[[#This Row],[Emp_Name]])),Table2[[#This Row],[Currency]],Table2[[#This Row],[Currency]]))</f>
        <v>INR</v>
      </c>
      <c r="K477">
        <v>23000</v>
      </c>
      <c r="L477">
        <v>12</v>
      </c>
      <c r="M477">
        <f>IF(Table2[[#This Row],[Num_Month]]&lt;&gt;12,12,Table2[[#This Row],[Num_Month]])</f>
        <v>12</v>
      </c>
      <c r="N477">
        <f>IF(Table2[[#This Row],[Monthly_Salary]]="","",Table2[[#This Row],[Monthly_Salary]]*Table2[[#This Row],[Num_Month_Final]])</f>
        <v>276000</v>
      </c>
      <c r="O477">
        <v>1</v>
      </c>
      <c r="P477">
        <f>IF(Table2[[#This Row],[Exp_Years]]&lt;0,ABS(Table2[[#This Row],[Exp_Years]]),Table2[[#This Row],[Exp_Years]])</f>
        <v>1</v>
      </c>
      <c r="Q477">
        <v>4</v>
      </c>
      <c r="R477">
        <v>16000</v>
      </c>
      <c r="S477">
        <f>IF(Table2[[#This Row],[Performance_Rating]]&gt;=3,Table2[[#This Row],[Monthly_Salary]]*0.3,"")</f>
        <v>6900</v>
      </c>
      <c r="T477">
        <v>90</v>
      </c>
      <c r="U477">
        <v>15</v>
      </c>
      <c r="V477">
        <v>3</v>
      </c>
      <c r="W477" t="s">
        <v>21</v>
      </c>
      <c r="X477" t="s">
        <v>28</v>
      </c>
      <c r="Y477" t="str">
        <f>IF(Table2[[#This Row],[Work_Mode]]&lt;&gt;"",Table2[[#This Row],[Work_Mode]],
IF(ISNUMBER(SEARCH("India",Table2[[#This Row],[Emp_Name]])),"Office",
IF(ISNUMBER(SEARCH("Foreign",Table2[[#This Row],[Emp_Name]])),"Remote","")))</f>
        <v>Remote</v>
      </c>
      <c r="Z477">
        <v>20</v>
      </c>
      <c r="AA47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477" t="s">
        <v>22</v>
      </c>
      <c r="AC477" t="str">
        <f>IF(COUNTIF(Table2[Emp_ID],Table2[[#This Row],[Emp_ID]])&gt;1,"Duplicate","Unique")</f>
        <v>Unique</v>
      </c>
      <c r="AE477" s="2"/>
      <c r="AG477" t="str">
        <f>IF(Table2[[#This Row],[Monthly_Salary]]="","Exclude",
IF(Table2[[#This Row],[Row_Status]]="Mismatch","Exclude",
IF(AND(Table2[[#This Row],[Row_Status]]="Exact Duplicate",
COUNTIFS(Table2[Emp_ID],Table2[[#This Row],[Emp_ID]],Table2[Row_Concat],Table2[[#This Row],[Row_Concat]],
Table2[Row_Number],"&lt;"&amp;Table2[[#This Row],[Row_Number]])&gt;=1),"Delete","")))</f>
        <v/>
      </c>
      <c r="AH477" t="str">
        <f>VLOOKUP(Table2[[#This Row],[Department]],Raw_2!A:B,2,0)</f>
        <v>Night</v>
      </c>
      <c r="AI477">
        <f>VLOOKUP(Table2[[#This Row],[Department]],Raw_2!A:C,3,0)</f>
        <v>13</v>
      </c>
    </row>
    <row r="478" spans="1:35">
      <c r="A478" t="s">
        <v>997</v>
      </c>
      <c r="B478" t="s">
        <v>998</v>
      </c>
      <c r="C478">
        <v>25</v>
      </c>
      <c r="D478" t="s">
        <v>46</v>
      </c>
      <c r="E478" t="str">
        <f>IF(OR(Table2[[#This Row],[Gender]]="Male",Table2[[#This Row],[Gender]]="M"),"M",
IF(OR(Table2[[#This Row],[Gender]]="Female",Table2[[#This Row],[Gender]]="F"),"F",""))</f>
        <v>M</v>
      </c>
      <c r="F478" t="s">
        <v>35</v>
      </c>
      <c r="G478" t="s">
        <v>27</v>
      </c>
      <c r="H478" t="s">
        <v>43</v>
      </c>
      <c r="I478" t="s">
        <v>1060</v>
      </c>
      <c r="J478" t="str">
        <f>IF(ISNUMBER(SEARCH("India",Table2[[#This Row],[Emp_Name]])),"INR",
IF(ISNUMBER(SEARCH("Foreign",Table2[[#This Row],[Emp_Name]])),Table2[[#This Row],[Currency]],Table2[[#This Row],[Currency]]))</f>
        <v>INR</v>
      </c>
      <c r="K478">
        <v>28000</v>
      </c>
      <c r="L478">
        <v>12</v>
      </c>
      <c r="M478">
        <f>IF(Table2[[#This Row],[Num_Month]]&lt;&gt;12,12,Table2[[#This Row],[Num_Month]])</f>
        <v>12</v>
      </c>
      <c r="N478">
        <f>IF(Table2[[#This Row],[Monthly_Salary]]="","",Table2[[#This Row],[Monthly_Salary]]*Table2[[#This Row],[Num_Month_Final]])</f>
        <v>336000</v>
      </c>
      <c r="O478">
        <v>2</v>
      </c>
      <c r="P478">
        <f>IF(Table2[[#This Row],[Exp_Years]]&lt;0,ABS(Table2[[#This Row],[Exp_Years]]),Table2[[#This Row],[Exp_Years]])</f>
        <v>2</v>
      </c>
      <c r="Q478">
        <v>1</v>
      </c>
      <c r="S478" t="str">
        <f>IF(Table2[[#This Row],[Performance_Rating]]&gt;=3,Table2[[#This Row],[Monthly_Salary]]*0.3,"")</f>
        <v/>
      </c>
      <c r="T478">
        <v>80</v>
      </c>
      <c r="U478">
        <v>5</v>
      </c>
      <c r="V478">
        <v>1</v>
      </c>
      <c r="W478" t="s">
        <v>21</v>
      </c>
      <c r="X478" t="s">
        <v>38</v>
      </c>
      <c r="Y478" t="str">
        <f>IF(Table2[[#This Row],[Work_Mode]]&lt;&gt;"",Table2[[#This Row],[Work_Mode]],
IF(ISNUMBER(SEARCH("India",Table2[[#This Row],[Emp_Name]])),"Office",
IF(ISNUMBER(SEARCH("Foreign",Table2[[#This Row],[Emp_Name]])),"Remote","")))</f>
        <v>Hybrid</v>
      </c>
      <c r="Z478">
        <v>20</v>
      </c>
      <c r="AA47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478" t="s">
        <v>39</v>
      </c>
      <c r="AC478" t="str">
        <f>IF(COUNTIF(Table2[Emp_ID],Table2[[#This Row],[Emp_ID]])&gt;1,"Duplicate","Unique")</f>
        <v>Unique</v>
      </c>
      <c r="AE478" s="2"/>
      <c r="AG478" t="str">
        <f>IF(Table2[[#This Row],[Monthly_Salary]]="","Exclude",
IF(Table2[[#This Row],[Row_Status]]="Mismatch","Exclude",
IF(AND(Table2[[#This Row],[Row_Status]]="Exact Duplicate",
COUNTIFS(Table2[Emp_ID],Table2[[#This Row],[Emp_ID]],Table2[Row_Concat],Table2[[#This Row],[Row_Concat]],
Table2[Row_Number],"&lt;"&amp;Table2[[#This Row],[Row_Number]])&gt;=1),"Delete","")))</f>
        <v/>
      </c>
      <c r="AH478" t="str">
        <f>VLOOKUP(Table2[[#This Row],[Department]],Raw_2!A:B,2,0)</f>
        <v>Day</v>
      </c>
      <c r="AI478">
        <f>VLOOKUP(Table2[[#This Row],[Department]],Raw_2!A:C,3,0)</f>
        <v>12</v>
      </c>
    </row>
    <row r="479" spans="1:35">
      <c r="A479" t="s">
        <v>999</v>
      </c>
      <c r="B479" t="s">
        <v>1000</v>
      </c>
      <c r="C479">
        <v>34</v>
      </c>
      <c r="D479" t="s">
        <v>16</v>
      </c>
      <c r="E479" t="str">
        <f>IF(OR(Table2[[#This Row],[Gender]]="Male",Table2[[#This Row],[Gender]]="M"),"M",
IF(OR(Table2[[#This Row],[Gender]]="Female",Table2[[#This Row],[Gender]]="F"),"F",""))</f>
        <v>M</v>
      </c>
      <c r="F479" t="s">
        <v>61</v>
      </c>
      <c r="G479" t="s">
        <v>27</v>
      </c>
      <c r="H479" t="s">
        <v>32</v>
      </c>
      <c r="I479" t="s">
        <v>1059</v>
      </c>
      <c r="J479" t="str">
        <f>IF(ISNUMBER(SEARCH("India",Table2[[#This Row],[Emp_Name]])),"INR",
IF(ISNUMBER(SEARCH("Foreign",Table2[[#This Row],[Emp_Name]])),Table2[[#This Row],[Currency]],Table2[[#This Row],[Currency]]))</f>
        <v>USD</v>
      </c>
      <c r="K479">
        <v>92000</v>
      </c>
      <c r="L479">
        <v>12</v>
      </c>
      <c r="M479">
        <f>IF(Table2[[#This Row],[Num_Month]]&lt;&gt;12,12,Table2[[#This Row],[Num_Month]])</f>
        <v>12</v>
      </c>
      <c r="N479">
        <f>IF(Table2[[#This Row],[Monthly_Salary]]="","",Table2[[#This Row],[Monthly_Salary]]*Table2[[#This Row],[Num_Month_Final]])</f>
        <v>1104000</v>
      </c>
      <c r="O479">
        <v>9</v>
      </c>
      <c r="P479">
        <f>IF(Table2[[#This Row],[Exp_Years]]&lt;0,ABS(Table2[[#This Row],[Exp_Years]]),Table2[[#This Row],[Exp_Years]])</f>
        <v>9</v>
      </c>
      <c r="Q479">
        <v>4</v>
      </c>
      <c r="R479">
        <v>38000</v>
      </c>
      <c r="S479">
        <f>IF(Table2[[#This Row],[Performance_Rating]]&gt;=3,Table2[[#This Row],[Monthly_Salary]]*0.3,"")</f>
        <v>27600</v>
      </c>
      <c r="T479">
        <v>80</v>
      </c>
      <c r="U479">
        <v>15</v>
      </c>
      <c r="V479">
        <v>5</v>
      </c>
      <c r="W479" t="s">
        <v>37</v>
      </c>
      <c r="X479" t="s">
        <v>28</v>
      </c>
      <c r="Y479" t="str">
        <f>IF(Table2[[#This Row],[Work_Mode]]&lt;&gt;"",Table2[[#This Row],[Work_Mode]],
IF(ISNUMBER(SEARCH("India",Table2[[#This Row],[Emp_Name]])),"Office",
IF(ISNUMBER(SEARCH("Foreign",Table2[[#This Row],[Emp_Name]])),"Remote","")))</f>
        <v>Remote</v>
      </c>
      <c r="Z479">
        <v>10</v>
      </c>
      <c r="AA47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3500</v>
      </c>
      <c r="AB479" t="s">
        <v>58</v>
      </c>
      <c r="AC479" t="str">
        <f>IF(COUNTIF(Table2[Emp_ID],Table2[[#This Row],[Emp_ID]])&gt;1,"Duplicate","Unique")</f>
        <v>Unique</v>
      </c>
      <c r="AE479" s="2"/>
      <c r="AG479" t="str">
        <f>IF(Table2[[#This Row],[Monthly_Salary]]="","Exclude",
IF(Table2[[#This Row],[Row_Status]]="Mismatch","Exclude",
IF(AND(Table2[[#This Row],[Row_Status]]="Exact Duplicate",
COUNTIFS(Table2[Emp_ID],Table2[[#This Row],[Emp_ID]],Table2[Row_Concat],Table2[[#This Row],[Row_Concat]],
Table2[Row_Number],"&lt;"&amp;Table2[[#This Row],[Row_Number]])&gt;=1),"Delete","")))</f>
        <v/>
      </c>
      <c r="AH479" t="str">
        <f>VLOOKUP(Table2[[#This Row],[Department]],Raw_2!A:B,2,0)</f>
        <v>Day</v>
      </c>
      <c r="AI479">
        <f>VLOOKUP(Table2[[#This Row],[Department]],Raw_2!A:C,3,0)</f>
        <v>12</v>
      </c>
    </row>
    <row r="480" spans="1:35">
      <c r="A480" t="s">
        <v>1001</v>
      </c>
      <c r="B480" t="s">
        <v>1002</v>
      </c>
      <c r="C480">
        <v>23</v>
      </c>
      <c r="D480" t="s">
        <v>34</v>
      </c>
      <c r="E480" t="str">
        <f>IF(OR(Table2[[#This Row],[Gender]]="Male",Table2[[#This Row],[Gender]]="M"),"M",
IF(OR(Table2[[#This Row],[Gender]]="Female",Table2[[#This Row],[Gender]]="F"),"F",""))</f>
        <v>F</v>
      </c>
      <c r="F480" t="s">
        <v>73</v>
      </c>
      <c r="G480" t="s">
        <v>42</v>
      </c>
      <c r="H480" t="s">
        <v>43</v>
      </c>
      <c r="I480" t="s">
        <v>1060</v>
      </c>
      <c r="J480" t="str">
        <f>IF(ISNUMBER(SEARCH("India",Table2[[#This Row],[Emp_Name]])),"INR",
IF(ISNUMBER(SEARCH("Foreign",Table2[[#This Row],[Emp_Name]])),Table2[[#This Row],[Currency]],Table2[[#This Row],[Currency]]))</f>
        <v>INR</v>
      </c>
      <c r="K480">
        <v>24000</v>
      </c>
      <c r="L480">
        <v>12</v>
      </c>
      <c r="M480">
        <f>IF(Table2[[#This Row],[Num_Month]]&lt;&gt;12,12,Table2[[#This Row],[Num_Month]])</f>
        <v>12</v>
      </c>
      <c r="N480">
        <f>IF(Table2[[#This Row],[Monthly_Salary]]="","",Table2[[#This Row],[Monthly_Salary]]*Table2[[#This Row],[Num_Month_Final]])</f>
        <v>288000</v>
      </c>
      <c r="O480">
        <v>1</v>
      </c>
      <c r="P480">
        <f>IF(Table2[[#This Row],[Exp_Years]]&lt;0,ABS(Table2[[#This Row],[Exp_Years]]),Table2[[#This Row],[Exp_Years]])</f>
        <v>1</v>
      </c>
      <c r="Q480">
        <v>4</v>
      </c>
      <c r="R480">
        <v>16000</v>
      </c>
      <c r="S480">
        <f>IF(Table2[[#This Row],[Performance_Rating]]&gt;=3,Table2[[#This Row],[Monthly_Salary]]*0.3,"")</f>
        <v>7200</v>
      </c>
      <c r="T480">
        <v>80</v>
      </c>
      <c r="U480">
        <v>10</v>
      </c>
      <c r="V480">
        <v>3</v>
      </c>
      <c r="X480" t="s">
        <v>38</v>
      </c>
      <c r="Y480" t="str">
        <f>IF(Table2[[#This Row],[Work_Mode]]&lt;&gt;"",Table2[[#This Row],[Work_Mode]],
IF(ISNUMBER(SEARCH("India",Table2[[#This Row],[Emp_Name]])),"Office",
IF(ISNUMBER(SEARCH("Foreign",Table2[[#This Row],[Emp_Name]])),"Remote","")))</f>
        <v>Hybrid</v>
      </c>
      <c r="Z480">
        <v>5</v>
      </c>
      <c r="AA48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480" t="s">
        <v>22</v>
      </c>
      <c r="AC480" t="str">
        <f>IF(COUNTIF(Table2[Emp_ID],Table2[[#This Row],[Emp_ID]])&gt;1,"Duplicate","Unique")</f>
        <v>Unique</v>
      </c>
      <c r="AE480" s="2"/>
      <c r="AG480" t="str">
        <f>IF(Table2[[#This Row],[Monthly_Salary]]="","Exclude",
IF(Table2[[#This Row],[Row_Status]]="Mismatch","Exclude",
IF(AND(Table2[[#This Row],[Row_Status]]="Exact Duplicate",
COUNTIFS(Table2[Emp_ID],Table2[[#This Row],[Emp_ID]],Table2[Row_Concat],Table2[[#This Row],[Row_Concat]],
Table2[Row_Number],"&lt;"&amp;Table2[[#This Row],[Row_Number]])&gt;=1),"Delete","")))</f>
        <v/>
      </c>
      <c r="AH480" t="str">
        <f>VLOOKUP(Table2[[#This Row],[Department]],Raw_2!A:B,2,0)</f>
        <v>Day</v>
      </c>
      <c r="AI480">
        <f>VLOOKUP(Table2[[#This Row],[Department]],Raw_2!A:C,3,0)</f>
        <v>14</v>
      </c>
    </row>
    <row r="481" spans="1:35">
      <c r="A481" t="s">
        <v>1003</v>
      </c>
      <c r="B481" t="s">
        <v>1004</v>
      </c>
      <c r="C481">
        <v>24</v>
      </c>
      <c r="D481" t="s">
        <v>34</v>
      </c>
      <c r="E481" t="str">
        <f>IF(OR(Table2[[#This Row],[Gender]]="Male",Table2[[#This Row],[Gender]]="M"),"M",
IF(OR(Table2[[#This Row],[Gender]]="Female",Table2[[#This Row],[Gender]]="F"),"F",""))</f>
        <v>F</v>
      </c>
      <c r="F481" t="s">
        <v>17</v>
      </c>
      <c r="G481" t="s">
        <v>42</v>
      </c>
      <c r="H481" t="s">
        <v>1048</v>
      </c>
      <c r="I481" t="s">
        <v>1060</v>
      </c>
      <c r="J481" t="str">
        <f>IF(ISNUMBER(SEARCH("India",Table2[[#This Row],[Emp_Name]])),"INR",
IF(ISNUMBER(SEARCH("Foreign",Table2[[#This Row],[Emp_Name]])),Table2[[#This Row],[Currency]],Table2[[#This Row],[Currency]]))</f>
        <v>INR</v>
      </c>
      <c r="K481">
        <v>60000</v>
      </c>
      <c r="L481">
        <v>12</v>
      </c>
      <c r="M481">
        <f>IF(Table2[[#This Row],[Num_Month]]&lt;&gt;12,12,Table2[[#This Row],[Num_Month]])</f>
        <v>12</v>
      </c>
      <c r="N481">
        <f>IF(Table2[[#This Row],[Monthly_Salary]]="","",Table2[[#This Row],[Monthly_Salary]]*Table2[[#This Row],[Num_Month_Final]])</f>
        <v>720000</v>
      </c>
      <c r="O481">
        <v>4</v>
      </c>
      <c r="P481">
        <f>IF(Table2[[#This Row],[Exp_Years]]&lt;0,ABS(Table2[[#This Row],[Exp_Years]]),Table2[[#This Row],[Exp_Years]])</f>
        <v>4</v>
      </c>
      <c r="Q481">
        <v>2</v>
      </c>
      <c r="S481" t="str">
        <f>IF(Table2[[#This Row],[Performance_Rating]]&gt;=3,Table2[[#This Row],[Monthly_Salary]]*0.3,"")</f>
        <v/>
      </c>
      <c r="T481">
        <v>80</v>
      </c>
      <c r="U481">
        <v>5</v>
      </c>
      <c r="V481">
        <v>5</v>
      </c>
      <c r="W481" t="s">
        <v>37</v>
      </c>
      <c r="X481" t="s">
        <v>19</v>
      </c>
      <c r="Y481" t="str">
        <f>IF(Table2[[#This Row],[Work_Mode]]&lt;&gt;"",Table2[[#This Row],[Work_Mode]],
IF(ISNUMBER(SEARCH("India",Table2[[#This Row],[Emp_Name]])),"Office",
IF(ISNUMBER(SEARCH("Foreign",Table2[[#This Row],[Emp_Name]])),"Remote","")))</f>
        <v>Office</v>
      </c>
      <c r="Z481">
        <v>20</v>
      </c>
      <c r="AA48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6000</v>
      </c>
      <c r="AB481" t="s">
        <v>39</v>
      </c>
      <c r="AC481" t="str">
        <f>IF(COUNTIF(Table2[Emp_ID],Table2[[#This Row],[Emp_ID]])&gt;1,"Duplicate","Unique")</f>
        <v>Unique</v>
      </c>
      <c r="AE481" s="2"/>
      <c r="AG481" t="str">
        <f>IF(Table2[[#This Row],[Monthly_Salary]]="","Exclude",
IF(Table2[[#This Row],[Row_Status]]="Mismatch","Exclude",
IF(AND(Table2[[#This Row],[Row_Status]]="Exact Duplicate",
COUNTIFS(Table2[Emp_ID],Table2[[#This Row],[Emp_ID]],Table2[Row_Concat],Table2[[#This Row],[Row_Concat]],
Table2[Row_Number],"&lt;"&amp;Table2[[#This Row],[Row_Number]])&gt;=1),"Delete","")))</f>
        <v/>
      </c>
      <c r="AH481" t="str">
        <f>VLOOKUP(Table2[[#This Row],[Department]],Raw_2!A:B,2,0)</f>
        <v>Day</v>
      </c>
      <c r="AI481">
        <f>VLOOKUP(Table2[[#This Row],[Department]],Raw_2!A:C,3,0)</f>
        <v>14</v>
      </c>
    </row>
    <row r="482" spans="1:35">
      <c r="A482" t="s">
        <v>1005</v>
      </c>
      <c r="B482" t="s">
        <v>1006</v>
      </c>
      <c r="C482">
        <v>34</v>
      </c>
      <c r="D482" t="s">
        <v>16</v>
      </c>
      <c r="E482" t="str">
        <f>IF(OR(Table2[[#This Row],[Gender]]="Male",Table2[[#This Row],[Gender]]="M"),"M",
IF(OR(Table2[[#This Row],[Gender]]="Female",Table2[[#This Row],[Gender]]="F"),"F",""))</f>
        <v>M</v>
      </c>
      <c r="F482" t="s">
        <v>61</v>
      </c>
      <c r="G482" t="s">
        <v>66</v>
      </c>
      <c r="H482" t="s">
        <v>32</v>
      </c>
      <c r="I482" t="s">
        <v>1060</v>
      </c>
      <c r="J482" t="str">
        <f>IF(ISNUMBER(SEARCH("India",Table2[[#This Row],[Emp_Name]])),"INR",
IF(ISNUMBER(SEARCH("Foreign",Table2[[#This Row],[Emp_Name]])),Table2[[#This Row],[Currency]],Table2[[#This Row],[Currency]]))</f>
        <v>INR</v>
      </c>
      <c r="K482">
        <v>98000</v>
      </c>
      <c r="L482">
        <v>12</v>
      </c>
      <c r="M482">
        <f>IF(Table2[[#This Row],[Num_Month]]&lt;&gt;12,12,Table2[[#This Row],[Num_Month]])</f>
        <v>12</v>
      </c>
      <c r="N482">
        <f>IF(Table2[[#This Row],[Monthly_Salary]]="","",Table2[[#This Row],[Monthly_Salary]]*Table2[[#This Row],[Num_Month_Final]])</f>
        <v>1176000</v>
      </c>
      <c r="O482">
        <v>12</v>
      </c>
      <c r="P482">
        <f>IF(Table2[[#This Row],[Exp_Years]]&lt;0,ABS(Table2[[#This Row],[Exp_Years]]),Table2[[#This Row],[Exp_Years]])</f>
        <v>12</v>
      </c>
      <c r="Q482">
        <v>5</v>
      </c>
      <c r="R482">
        <v>29339</v>
      </c>
      <c r="S482">
        <f>IF(Table2[[#This Row],[Performance_Rating]]&gt;=3,Table2[[#This Row],[Monthly_Salary]]*0.3,"")</f>
        <v>29400</v>
      </c>
      <c r="T482">
        <v>90</v>
      </c>
      <c r="U482">
        <v>15</v>
      </c>
      <c r="V482">
        <v>1</v>
      </c>
      <c r="X482" t="s">
        <v>38</v>
      </c>
      <c r="Y482" t="str">
        <f>IF(Table2[[#This Row],[Work_Mode]]&lt;&gt;"",Table2[[#This Row],[Work_Mode]],
IF(ISNUMBER(SEARCH("India",Table2[[#This Row],[Emp_Name]])),"Office",
IF(ISNUMBER(SEARCH("Foreign",Table2[[#This Row],[Emp_Name]])),"Remote","")))</f>
        <v>Hybrid</v>
      </c>
      <c r="Z482">
        <v>5</v>
      </c>
      <c r="AA48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1750</v>
      </c>
      <c r="AB482" t="s">
        <v>58</v>
      </c>
      <c r="AC482" t="str">
        <f>IF(COUNTIF(Table2[Emp_ID],Table2[[#This Row],[Emp_ID]])&gt;1,"Duplicate","Unique")</f>
        <v>Unique</v>
      </c>
      <c r="AE482" s="2"/>
      <c r="AG482" t="str">
        <f>IF(Table2[[#This Row],[Monthly_Salary]]="","Exclude",
IF(Table2[[#This Row],[Row_Status]]="Mismatch","Exclude",
IF(AND(Table2[[#This Row],[Row_Status]]="Exact Duplicate",
COUNTIFS(Table2[Emp_ID],Table2[[#This Row],[Emp_ID]],Table2[Row_Concat],Table2[[#This Row],[Row_Concat]],
Table2[Row_Number],"&lt;"&amp;Table2[[#This Row],[Row_Number]])&gt;=1),"Delete","")))</f>
        <v/>
      </c>
      <c r="AH482" t="str">
        <f>VLOOKUP(Table2[[#This Row],[Department]],Raw_2!A:B,2,0)</f>
        <v>Night</v>
      </c>
      <c r="AI482">
        <f>VLOOKUP(Table2[[#This Row],[Department]],Raw_2!A:C,3,0)</f>
        <v>20</v>
      </c>
    </row>
    <row r="483" spans="1:35">
      <c r="A483" t="s">
        <v>1007</v>
      </c>
      <c r="B483" t="s">
        <v>1008</v>
      </c>
      <c r="C483">
        <v>21</v>
      </c>
      <c r="D483" t="s">
        <v>16</v>
      </c>
      <c r="E483" t="str">
        <f>IF(OR(Table2[[#This Row],[Gender]]="Male",Table2[[#This Row],[Gender]]="M"),"M",
IF(OR(Table2[[#This Row],[Gender]]="Female",Table2[[#This Row],[Gender]]="F"),"F",""))</f>
        <v>M</v>
      </c>
      <c r="F483" t="s">
        <v>17</v>
      </c>
      <c r="G483" t="s">
        <v>66</v>
      </c>
      <c r="H483" t="s">
        <v>1046</v>
      </c>
      <c r="I483" t="s">
        <v>1060</v>
      </c>
      <c r="J483" t="str">
        <f>IF(ISNUMBER(SEARCH("India",Table2[[#This Row],[Emp_Name]])),"INR",
IF(ISNUMBER(SEARCH("Foreign",Table2[[#This Row],[Emp_Name]])),Table2[[#This Row],[Currency]],Table2[[#This Row],[Currency]]))</f>
        <v>INR</v>
      </c>
      <c r="K483">
        <v>20000</v>
      </c>
      <c r="L483">
        <v>12</v>
      </c>
      <c r="M483">
        <f>IF(Table2[[#This Row],[Num_Month]]&lt;&gt;12,12,Table2[[#This Row],[Num_Month]])</f>
        <v>12</v>
      </c>
      <c r="N483">
        <f>IF(Table2[[#This Row],[Monthly_Salary]]="","",Table2[[#This Row],[Monthly_Salary]]*Table2[[#This Row],[Num_Month_Final]])</f>
        <v>240000</v>
      </c>
      <c r="O483">
        <v>0</v>
      </c>
      <c r="P483">
        <f>IF(Table2[[#This Row],[Exp_Years]]&lt;0,ABS(Table2[[#This Row],[Exp_Years]]),Table2[[#This Row],[Exp_Years]])</f>
        <v>0</v>
      </c>
      <c r="Q483">
        <v>2</v>
      </c>
      <c r="S483" t="str">
        <f>IF(Table2[[#This Row],[Performance_Rating]]&gt;=3,Table2[[#This Row],[Monthly_Salary]]*0.3,"")</f>
        <v/>
      </c>
      <c r="T483">
        <v>88</v>
      </c>
      <c r="U483">
        <v>15</v>
      </c>
      <c r="V483">
        <v>1</v>
      </c>
      <c r="W483" t="s">
        <v>21</v>
      </c>
      <c r="X483" t="s">
        <v>38</v>
      </c>
      <c r="Y483" t="str">
        <f>IF(Table2[[#This Row],[Work_Mode]]&lt;&gt;"",Table2[[#This Row],[Work_Mode]],
IF(ISNUMBER(SEARCH("India",Table2[[#This Row],[Emp_Name]])),"Office",
IF(ISNUMBER(SEARCH("Foreign",Table2[[#This Row],[Emp_Name]])),"Remote","")))</f>
        <v>Hybrid</v>
      </c>
      <c r="Z483">
        <v>20</v>
      </c>
      <c r="AA48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483" t="s">
        <v>39</v>
      </c>
      <c r="AC483" t="str">
        <f>IF(COUNTIF(Table2[Emp_ID],Table2[[#This Row],[Emp_ID]])&gt;1,"Duplicate","Unique")</f>
        <v>Unique</v>
      </c>
      <c r="AE483" s="2"/>
      <c r="AG483" t="str">
        <f>IF(Table2[[#This Row],[Monthly_Salary]]="","Exclude",
IF(Table2[[#This Row],[Row_Status]]="Mismatch","Exclude",
IF(AND(Table2[[#This Row],[Row_Status]]="Exact Duplicate",
COUNTIFS(Table2[Emp_ID],Table2[[#This Row],[Emp_ID]],Table2[Row_Concat],Table2[[#This Row],[Row_Concat]],
Table2[Row_Number],"&lt;"&amp;Table2[[#This Row],[Row_Number]])&gt;=1),"Delete","")))</f>
        <v/>
      </c>
      <c r="AH483" t="str">
        <f>VLOOKUP(Table2[[#This Row],[Department]],Raw_2!A:B,2,0)</f>
        <v>Night</v>
      </c>
      <c r="AI483">
        <f>VLOOKUP(Table2[[#This Row],[Department]],Raw_2!A:C,3,0)</f>
        <v>20</v>
      </c>
    </row>
    <row r="484" spans="1:35">
      <c r="A484" t="s">
        <v>1009</v>
      </c>
      <c r="B484" t="s">
        <v>1010</v>
      </c>
      <c r="C484">
        <v>25</v>
      </c>
      <c r="D484" t="s">
        <v>34</v>
      </c>
      <c r="E484" t="str">
        <f>IF(OR(Table2[[#This Row],[Gender]]="Male",Table2[[#This Row],[Gender]]="M"),"M",
IF(OR(Table2[[#This Row],[Gender]]="Female",Table2[[#This Row],[Gender]]="F"),"F",""))</f>
        <v>F</v>
      </c>
      <c r="F484" t="s">
        <v>35</v>
      </c>
      <c r="G484" t="s">
        <v>42</v>
      </c>
      <c r="H484" t="s">
        <v>1045</v>
      </c>
      <c r="I484" t="s">
        <v>1059</v>
      </c>
      <c r="J484" t="str">
        <f>IF(ISNUMBER(SEARCH("India",Table2[[#This Row],[Emp_Name]])),"INR",
IF(ISNUMBER(SEARCH("Foreign",Table2[[#This Row],[Emp_Name]])),Table2[[#This Row],[Currency]],Table2[[#This Row],[Currency]]))</f>
        <v>USD</v>
      </c>
      <c r="K484">
        <v>78000</v>
      </c>
      <c r="L484">
        <v>12</v>
      </c>
      <c r="M484">
        <f>IF(Table2[[#This Row],[Num_Month]]&lt;&gt;12,12,Table2[[#This Row],[Num_Month]])</f>
        <v>12</v>
      </c>
      <c r="N484">
        <f>IF(Table2[[#This Row],[Monthly_Salary]]="","",Table2[[#This Row],[Monthly_Salary]]*Table2[[#This Row],[Num_Month_Final]])</f>
        <v>936000</v>
      </c>
      <c r="O484">
        <v>7</v>
      </c>
      <c r="P484">
        <f>IF(Table2[[#This Row],[Exp_Years]]&lt;0,ABS(Table2[[#This Row],[Exp_Years]]),Table2[[#This Row],[Exp_Years]])</f>
        <v>7</v>
      </c>
      <c r="Q484">
        <v>5</v>
      </c>
      <c r="R484">
        <v>10915</v>
      </c>
      <c r="S484">
        <f>IF(Table2[[#This Row],[Performance_Rating]]&gt;=3,Table2[[#This Row],[Monthly_Salary]]*0.3,"")</f>
        <v>23400</v>
      </c>
      <c r="T484">
        <v>85</v>
      </c>
      <c r="U484">
        <v>5</v>
      </c>
      <c r="V484">
        <v>3</v>
      </c>
      <c r="X484" t="s">
        <v>28</v>
      </c>
      <c r="Y484" t="str">
        <f>IF(Table2[[#This Row],[Work_Mode]]&lt;&gt;"",Table2[[#This Row],[Work_Mode]],
IF(ISNUMBER(SEARCH("India",Table2[[#This Row],[Emp_Name]])),"Office",
IF(ISNUMBER(SEARCH("Foreign",Table2[[#This Row],[Emp_Name]])),"Remote","")))</f>
        <v>Remote</v>
      </c>
      <c r="AA48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84" t="s">
        <v>58</v>
      </c>
      <c r="AC484" t="str">
        <f>IF(COUNTIF(Table2[Emp_ID],Table2[[#This Row],[Emp_ID]])&gt;1,"Duplicate","Unique")</f>
        <v>Unique</v>
      </c>
      <c r="AE484" s="2"/>
      <c r="AG484" t="str">
        <f>IF(Table2[[#This Row],[Monthly_Salary]]="","Exclude",
IF(Table2[[#This Row],[Row_Status]]="Mismatch","Exclude",
IF(AND(Table2[[#This Row],[Row_Status]]="Exact Duplicate",
COUNTIFS(Table2[Emp_ID],Table2[[#This Row],[Emp_ID]],Table2[Row_Concat],Table2[[#This Row],[Row_Concat]],
Table2[Row_Number],"&lt;"&amp;Table2[[#This Row],[Row_Number]])&gt;=1),"Delete","")))</f>
        <v/>
      </c>
      <c r="AH484" t="str">
        <f>VLOOKUP(Table2[[#This Row],[Department]],Raw_2!A:B,2,0)</f>
        <v>Day</v>
      </c>
      <c r="AI484">
        <f>VLOOKUP(Table2[[#This Row],[Department]],Raw_2!A:C,3,0)</f>
        <v>14</v>
      </c>
    </row>
    <row r="485" spans="1:35">
      <c r="A485" t="s">
        <v>1011</v>
      </c>
      <c r="B485" t="s">
        <v>1012</v>
      </c>
      <c r="C485">
        <v>39</v>
      </c>
      <c r="E485" t="str">
        <f>IF(OR(Table2[[#This Row],[Gender]]="Male",Table2[[#This Row],[Gender]]="M"),"M",
IF(OR(Table2[[#This Row],[Gender]]="Female",Table2[[#This Row],[Gender]]="F"),"F",""))</f>
        <v/>
      </c>
      <c r="F485" t="s">
        <v>17</v>
      </c>
      <c r="G485" t="s">
        <v>27</v>
      </c>
      <c r="H485" t="s">
        <v>32</v>
      </c>
      <c r="I485" t="s">
        <v>1060</v>
      </c>
      <c r="J485" t="str">
        <f>IF(ISNUMBER(SEARCH("India",Table2[[#This Row],[Emp_Name]])),"INR",
IF(ISNUMBER(SEARCH("Foreign",Table2[[#This Row],[Emp_Name]])),Table2[[#This Row],[Currency]],Table2[[#This Row],[Currency]]))</f>
        <v>INR</v>
      </c>
      <c r="K485">
        <v>90000</v>
      </c>
      <c r="L485">
        <v>12</v>
      </c>
      <c r="M485">
        <f>IF(Table2[[#This Row],[Num_Month]]&lt;&gt;12,12,Table2[[#This Row],[Num_Month]])</f>
        <v>12</v>
      </c>
      <c r="N485">
        <f>IF(Table2[[#This Row],[Monthly_Salary]]="","",Table2[[#This Row],[Monthly_Salary]]*Table2[[#This Row],[Num_Month_Final]])</f>
        <v>1080000</v>
      </c>
      <c r="O485">
        <v>12</v>
      </c>
      <c r="P485">
        <f>IF(Table2[[#This Row],[Exp_Years]]&lt;0,ABS(Table2[[#This Row],[Exp_Years]]),Table2[[#This Row],[Exp_Years]])</f>
        <v>12</v>
      </c>
      <c r="Q485">
        <v>1</v>
      </c>
      <c r="S485" t="str">
        <f>IF(Table2[[#This Row],[Performance_Rating]]&gt;=3,Table2[[#This Row],[Monthly_Salary]]*0.3,"")</f>
        <v/>
      </c>
      <c r="T485">
        <v>80</v>
      </c>
      <c r="U485">
        <v>15</v>
      </c>
      <c r="V485">
        <v>5</v>
      </c>
      <c r="W485" t="s">
        <v>21</v>
      </c>
      <c r="X485" t="s">
        <v>38</v>
      </c>
      <c r="Y485" t="str">
        <f>IF(Table2[[#This Row],[Work_Mode]]&lt;&gt;"",Table2[[#This Row],[Work_Mode]],
IF(ISNUMBER(SEARCH("India",Table2[[#This Row],[Emp_Name]])),"Office",
IF(ISNUMBER(SEARCH("Foreign",Table2[[#This Row],[Emp_Name]])),"Remote","")))</f>
        <v>Hybrid</v>
      </c>
      <c r="Z485">
        <v>20</v>
      </c>
      <c r="AA48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7000</v>
      </c>
      <c r="AB485" t="s">
        <v>39</v>
      </c>
      <c r="AC485" t="str">
        <f>IF(COUNTIF(Table2[Emp_ID],Table2[[#This Row],[Emp_ID]])&gt;1,"Duplicate","Unique")</f>
        <v>Unique</v>
      </c>
      <c r="AE485" s="2"/>
      <c r="AG485" t="str">
        <f>IF(Table2[[#This Row],[Monthly_Salary]]="","Exclude",
IF(Table2[[#This Row],[Row_Status]]="Mismatch","Exclude",
IF(AND(Table2[[#This Row],[Row_Status]]="Exact Duplicate",
COUNTIFS(Table2[Emp_ID],Table2[[#This Row],[Emp_ID]],Table2[Row_Concat],Table2[[#This Row],[Row_Concat]],
Table2[Row_Number],"&lt;"&amp;Table2[[#This Row],[Row_Number]])&gt;=1),"Delete","")))</f>
        <v/>
      </c>
      <c r="AH485" t="str">
        <f>VLOOKUP(Table2[[#This Row],[Department]],Raw_2!A:B,2,0)</f>
        <v>Day</v>
      </c>
      <c r="AI485">
        <f>VLOOKUP(Table2[[#This Row],[Department]],Raw_2!A:C,3,0)</f>
        <v>12</v>
      </c>
    </row>
    <row r="486" spans="1:35">
      <c r="A486" t="s">
        <v>1013</v>
      </c>
      <c r="B486" t="s">
        <v>1014</v>
      </c>
      <c r="C486">
        <v>25</v>
      </c>
      <c r="E486" t="str">
        <f>IF(OR(Table2[[#This Row],[Gender]]="Male",Table2[[#This Row],[Gender]]="M"),"M",
IF(OR(Table2[[#This Row],[Gender]]="Female",Table2[[#This Row],[Gender]]="F"),"F",""))</f>
        <v/>
      </c>
      <c r="F486" t="s">
        <v>61</v>
      </c>
      <c r="G486" t="s">
        <v>18</v>
      </c>
      <c r="H486" t="s">
        <v>43</v>
      </c>
      <c r="I486" t="s">
        <v>1059</v>
      </c>
      <c r="J486" t="str">
        <f>IF(ISNUMBER(SEARCH("India",Table2[[#This Row],[Emp_Name]])),"INR",
IF(ISNUMBER(SEARCH("Foreign",Table2[[#This Row],[Emp_Name]])),Table2[[#This Row],[Currency]],Table2[[#This Row],[Currency]]))</f>
        <v>USD</v>
      </c>
      <c r="K486">
        <v>24000</v>
      </c>
      <c r="L486">
        <v>12</v>
      </c>
      <c r="M486">
        <f>IF(Table2[[#This Row],[Num_Month]]&lt;&gt;12,12,Table2[[#This Row],[Num_Month]])</f>
        <v>12</v>
      </c>
      <c r="N486">
        <f>IF(Table2[[#This Row],[Monthly_Salary]]="","",Table2[[#This Row],[Monthly_Salary]]*Table2[[#This Row],[Num_Month_Final]])</f>
        <v>288000</v>
      </c>
      <c r="O486">
        <v>1</v>
      </c>
      <c r="P486">
        <f>IF(Table2[[#This Row],[Exp_Years]]&lt;0,ABS(Table2[[#This Row],[Exp_Years]]),Table2[[#This Row],[Exp_Years]])</f>
        <v>1</v>
      </c>
      <c r="Q486">
        <v>5</v>
      </c>
      <c r="R486">
        <v>20000</v>
      </c>
      <c r="S486">
        <f>IF(Table2[[#This Row],[Performance_Rating]]&gt;=3,Table2[[#This Row],[Monthly_Salary]]*0.3,"")</f>
        <v>7200</v>
      </c>
      <c r="T486">
        <v>90</v>
      </c>
      <c r="U486">
        <v>10</v>
      </c>
      <c r="V486">
        <v>3</v>
      </c>
      <c r="W486" t="s">
        <v>21</v>
      </c>
      <c r="X486" t="s">
        <v>28</v>
      </c>
      <c r="Y486" t="str">
        <f>IF(Table2[[#This Row],[Work_Mode]]&lt;&gt;"",Table2[[#This Row],[Work_Mode]],
IF(ISNUMBER(SEARCH("India",Table2[[#This Row],[Emp_Name]])),"Office",
IF(ISNUMBER(SEARCH("Foreign",Table2[[#This Row],[Emp_Name]])),"Remote","")))</f>
        <v>Remote</v>
      </c>
      <c r="Z486">
        <v>10</v>
      </c>
      <c r="AA48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486" t="s">
        <v>58</v>
      </c>
      <c r="AC486" t="str">
        <f>IF(COUNTIF(Table2[Emp_ID],Table2[[#This Row],[Emp_ID]])&gt;1,"Duplicate","Unique")</f>
        <v>Unique</v>
      </c>
      <c r="AE486" s="2"/>
      <c r="AG486" t="str">
        <f>IF(Table2[[#This Row],[Monthly_Salary]]="","Exclude",
IF(Table2[[#This Row],[Row_Status]]="Mismatch","Exclude",
IF(AND(Table2[[#This Row],[Row_Status]]="Exact Duplicate",
COUNTIFS(Table2[Emp_ID],Table2[[#This Row],[Emp_ID]],Table2[Row_Concat],Table2[[#This Row],[Row_Concat]],
Table2[Row_Number],"&lt;"&amp;Table2[[#This Row],[Row_Number]])&gt;=1),"Delete","")))</f>
        <v/>
      </c>
      <c r="AH486" t="str">
        <f>VLOOKUP(Table2[[#This Row],[Department]],Raw_2!A:B,2,0)</f>
        <v>Day</v>
      </c>
      <c r="AI486">
        <f>VLOOKUP(Table2[[#This Row],[Department]],Raw_2!A:C,3,0)</f>
        <v>10</v>
      </c>
    </row>
    <row r="487" spans="1:35">
      <c r="A487" t="s">
        <v>1015</v>
      </c>
      <c r="B487" t="s">
        <v>1016</v>
      </c>
      <c r="C487">
        <v>23</v>
      </c>
      <c r="D487" t="s">
        <v>34</v>
      </c>
      <c r="E487" t="str">
        <f>IF(OR(Table2[[#This Row],[Gender]]="Male",Table2[[#This Row],[Gender]]="M"),"M",
IF(OR(Table2[[#This Row],[Gender]]="Female",Table2[[#This Row],[Gender]]="F"),"F",""))</f>
        <v>F</v>
      </c>
      <c r="F487" t="s">
        <v>35</v>
      </c>
      <c r="G487" t="s">
        <v>66</v>
      </c>
      <c r="H487" t="s">
        <v>1046</v>
      </c>
      <c r="I487" t="s">
        <v>1060</v>
      </c>
      <c r="J487" t="str">
        <f>IF(ISNUMBER(SEARCH("India",Table2[[#This Row],[Emp_Name]])),"INR",
IF(ISNUMBER(SEARCH("Foreign",Table2[[#This Row],[Emp_Name]])),Table2[[#This Row],[Currency]],Table2[[#This Row],[Currency]]))</f>
        <v>INR</v>
      </c>
      <c r="K487">
        <v>20000</v>
      </c>
      <c r="L487">
        <v>12</v>
      </c>
      <c r="M487">
        <f>IF(Table2[[#This Row],[Num_Month]]&lt;&gt;12,12,Table2[[#This Row],[Num_Month]])</f>
        <v>12</v>
      </c>
      <c r="N487">
        <f>IF(Table2[[#This Row],[Monthly_Salary]]="","",Table2[[#This Row],[Monthly_Salary]]*Table2[[#This Row],[Num_Month_Final]])</f>
        <v>240000</v>
      </c>
      <c r="O487">
        <v>0</v>
      </c>
      <c r="P487">
        <f>IF(Table2[[#This Row],[Exp_Years]]&lt;0,ABS(Table2[[#This Row],[Exp_Years]]),Table2[[#This Row],[Exp_Years]])</f>
        <v>0</v>
      </c>
      <c r="Q487">
        <v>1</v>
      </c>
      <c r="S487" t="str">
        <f>IF(Table2[[#This Row],[Performance_Rating]]&gt;=3,Table2[[#This Row],[Monthly_Salary]]*0.3,"")</f>
        <v/>
      </c>
      <c r="T487">
        <v>88</v>
      </c>
      <c r="U487">
        <v>5</v>
      </c>
      <c r="V487">
        <v>2</v>
      </c>
      <c r="X487" t="s">
        <v>38</v>
      </c>
      <c r="Y487" t="str">
        <f>IF(Table2[[#This Row],[Work_Mode]]&lt;&gt;"",Table2[[#This Row],[Work_Mode]],
IF(ISNUMBER(SEARCH("India",Table2[[#This Row],[Emp_Name]])),"Office",
IF(ISNUMBER(SEARCH("Foreign",Table2[[#This Row],[Emp_Name]])),"Remote","")))</f>
        <v>Hybrid</v>
      </c>
      <c r="Z487">
        <v>20</v>
      </c>
      <c r="AA48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487" t="s">
        <v>39</v>
      </c>
      <c r="AC487" t="str">
        <f>IF(COUNTIF(Table2[Emp_ID],Table2[[#This Row],[Emp_ID]])&gt;1,"Duplicate","Unique")</f>
        <v>Unique</v>
      </c>
      <c r="AE487" s="2"/>
      <c r="AG487" t="str">
        <f>IF(Table2[[#This Row],[Monthly_Salary]]="","Exclude",
IF(Table2[[#This Row],[Row_Status]]="Mismatch","Exclude",
IF(AND(Table2[[#This Row],[Row_Status]]="Exact Duplicate",
COUNTIFS(Table2[Emp_ID],Table2[[#This Row],[Emp_ID]],Table2[Row_Concat],Table2[[#This Row],[Row_Concat]],
Table2[Row_Number],"&lt;"&amp;Table2[[#This Row],[Row_Number]])&gt;=1),"Delete","")))</f>
        <v/>
      </c>
      <c r="AH487" t="str">
        <f>VLOOKUP(Table2[[#This Row],[Department]],Raw_2!A:B,2,0)</f>
        <v>Night</v>
      </c>
      <c r="AI487">
        <f>VLOOKUP(Table2[[#This Row],[Department]],Raw_2!A:C,3,0)</f>
        <v>20</v>
      </c>
    </row>
    <row r="488" spans="1:35">
      <c r="A488" t="s">
        <v>1017</v>
      </c>
      <c r="B488" t="s">
        <v>1018</v>
      </c>
      <c r="C488">
        <v>24</v>
      </c>
      <c r="E488" t="str">
        <f>IF(OR(Table2[[#This Row],[Gender]]="Male",Table2[[#This Row],[Gender]]="M"),"M",
IF(OR(Table2[[#This Row],[Gender]]="Female",Table2[[#This Row],[Gender]]="F"),"F",""))</f>
        <v/>
      </c>
      <c r="F488" t="s">
        <v>57</v>
      </c>
      <c r="G488" t="s">
        <v>27</v>
      </c>
      <c r="H488" t="s">
        <v>1046</v>
      </c>
      <c r="I488" t="s">
        <v>1060</v>
      </c>
      <c r="J488" t="str">
        <f>IF(ISNUMBER(SEARCH("India",Table2[[#This Row],[Emp_Name]])),"INR",
IF(ISNUMBER(SEARCH("Foreign",Table2[[#This Row],[Emp_Name]])),Table2[[#This Row],[Currency]],Table2[[#This Row],[Currency]]))</f>
        <v>INR</v>
      </c>
      <c r="K488">
        <v>29000</v>
      </c>
      <c r="L488">
        <v>12</v>
      </c>
      <c r="M488">
        <f>IF(Table2[[#This Row],[Num_Month]]&lt;&gt;12,12,Table2[[#This Row],[Num_Month]])</f>
        <v>12</v>
      </c>
      <c r="N488">
        <f>IF(Table2[[#This Row],[Monthly_Salary]]="","",Table2[[#This Row],[Monthly_Salary]]*Table2[[#This Row],[Num_Month_Final]])</f>
        <v>348000</v>
      </c>
      <c r="O488">
        <v>1</v>
      </c>
      <c r="P488">
        <f>IF(Table2[[#This Row],[Exp_Years]]&lt;0,ABS(Table2[[#This Row],[Exp_Years]]),Table2[[#This Row],[Exp_Years]])</f>
        <v>1</v>
      </c>
      <c r="Q488">
        <v>4</v>
      </c>
      <c r="R488">
        <v>7000</v>
      </c>
      <c r="S488">
        <f>IF(Table2[[#This Row],[Performance_Rating]]&gt;=3,Table2[[#This Row],[Monthly_Salary]]*0.3,"")</f>
        <v>8700</v>
      </c>
      <c r="T488">
        <v>85</v>
      </c>
      <c r="U488">
        <v>5</v>
      </c>
      <c r="V488">
        <v>8</v>
      </c>
      <c r="W488" t="s">
        <v>37</v>
      </c>
      <c r="X488" t="s">
        <v>19</v>
      </c>
      <c r="Y488" t="str">
        <f>IF(Table2[[#This Row],[Work_Mode]]&lt;&gt;"",Table2[[#This Row],[Work_Mode]],
IF(ISNUMBER(SEARCH("India",Table2[[#This Row],[Emp_Name]])),"Office",
IF(ISNUMBER(SEARCH("Foreign",Table2[[#This Row],[Emp_Name]])),"Remote","")))</f>
        <v>Office</v>
      </c>
      <c r="Z488">
        <v>5</v>
      </c>
      <c r="AA48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488" t="s">
        <v>58</v>
      </c>
      <c r="AC488" t="str">
        <f>IF(COUNTIF(Table2[Emp_ID],Table2[[#This Row],[Emp_ID]])&gt;1,"Duplicate","Unique")</f>
        <v>Unique</v>
      </c>
      <c r="AE488" s="2"/>
      <c r="AG488" t="str">
        <f>IF(Table2[[#This Row],[Monthly_Salary]]="","Exclude",
IF(Table2[[#This Row],[Row_Status]]="Mismatch","Exclude",
IF(AND(Table2[[#This Row],[Row_Status]]="Exact Duplicate",
COUNTIFS(Table2[Emp_ID],Table2[[#This Row],[Emp_ID]],Table2[Row_Concat],Table2[[#This Row],[Row_Concat]],
Table2[Row_Number],"&lt;"&amp;Table2[[#This Row],[Row_Number]])&gt;=1),"Delete","")))</f>
        <v/>
      </c>
      <c r="AH488" t="str">
        <f>VLOOKUP(Table2[[#This Row],[Department]],Raw_2!A:B,2,0)</f>
        <v>Day</v>
      </c>
      <c r="AI488">
        <f>VLOOKUP(Table2[[#This Row],[Department]],Raw_2!A:C,3,0)</f>
        <v>12</v>
      </c>
    </row>
    <row r="489" spans="1:35">
      <c r="A489" t="s">
        <v>1019</v>
      </c>
      <c r="B489" t="s">
        <v>1020</v>
      </c>
      <c r="C489">
        <v>24</v>
      </c>
      <c r="D489" t="s">
        <v>34</v>
      </c>
      <c r="E489" t="str">
        <f>IF(OR(Table2[[#This Row],[Gender]]="Male",Table2[[#This Row],[Gender]]="M"),"M",
IF(OR(Table2[[#This Row],[Gender]]="Female",Table2[[#This Row],[Gender]]="F"),"F",""))</f>
        <v>F</v>
      </c>
      <c r="F489" t="s">
        <v>47</v>
      </c>
      <c r="G489" t="s">
        <v>66</v>
      </c>
      <c r="H489" t="s">
        <v>1046</v>
      </c>
      <c r="I489" t="s">
        <v>1060</v>
      </c>
      <c r="J489" t="str">
        <f>IF(ISNUMBER(SEARCH("India",Table2[[#This Row],[Emp_Name]])),"INR",
IF(ISNUMBER(SEARCH("Foreign",Table2[[#This Row],[Emp_Name]])),Table2[[#This Row],[Currency]],Table2[[#This Row],[Currency]]))</f>
        <v>INR</v>
      </c>
      <c r="K489">
        <v>29000</v>
      </c>
      <c r="L489">
        <v>12</v>
      </c>
      <c r="M489">
        <f>IF(Table2[[#This Row],[Num_Month]]&lt;&gt;12,12,Table2[[#This Row],[Num_Month]])</f>
        <v>12</v>
      </c>
      <c r="N489">
        <f>IF(Table2[[#This Row],[Monthly_Salary]]="","",Table2[[#This Row],[Monthly_Salary]]*Table2[[#This Row],[Num_Month_Final]])</f>
        <v>348000</v>
      </c>
      <c r="O489">
        <v>2</v>
      </c>
      <c r="P489">
        <f>IF(Table2[[#This Row],[Exp_Years]]&lt;0,ABS(Table2[[#This Row],[Exp_Years]]),Table2[[#This Row],[Exp_Years]])</f>
        <v>2</v>
      </c>
      <c r="Q489">
        <v>3</v>
      </c>
      <c r="R489">
        <v>6000</v>
      </c>
      <c r="S489">
        <f>IF(Table2[[#This Row],[Performance_Rating]]&gt;=3,Table2[[#This Row],[Monthly_Salary]]*0.3,"")</f>
        <v>8700</v>
      </c>
      <c r="T489">
        <v>88</v>
      </c>
      <c r="U489">
        <v>15</v>
      </c>
      <c r="V489">
        <v>2</v>
      </c>
      <c r="W489" t="s">
        <v>21</v>
      </c>
      <c r="X489" t="s">
        <v>19</v>
      </c>
      <c r="Y489" t="str">
        <f>IF(Table2[[#This Row],[Work_Mode]]&lt;&gt;"",Table2[[#This Row],[Work_Mode]],
IF(ISNUMBER(SEARCH("India",Table2[[#This Row],[Emp_Name]])),"Office",
IF(ISNUMBER(SEARCH("Foreign",Table2[[#This Row],[Emp_Name]])),"Remote","")))</f>
        <v>Office</v>
      </c>
      <c r="AA48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89" t="s">
        <v>22</v>
      </c>
      <c r="AC489" t="str">
        <f>IF(COUNTIF(Table2[Emp_ID],Table2[[#This Row],[Emp_ID]])&gt;1,"Duplicate","Unique")</f>
        <v>Unique</v>
      </c>
      <c r="AE489" s="2"/>
      <c r="AG489" t="str">
        <f>IF(Table2[[#This Row],[Monthly_Salary]]="","Exclude",
IF(Table2[[#This Row],[Row_Status]]="Mismatch","Exclude",
IF(AND(Table2[[#This Row],[Row_Status]]="Exact Duplicate",
COUNTIFS(Table2[Emp_ID],Table2[[#This Row],[Emp_ID]],Table2[Row_Concat],Table2[[#This Row],[Row_Concat]],
Table2[Row_Number],"&lt;"&amp;Table2[[#This Row],[Row_Number]])&gt;=1),"Delete","")))</f>
        <v/>
      </c>
      <c r="AH489" t="str">
        <f>VLOOKUP(Table2[[#This Row],[Department]],Raw_2!A:B,2,0)</f>
        <v>Night</v>
      </c>
      <c r="AI489">
        <f>VLOOKUP(Table2[[#This Row],[Department]],Raw_2!A:C,3,0)</f>
        <v>20</v>
      </c>
    </row>
    <row r="490" spans="1:35">
      <c r="A490" t="s">
        <v>1021</v>
      </c>
      <c r="B490" t="s">
        <v>1022</v>
      </c>
      <c r="C490">
        <v>23</v>
      </c>
      <c r="D490" t="s">
        <v>16</v>
      </c>
      <c r="E490" t="str">
        <f>IF(OR(Table2[[#This Row],[Gender]]="Male",Table2[[#This Row],[Gender]]="M"),"M",
IF(OR(Table2[[#This Row],[Gender]]="Female",Table2[[#This Row],[Gender]]="F"),"F",""))</f>
        <v>M</v>
      </c>
      <c r="F490" t="s">
        <v>17</v>
      </c>
      <c r="G490" t="s">
        <v>18</v>
      </c>
      <c r="H490" t="s">
        <v>1046</v>
      </c>
      <c r="I490" t="s">
        <v>1060</v>
      </c>
      <c r="J490" t="str">
        <f>IF(ISNUMBER(SEARCH("India",Table2[[#This Row],[Emp_Name]])),"INR",
IF(ISNUMBER(SEARCH("Foreign",Table2[[#This Row],[Emp_Name]])),Table2[[#This Row],[Currency]],Table2[[#This Row],[Currency]]))</f>
        <v>INR</v>
      </c>
      <c r="K490">
        <v>20000</v>
      </c>
      <c r="L490">
        <v>12</v>
      </c>
      <c r="M490">
        <f>IF(Table2[[#This Row],[Num_Month]]&lt;&gt;12,12,Table2[[#This Row],[Num_Month]])</f>
        <v>12</v>
      </c>
      <c r="N490">
        <f>IF(Table2[[#This Row],[Monthly_Salary]]="","",Table2[[#This Row],[Monthly_Salary]]*Table2[[#This Row],[Num_Month_Final]])</f>
        <v>240000</v>
      </c>
      <c r="O490">
        <v>0</v>
      </c>
      <c r="P490">
        <f>IF(Table2[[#This Row],[Exp_Years]]&lt;0,ABS(Table2[[#This Row],[Exp_Years]]),Table2[[#This Row],[Exp_Years]])</f>
        <v>0</v>
      </c>
      <c r="Q490">
        <v>1</v>
      </c>
      <c r="S490" t="str">
        <f>IF(Table2[[#This Row],[Performance_Rating]]&gt;=3,Table2[[#This Row],[Monthly_Salary]]*0.3,"")</f>
        <v/>
      </c>
      <c r="T490">
        <v>80</v>
      </c>
      <c r="U490">
        <v>15</v>
      </c>
      <c r="V490">
        <v>2</v>
      </c>
      <c r="W490" t="s">
        <v>37</v>
      </c>
      <c r="X490" t="s">
        <v>19</v>
      </c>
      <c r="Y490" t="str">
        <f>IF(Table2[[#This Row],[Work_Mode]]&lt;&gt;"",Table2[[#This Row],[Work_Mode]],
IF(ISNUMBER(SEARCH("India",Table2[[#This Row],[Emp_Name]])),"Office",
IF(ISNUMBER(SEARCH("Foreign",Table2[[#This Row],[Emp_Name]])),"Remote","")))</f>
        <v>Office</v>
      </c>
      <c r="Z490">
        <v>10</v>
      </c>
      <c r="AA49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490" t="s">
        <v>39</v>
      </c>
      <c r="AC490" t="str">
        <f>IF(COUNTIF(Table2[Emp_ID],Table2[[#This Row],[Emp_ID]])&gt;1,"Duplicate","Unique")</f>
        <v>Unique</v>
      </c>
      <c r="AE490" s="2"/>
      <c r="AG490" t="str">
        <f>IF(Table2[[#This Row],[Monthly_Salary]]="","Exclude",
IF(Table2[[#This Row],[Row_Status]]="Mismatch","Exclude",
IF(AND(Table2[[#This Row],[Row_Status]]="Exact Duplicate",
COUNTIFS(Table2[Emp_ID],Table2[[#This Row],[Emp_ID]],Table2[Row_Concat],Table2[[#This Row],[Row_Concat]],
Table2[Row_Number],"&lt;"&amp;Table2[[#This Row],[Row_Number]])&gt;=1),"Delete","")))</f>
        <v/>
      </c>
      <c r="AH490" t="str">
        <f>VLOOKUP(Table2[[#This Row],[Department]],Raw_2!A:B,2,0)</f>
        <v>Day</v>
      </c>
      <c r="AI490">
        <f>VLOOKUP(Table2[[#This Row],[Department]],Raw_2!A:C,3,0)</f>
        <v>10</v>
      </c>
    </row>
    <row r="491" spans="1:35">
      <c r="A491" t="s">
        <v>1023</v>
      </c>
      <c r="B491" t="s">
        <v>1024</v>
      </c>
      <c r="C491">
        <v>24</v>
      </c>
      <c r="E491" t="str">
        <f>IF(OR(Table2[[#This Row],[Gender]]="Male",Table2[[#This Row],[Gender]]="M"),"M",
IF(OR(Table2[[#This Row],[Gender]]="Female",Table2[[#This Row],[Gender]]="F"),"F",""))</f>
        <v/>
      </c>
      <c r="F491" t="s">
        <v>64</v>
      </c>
      <c r="G491" t="s">
        <v>42</v>
      </c>
      <c r="H491" t="s">
        <v>43</v>
      </c>
      <c r="I491" t="s">
        <v>1059</v>
      </c>
      <c r="J491" t="str">
        <f>IF(ISNUMBER(SEARCH("India",Table2[[#This Row],[Emp_Name]])),"INR",
IF(ISNUMBER(SEARCH("Foreign",Table2[[#This Row],[Emp_Name]])),Table2[[#This Row],[Currency]],Table2[[#This Row],[Currency]]))</f>
        <v>USD</v>
      </c>
      <c r="K491">
        <v>22000</v>
      </c>
      <c r="L491">
        <v>12</v>
      </c>
      <c r="M491">
        <f>IF(Table2[[#This Row],[Num_Month]]&lt;&gt;12,12,Table2[[#This Row],[Num_Month]])</f>
        <v>12</v>
      </c>
      <c r="N491">
        <f>IF(Table2[[#This Row],[Monthly_Salary]]="","",Table2[[#This Row],[Monthly_Salary]]*Table2[[#This Row],[Num_Month_Final]])</f>
        <v>264000</v>
      </c>
      <c r="O491">
        <v>1</v>
      </c>
      <c r="P491">
        <f>IF(Table2[[#This Row],[Exp_Years]]&lt;0,ABS(Table2[[#This Row],[Exp_Years]]),Table2[[#This Row],[Exp_Years]])</f>
        <v>1</v>
      </c>
      <c r="Q491">
        <v>1</v>
      </c>
      <c r="S491" t="str">
        <f>IF(Table2[[#This Row],[Performance_Rating]]&gt;=3,Table2[[#This Row],[Monthly_Salary]]*0.3,"")</f>
        <v/>
      </c>
      <c r="T491">
        <v>95</v>
      </c>
      <c r="U491">
        <v>15</v>
      </c>
      <c r="V491">
        <v>3</v>
      </c>
      <c r="W491" t="s">
        <v>21</v>
      </c>
      <c r="X491" t="s">
        <v>28</v>
      </c>
      <c r="Y491" t="str">
        <f>IF(Table2[[#This Row],[Work_Mode]]&lt;&gt;"",Table2[[#This Row],[Work_Mode]],
IF(ISNUMBER(SEARCH("India",Table2[[#This Row],[Emp_Name]])),"Office",
IF(ISNUMBER(SEARCH("Foreign",Table2[[#This Row],[Emp_Name]])),"Remote","")))</f>
        <v>Remote</v>
      </c>
      <c r="Z491">
        <v>20</v>
      </c>
      <c r="AA49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491" t="s">
        <v>39</v>
      </c>
      <c r="AC491" t="str">
        <f>IF(COUNTIF(Table2[Emp_ID],Table2[[#This Row],[Emp_ID]])&gt;1,"Duplicate","Unique")</f>
        <v>Unique</v>
      </c>
      <c r="AE491" s="2"/>
      <c r="AG491" t="str">
        <f>IF(Table2[[#This Row],[Monthly_Salary]]="","Exclude",
IF(Table2[[#This Row],[Row_Status]]="Mismatch","Exclude",
IF(AND(Table2[[#This Row],[Row_Status]]="Exact Duplicate",
COUNTIFS(Table2[Emp_ID],Table2[[#This Row],[Emp_ID]],Table2[Row_Concat],Table2[[#This Row],[Row_Concat]],
Table2[Row_Number],"&lt;"&amp;Table2[[#This Row],[Row_Number]])&gt;=1),"Delete","")))</f>
        <v/>
      </c>
      <c r="AH491" t="str">
        <f>VLOOKUP(Table2[[#This Row],[Department]],Raw_2!A:B,2,0)</f>
        <v>Day</v>
      </c>
      <c r="AI491">
        <f>VLOOKUP(Table2[[#This Row],[Department]],Raw_2!A:C,3,0)</f>
        <v>14</v>
      </c>
    </row>
    <row r="492" spans="1:35">
      <c r="A492" t="s">
        <v>1025</v>
      </c>
      <c r="B492" t="s">
        <v>1026</v>
      </c>
      <c r="C492">
        <v>24</v>
      </c>
      <c r="D492" t="s">
        <v>25</v>
      </c>
      <c r="E492" t="str">
        <f>IF(OR(Table2[[#This Row],[Gender]]="Male",Table2[[#This Row],[Gender]]="M"),"M",
IF(OR(Table2[[#This Row],[Gender]]="Female",Table2[[#This Row],[Gender]]="F"),"F",""))</f>
        <v>F</v>
      </c>
      <c r="F492" t="s">
        <v>47</v>
      </c>
      <c r="G492" t="s">
        <v>31</v>
      </c>
      <c r="H492" t="s">
        <v>43</v>
      </c>
      <c r="I492" t="s">
        <v>1060</v>
      </c>
      <c r="J492" t="str">
        <f>IF(ISNUMBER(SEARCH("India",Table2[[#This Row],[Emp_Name]])),"INR",
IF(ISNUMBER(SEARCH("Foreign",Table2[[#This Row],[Emp_Name]])),Table2[[#This Row],[Currency]],Table2[[#This Row],[Currency]]))</f>
        <v>INR</v>
      </c>
      <c r="K492">
        <v>24000</v>
      </c>
      <c r="L492">
        <v>12</v>
      </c>
      <c r="M492">
        <f>IF(Table2[[#This Row],[Num_Month]]&lt;&gt;12,12,Table2[[#This Row],[Num_Month]])</f>
        <v>12</v>
      </c>
      <c r="N492">
        <f>IF(Table2[[#This Row],[Monthly_Salary]]="","",Table2[[#This Row],[Monthly_Salary]]*Table2[[#This Row],[Num_Month_Final]])</f>
        <v>288000</v>
      </c>
      <c r="O492">
        <v>1</v>
      </c>
      <c r="P492">
        <f>IF(Table2[[#This Row],[Exp_Years]]&lt;0,ABS(Table2[[#This Row],[Exp_Years]]),Table2[[#This Row],[Exp_Years]])</f>
        <v>1</v>
      </c>
      <c r="Q492">
        <v>4</v>
      </c>
      <c r="R492">
        <v>16000</v>
      </c>
      <c r="S492">
        <f>IF(Table2[[#This Row],[Performance_Rating]]&gt;=3,Table2[[#This Row],[Monthly_Salary]]*0.3,"")</f>
        <v>7200</v>
      </c>
      <c r="T492">
        <v>88</v>
      </c>
      <c r="U492">
        <v>5</v>
      </c>
      <c r="V492">
        <v>5</v>
      </c>
      <c r="X492" t="s">
        <v>38</v>
      </c>
      <c r="Y492" t="str">
        <f>IF(Table2[[#This Row],[Work_Mode]]&lt;&gt;"",Table2[[#This Row],[Work_Mode]],
IF(ISNUMBER(SEARCH("India",Table2[[#This Row],[Emp_Name]])),"Office",
IF(ISNUMBER(SEARCH("Foreign",Table2[[#This Row],[Emp_Name]])),"Remote","")))</f>
        <v>Hybrid</v>
      </c>
      <c r="AA49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92" t="s">
        <v>22</v>
      </c>
      <c r="AC492" t="str">
        <f>IF(COUNTIF(Table2[Emp_ID],Table2[[#This Row],[Emp_ID]])&gt;1,"Duplicate","Unique")</f>
        <v>Unique</v>
      </c>
      <c r="AE492" s="2"/>
      <c r="AG492" t="str">
        <f>IF(Table2[[#This Row],[Monthly_Salary]]="","Exclude",
IF(Table2[[#This Row],[Row_Status]]="Mismatch","Exclude",
IF(AND(Table2[[#This Row],[Row_Status]]="Exact Duplicate",
COUNTIFS(Table2[Emp_ID],Table2[[#This Row],[Emp_ID]],Table2[Row_Concat],Table2[[#This Row],[Row_Concat]],
Table2[Row_Number],"&lt;"&amp;Table2[[#This Row],[Row_Number]])&gt;=1),"Delete","")))</f>
        <v/>
      </c>
      <c r="AH492" t="str">
        <f>VLOOKUP(Table2[[#This Row],[Department]],Raw_2!A:B,2,0)</f>
        <v>Night</v>
      </c>
      <c r="AI492">
        <f>VLOOKUP(Table2[[#This Row],[Department]],Raw_2!A:C,3,0)</f>
        <v>13</v>
      </c>
    </row>
    <row r="493" spans="1:35">
      <c r="A493" t="s">
        <v>995</v>
      </c>
      <c r="B493" t="s">
        <v>996</v>
      </c>
      <c r="C493">
        <v>24</v>
      </c>
      <c r="D493" t="s">
        <v>46</v>
      </c>
      <c r="E493" t="str">
        <f>IF(OR(Table2[[#This Row],[Gender]]="Male",Table2[[#This Row],[Gender]]="M"),"M",
IF(OR(Table2[[#This Row],[Gender]]="Female",Table2[[#This Row],[Gender]]="F"),"F",""))</f>
        <v>M</v>
      </c>
      <c r="F493" t="s">
        <v>73</v>
      </c>
      <c r="G493" t="s">
        <v>18</v>
      </c>
      <c r="H493" t="s">
        <v>43</v>
      </c>
      <c r="I493" t="s">
        <v>1059</v>
      </c>
      <c r="J493" t="str">
        <f>IF(ISNUMBER(SEARCH("India",Table2[[#This Row],[Emp_Name]])),"INR",
IF(ISNUMBER(SEARCH("Foreign",Table2[[#This Row],[Emp_Name]])),Table2[[#This Row],[Currency]],Table2[[#This Row],[Currency]]))</f>
        <v>USD</v>
      </c>
      <c r="K493">
        <v>28000</v>
      </c>
      <c r="L493">
        <v>12</v>
      </c>
      <c r="M493">
        <f>IF(Table2[[#This Row],[Num_Month]]&lt;&gt;12,12,Table2[[#This Row],[Num_Month]])</f>
        <v>12</v>
      </c>
      <c r="N493">
        <f>IF(Table2[[#This Row],[Monthly_Salary]]="","",Table2[[#This Row],[Monthly_Salary]]*Table2[[#This Row],[Num_Month_Final]])</f>
        <v>336000</v>
      </c>
      <c r="O493">
        <v>2</v>
      </c>
      <c r="P493">
        <f>IF(Table2[[#This Row],[Exp_Years]]&lt;0,ABS(Table2[[#This Row],[Exp_Years]]),Table2[[#This Row],[Exp_Years]])</f>
        <v>2</v>
      </c>
      <c r="Q493">
        <v>4</v>
      </c>
      <c r="R493">
        <v>16000</v>
      </c>
      <c r="S493">
        <f>IF(Table2[[#This Row],[Performance_Rating]]&gt;=3,Table2[[#This Row],[Monthly_Salary]]*0.3,"")</f>
        <v>8400</v>
      </c>
      <c r="T493">
        <v>95</v>
      </c>
      <c r="U493">
        <v>15</v>
      </c>
      <c r="V493">
        <v>3</v>
      </c>
      <c r="W493" t="s">
        <v>37</v>
      </c>
      <c r="X493" t="s">
        <v>28</v>
      </c>
      <c r="Y493" t="str">
        <f>IF(Table2[[#This Row],[Work_Mode]]&lt;&gt;"",Table2[[#This Row],[Work_Mode]],
IF(ISNUMBER(SEARCH("India",Table2[[#This Row],[Emp_Name]])),"Office",
IF(ISNUMBER(SEARCH("Foreign",Table2[[#This Row],[Emp_Name]])),"Remote","")))</f>
        <v>Remote</v>
      </c>
      <c r="AA493">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493" t="s">
        <v>58</v>
      </c>
      <c r="AC493" t="str">
        <f>IF(COUNTIF(Table2[Emp_ID],Table2[[#This Row],[Emp_ID]])&gt;1,"Duplicate","Unique")</f>
        <v>Unique</v>
      </c>
      <c r="AE493" s="2"/>
      <c r="AG493" t="str">
        <f>IF(Table2[[#This Row],[Monthly_Salary]]="","Exclude",
IF(Table2[[#This Row],[Row_Status]]="Mismatch","Exclude",
IF(AND(Table2[[#This Row],[Row_Status]]="Exact Duplicate",
COUNTIFS(Table2[Emp_ID],Table2[[#This Row],[Emp_ID]],Table2[Row_Concat],Table2[[#This Row],[Row_Concat]],
Table2[Row_Number],"&lt;"&amp;Table2[[#This Row],[Row_Number]])&gt;=1),"Delete","")))</f>
        <v/>
      </c>
      <c r="AH493" t="str">
        <f>VLOOKUP(Table2[[#This Row],[Department]],Raw_2!A:B,2,0)</f>
        <v>Day</v>
      </c>
      <c r="AI493">
        <f>VLOOKUP(Table2[[#This Row],[Department]],Raw_2!A:C,3,0)</f>
        <v>10</v>
      </c>
    </row>
    <row r="494" spans="1:35">
      <c r="A494" t="s">
        <v>1027</v>
      </c>
      <c r="B494" t="s">
        <v>1028</v>
      </c>
      <c r="C494">
        <v>23</v>
      </c>
      <c r="D494" t="s">
        <v>25</v>
      </c>
      <c r="E494" t="str">
        <f>IF(OR(Table2[[#This Row],[Gender]]="Male",Table2[[#This Row],[Gender]]="M"),"M",
IF(OR(Table2[[#This Row],[Gender]]="Female",Table2[[#This Row],[Gender]]="F"),"F",""))</f>
        <v>F</v>
      </c>
      <c r="F494" t="s">
        <v>17</v>
      </c>
      <c r="G494" t="s">
        <v>31</v>
      </c>
      <c r="H494" t="s">
        <v>43</v>
      </c>
      <c r="I494" t="s">
        <v>1060</v>
      </c>
      <c r="J494" t="str">
        <f>IF(ISNUMBER(SEARCH("India",Table2[[#This Row],[Emp_Name]])),"INR",
IF(ISNUMBER(SEARCH("Foreign",Table2[[#This Row],[Emp_Name]])),Table2[[#This Row],[Currency]],Table2[[#This Row],[Currency]]))</f>
        <v>INR</v>
      </c>
      <c r="K494">
        <v>28000</v>
      </c>
      <c r="L494">
        <v>12</v>
      </c>
      <c r="M494">
        <f>IF(Table2[[#This Row],[Num_Month]]&lt;&gt;12,12,Table2[[#This Row],[Num_Month]])</f>
        <v>12</v>
      </c>
      <c r="N494">
        <f>IF(Table2[[#This Row],[Monthly_Salary]]="","",Table2[[#This Row],[Monthly_Salary]]*Table2[[#This Row],[Num_Month_Final]])</f>
        <v>336000</v>
      </c>
      <c r="O494">
        <v>2</v>
      </c>
      <c r="P494">
        <f>IF(Table2[[#This Row],[Exp_Years]]&lt;0,ABS(Table2[[#This Row],[Exp_Years]]),Table2[[#This Row],[Exp_Years]])</f>
        <v>2</v>
      </c>
      <c r="Q494">
        <v>2</v>
      </c>
      <c r="S494" t="str">
        <f>IF(Table2[[#This Row],[Performance_Rating]]&gt;=3,Table2[[#This Row],[Monthly_Salary]]*0.3,"")</f>
        <v/>
      </c>
      <c r="T494">
        <v>85</v>
      </c>
      <c r="U494">
        <v>10</v>
      </c>
      <c r="V494">
        <v>1</v>
      </c>
      <c r="W494" t="s">
        <v>37</v>
      </c>
      <c r="X494" t="s">
        <v>19</v>
      </c>
      <c r="Y494" t="str">
        <f>IF(Table2[[#This Row],[Work_Mode]]&lt;&gt;"",Table2[[#This Row],[Work_Mode]],
IF(ISNUMBER(SEARCH("India",Table2[[#This Row],[Emp_Name]])),"Office",
IF(ISNUMBER(SEARCH("Foreign",Table2[[#This Row],[Emp_Name]])),"Remote","")))</f>
        <v>Office</v>
      </c>
      <c r="Z494">
        <v>10</v>
      </c>
      <c r="AA494">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494" t="s">
        <v>39</v>
      </c>
      <c r="AC494" t="str">
        <f>IF(COUNTIF(Table2[Emp_ID],Table2[[#This Row],[Emp_ID]])&gt;1,"Duplicate","Unique")</f>
        <v>Unique</v>
      </c>
      <c r="AE494" s="2"/>
      <c r="AG494" t="str">
        <f>IF(Table2[[#This Row],[Monthly_Salary]]="","Exclude",
IF(Table2[[#This Row],[Row_Status]]="Mismatch","Exclude",
IF(AND(Table2[[#This Row],[Row_Status]]="Exact Duplicate",
COUNTIFS(Table2[Emp_ID],Table2[[#This Row],[Emp_ID]],Table2[Row_Concat],Table2[[#This Row],[Row_Concat]],
Table2[Row_Number],"&lt;"&amp;Table2[[#This Row],[Row_Number]])&gt;=1),"Delete","")))</f>
        <v/>
      </c>
      <c r="AH494" t="str">
        <f>VLOOKUP(Table2[[#This Row],[Department]],Raw_2!A:B,2,0)</f>
        <v>Night</v>
      </c>
      <c r="AI494">
        <f>VLOOKUP(Table2[[#This Row],[Department]],Raw_2!A:C,3,0)</f>
        <v>13</v>
      </c>
    </row>
    <row r="495" spans="1:35">
      <c r="A495" t="s">
        <v>1029</v>
      </c>
      <c r="B495" t="s">
        <v>1030</v>
      </c>
      <c r="C495">
        <v>28</v>
      </c>
      <c r="D495" t="s">
        <v>16</v>
      </c>
      <c r="E495" t="str">
        <f>IF(OR(Table2[[#This Row],[Gender]]="Male",Table2[[#This Row],[Gender]]="M"),"M",
IF(OR(Table2[[#This Row],[Gender]]="Female",Table2[[#This Row],[Gender]]="F"),"F",""))</f>
        <v>M</v>
      </c>
      <c r="F495" t="s">
        <v>61</v>
      </c>
      <c r="G495" t="s">
        <v>42</v>
      </c>
      <c r="H495" t="s">
        <v>1045</v>
      </c>
      <c r="I495" t="s">
        <v>1060</v>
      </c>
      <c r="J495" t="str">
        <f>IF(ISNUMBER(SEARCH("India",Table2[[#This Row],[Emp_Name]])),"INR",
IF(ISNUMBER(SEARCH("Foreign",Table2[[#This Row],[Emp_Name]])),Table2[[#This Row],[Currency]],Table2[[#This Row],[Currency]]))</f>
        <v>INR</v>
      </c>
      <c r="K495">
        <v>77000</v>
      </c>
      <c r="L495">
        <v>12</v>
      </c>
      <c r="M495">
        <f>IF(Table2[[#This Row],[Num_Month]]&lt;&gt;12,12,Table2[[#This Row],[Num_Month]])</f>
        <v>12</v>
      </c>
      <c r="N495">
        <f>IF(Table2[[#This Row],[Monthly_Salary]]="","",Table2[[#This Row],[Monthly_Salary]]*Table2[[#This Row],[Num_Month_Final]])</f>
        <v>924000</v>
      </c>
      <c r="O495">
        <v>5</v>
      </c>
      <c r="P495">
        <f>IF(Table2[[#This Row],[Exp_Years]]&lt;0,ABS(Table2[[#This Row],[Exp_Years]]),Table2[[#This Row],[Exp_Years]])</f>
        <v>5</v>
      </c>
      <c r="Q495">
        <v>2</v>
      </c>
      <c r="S495" t="str">
        <f>IF(Table2[[#This Row],[Performance_Rating]]&gt;=3,Table2[[#This Row],[Monthly_Salary]]*0.3,"")</f>
        <v/>
      </c>
      <c r="T495">
        <v>95</v>
      </c>
      <c r="U495">
        <v>15</v>
      </c>
      <c r="V495">
        <v>2</v>
      </c>
      <c r="W495" t="s">
        <v>37</v>
      </c>
      <c r="X495" t="s">
        <v>38</v>
      </c>
      <c r="Y495" t="str">
        <f>IF(Table2[[#This Row],[Work_Mode]]&lt;&gt;"",Table2[[#This Row],[Work_Mode]],
IF(ISNUMBER(SEARCH("India",Table2[[#This Row],[Emp_Name]])),"Office",
IF(ISNUMBER(SEARCH("Foreign",Table2[[#This Row],[Emp_Name]])),"Remote","")))</f>
        <v>Hybrid</v>
      </c>
      <c r="Z495">
        <v>10</v>
      </c>
      <c r="AA495">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3000</v>
      </c>
      <c r="AB495" t="s">
        <v>39</v>
      </c>
      <c r="AC495" t="str">
        <f>IF(COUNTIF(Table2[Emp_ID],Table2[[#This Row],[Emp_ID]])&gt;1,"Duplicate","Unique")</f>
        <v>Unique</v>
      </c>
      <c r="AE495" s="2"/>
      <c r="AG495" t="str">
        <f>IF(Table2[[#This Row],[Monthly_Salary]]="","Exclude",
IF(Table2[[#This Row],[Row_Status]]="Mismatch","Exclude",
IF(AND(Table2[[#This Row],[Row_Status]]="Exact Duplicate",
COUNTIFS(Table2[Emp_ID],Table2[[#This Row],[Emp_ID]],Table2[Row_Concat],Table2[[#This Row],[Row_Concat]],
Table2[Row_Number],"&lt;"&amp;Table2[[#This Row],[Row_Number]])&gt;=1),"Delete","")))</f>
        <v/>
      </c>
      <c r="AH495" t="str">
        <f>VLOOKUP(Table2[[#This Row],[Department]],Raw_2!A:B,2,0)</f>
        <v>Day</v>
      </c>
      <c r="AI495">
        <f>VLOOKUP(Table2[[#This Row],[Department]],Raw_2!A:C,3,0)</f>
        <v>14</v>
      </c>
    </row>
    <row r="496" spans="1:35">
      <c r="A496" t="s">
        <v>1031</v>
      </c>
      <c r="B496" t="s">
        <v>1032</v>
      </c>
      <c r="C496">
        <v>25</v>
      </c>
      <c r="D496" t="s">
        <v>34</v>
      </c>
      <c r="E496" t="str">
        <f>IF(OR(Table2[[#This Row],[Gender]]="Male",Table2[[#This Row],[Gender]]="M"),"M",
IF(OR(Table2[[#This Row],[Gender]]="Female",Table2[[#This Row],[Gender]]="F"),"F",""))</f>
        <v>F</v>
      </c>
      <c r="F496" t="s">
        <v>50</v>
      </c>
      <c r="G496" t="s">
        <v>31</v>
      </c>
      <c r="H496" t="s">
        <v>43</v>
      </c>
      <c r="I496" t="s">
        <v>1060</v>
      </c>
      <c r="J496" t="str">
        <f>IF(ISNUMBER(SEARCH("India",Table2[[#This Row],[Emp_Name]])),"INR",
IF(ISNUMBER(SEARCH("Foreign",Table2[[#This Row],[Emp_Name]])),Table2[[#This Row],[Currency]],Table2[[#This Row],[Currency]]))</f>
        <v>INR</v>
      </c>
      <c r="K496">
        <v>24000</v>
      </c>
      <c r="L496">
        <v>12</v>
      </c>
      <c r="M496">
        <f>IF(Table2[[#This Row],[Num_Month]]&lt;&gt;12,12,Table2[[#This Row],[Num_Month]])</f>
        <v>12</v>
      </c>
      <c r="N496">
        <f>IF(Table2[[#This Row],[Monthly_Salary]]="","",Table2[[#This Row],[Monthly_Salary]]*Table2[[#This Row],[Num_Month_Final]])</f>
        <v>288000</v>
      </c>
      <c r="O496">
        <v>1</v>
      </c>
      <c r="P496">
        <f>IF(Table2[[#This Row],[Exp_Years]]&lt;0,ABS(Table2[[#This Row],[Exp_Years]]),Table2[[#This Row],[Exp_Years]])</f>
        <v>1</v>
      </c>
      <c r="Q496">
        <v>2</v>
      </c>
      <c r="S496" t="str">
        <f>IF(Table2[[#This Row],[Performance_Rating]]&gt;=3,Table2[[#This Row],[Monthly_Salary]]*0.3,"")</f>
        <v/>
      </c>
      <c r="T496">
        <v>85</v>
      </c>
      <c r="U496">
        <v>10</v>
      </c>
      <c r="V496">
        <v>5</v>
      </c>
      <c r="W496" t="s">
        <v>37</v>
      </c>
      <c r="X496" t="s">
        <v>19</v>
      </c>
      <c r="Y496" t="str">
        <f>IF(Table2[[#This Row],[Work_Mode]]&lt;&gt;"",Table2[[#This Row],[Work_Mode]],
IF(ISNUMBER(SEARCH("India",Table2[[#This Row],[Emp_Name]])),"Office",
IF(ISNUMBER(SEARCH("Foreign",Table2[[#This Row],[Emp_Name]])),"Remote","")))</f>
        <v>Office</v>
      </c>
      <c r="Z496">
        <v>10</v>
      </c>
      <c r="AA496">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2500</v>
      </c>
      <c r="AB496" t="s">
        <v>39</v>
      </c>
      <c r="AC496" t="str">
        <f>IF(COUNTIF(Table2[Emp_ID],Table2[[#This Row],[Emp_ID]])&gt;1,"Duplicate","Unique")</f>
        <v>Unique</v>
      </c>
      <c r="AE496" s="2"/>
      <c r="AG496" t="str">
        <f>IF(Table2[[#This Row],[Monthly_Salary]]="","Exclude",
IF(Table2[[#This Row],[Row_Status]]="Mismatch","Exclude",
IF(AND(Table2[[#This Row],[Row_Status]]="Exact Duplicate",
COUNTIFS(Table2[Emp_ID],Table2[[#This Row],[Emp_ID]],Table2[Row_Concat],Table2[[#This Row],[Row_Concat]],
Table2[Row_Number],"&lt;"&amp;Table2[[#This Row],[Row_Number]])&gt;=1),"Delete","")))</f>
        <v/>
      </c>
      <c r="AH496" t="str">
        <f>VLOOKUP(Table2[[#This Row],[Department]],Raw_2!A:B,2,0)</f>
        <v>Night</v>
      </c>
      <c r="AI496">
        <f>VLOOKUP(Table2[[#This Row],[Department]],Raw_2!A:C,3,0)</f>
        <v>13</v>
      </c>
    </row>
    <row r="497" spans="1:35">
      <c r="A497" t="s">
        <v>1033</v>
      </c>
      <c r="B497" t="s">
        <v>1034</v>
      </c>
      <c r="C497">
        <v>25</v>
      </c>
      <c r="D497" t="s">
        <v>25</v>
      </c>
      <c r="E497" t="str">
        <f>IF(OR(Table2[[#This Row],[Gender]]="Male",Table2[[#This Row],[Gender]]="M"),"M",
IF(OR(Table2[[#This Row],[Gender]]="Female",Table2[[#This Row],[Gender]]="F"),"F",""))</f>
        <v>F</v>
      </c>
      <c r="F497" t="s">
        <v>47</v>
      </c>
      <c r="G497" t="s">
        <v>18</v>
      </c>
      <c r="H497" t="s">
        <v>43</v>
      </c>
      <c r="I497" t="s">
        <v>1060</v>
      </c>
      <c r="J497" t="str">
        <f>IF(ISNUMBER(SEARCH("India",Table2[[#This Row],[Emp_Name]])),"INR",
IF(ISNUMBER(SEARCH("Foreign",Table2[[#This Row],[Emp_Name]])),Table2[[#This Row],[Currency]],Table2[[#This Row],[Currency]]))</f>
        <v>INR</v>
      </c>
      <c r="K497">
        <v>19500</v>
      </c>
      <c r="L497">
        <v>12</v>
      </c>
      <c r="M497">
        <f>IF(Table2[[#This Row],[Num_Month]]&lt;&gt;12,12,Table2[[#This Row],[Num_Month]])</f>
        <v>12</v>
      </c>
      <c r="N497">
        <f>IF(Table2[[#This Row],[Monthly_Salary]]="","",Table2[[#This Row],[Monthly_Salary]]*Table2[[#This Row],[Num_Month_Final]])</f>
        <v>234000</v>
      </c>
      <c r="O497">
        <v>1</v>
      </c>
      <c r="P497">
        <f>IF(Table2[[#This Row],[Exp_Years]]&lt;0,ABS(Table2[[#This Row],[Exp_Years]]),Table2[[#This Row],[Exp_Years]])</f>
        <v>1</v>
      </c>
      <c r="Q497">
        <v>1</v>
      </c>
      <c r="S497" t="str">
        <f>IF(Table2[[#This Row],[Performance_Rating]]&gt;=3,Table2[[#This Row],[Monthly_Salary]]*0.3,"")</f>
        <v/>
      </c>
      <c r="T497">
        <v>80</v>
      </c>
      <c r="U497">
        <v>15</v>
      </c>
      <c r="V497">
        <v>3</v>
      </c>
      <c r="W497" t="s">
        <v>37</v>
      </c>
      <c r="X497" t="s">
        <v>38</v>
      </c>
      <c r="Y497" t="str">
        <f>IF(Table2[[#This Row],[Work_Mode]]&lt;&gt;"",Table2[[#This Row],[Work_Mode]],
IF(ISNUMBER(SEARCH("India",Table2[[#This Row],[Emp_Name]])),"Office",
IF(ISNUMBER(SEARCH("Foreign",Table2[[#This Row],[Emp_Name]])),"Remote","")))</f>
        <v>Hybrid</v>
      </c>
      <c r="Z497">
        <v>20</v>
      </c>
      <c r="AA497">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497" t="s">
        <v>39</v>
      </c>
      <c r="AC497" t="str">
        <f>IF(COUNTIF(Table2[Emp_ID],Table2[[#This Row],[Emp_ID]])&gt;1,"Duplicate","Unique")</f>
        <v>Unique</v>
      </c>
      <c r="AE497" s="2"/>
      <c r="AG497" t="str">
        <f>IF(Table2[[#This Row],[Monthly_Salary]]="","Exclude",
IF(Table2[[#This Row],[Row_Status]]="Mismatch","Exclude",
IF(AND(Table2[[#This Row],[Row_Status]]="Exact Duplicate",
COUNTIFS(Table2[Emp_ID],Table2[[#This Row],[Emp_ID]],Table2[Row_Concat],Table2[[#This Row],[Row_Concat]],
Table2[Row_Number],"&lt;"&amp;Table2[[#This Row],[Row_Number]])&gt;=1),"Delete","")))</f>
        <v/>
      </c>
      <c r="AH497" t="str">
        <f>VLOOKUP(Table2[[#This Row],[Department]],Raw_2!A:B,2,0)</f>
        <v>Day</v>
      </c>
      <c r="AI497">
        <f>VLOOKUP(Table2[[#This Row],[Department]],Raw_2!A:C,3,0)</f>
        <v>10</v>
      </c>
    </row>
    <row r="498" spans="1:35">
      <c r="A498" t="s">
        <v>1035</v>
      </c>
      <c r="B498" t="s">
        <v>1036</v>
      </c>
      <c r="C498">
        <v>24</v>
      </c>
      <c r="D498" t="s">
        <v>25</v>
      </c>
      <c r="E498" t="str">
        <f>IF(OR(Table2[[#This Row],[Gender]]="Male",Table2[[#This Row],[Gender]]="M"),"M",
IF(OR(Table2[[#This Row],[Gender]]="Female",Table2[[#This Row],[Gender]]="F"),"F",""))</f>
        <v>F</v>
      </c>
      <c r="F498" t="s">
        <v>17</v>
      </c>
      <c r="G498" t="s">
        <v>27</v>
      </c>
      <c r="H498" t="s">
        <v>43</v>
      </c>
      <c r="I498" t="s">
        <v>1059</v>
      </c>
      <c r="J498" t="str">
        <f>IF(ISNUMBER(SEARCH("India",Table2[[#This Row],[Emp_Name]])),"INR",
IF(ISNUMBER(SEARCH("Foreign",Table2[[#This Row],[Emp_Name]])),Table2[[#This Row],[Currency]],Table2[[#This Row],[Currency]]))</f>
        <v>USD</v>
      </c>
      <c r="K498">
        <v>28000</v>
      </c>
      <c r="L498">
        <v>12</v>
      </c>
      <c r="M498">
        <f>IF(Table2[[#This Row],[Num_Month]]&lt;&gt;12,12,Table2[[#This Row],[Num_Month]])</f>
        <v>12</v>
      </c>
      <c r="N498">
        <f>IF(Table2[[#This Row],[Monthly_Salary]]="","",Table2[[#This Row],[Monthly_Salary]]*Table2[[#This Row],[Num_Month_Final]])</f>
        <v>336000</v>
      </c>
      <c r="O498">
        <v>2</v>
      </c>
      <c r="P498">
        <f>IF(Table2[[#This Row],[Exp_Years]]&lt;0,ABS(Table2[[#This Row],[Exp_Years]]),Table2[[#This Row],[Exp_Years]])</f>
        <v>2</v>
      </c>
      <c r="Q498">
        <v>5</v>
      </c>
      <c r="R498">
        <v>20000</v>
      </c>
      <c r="S498">
        <f>IF(Table2[[#This Row],[Performance_Rating]]&gt;=3,Table2[[#This Row],[Monthly_Salary]]*0.3,"")</f>
        <v>8400</v>
      </c>
      <c r="T498">
        <v>95</v>
      </c>
      <c r="U498">
        <v>5</v>
      </c>
      <c r="V498">
        <v>2</v>
      </c>
      <c r="W498" t="s">
        <v>37</v>
      </c>
      <c r="X498" t="s">
        <v>28</v>
      </c>
      <c r="Y498" t="str">
        <f>IF(Table2[[#This Row],[Work_Mode]]&lt;&gt;"",Table2[[#This Row],[Work_Mode]],
IF(ISNUMBER(SEARCH("India",Table2[[#This Row],[Emp_Name]])),"Office",
IF(ISNUMBER(SEARCH("Foreign",Table2[[#This Row],[Emp_Name]])),"Remote","")))</f>
        <v>Remote</v>
      </c>
      <c r="Z498">
        <v>5</v>
      </c>
      <c r="AA498">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1250</v>
      </c>
      <c r="AB498" t="s">
        <v>58</v>
      </c>
      <c r="AC498" t="str">
        <f>IF(COUNTIF(Table2[Emp_ID],Table2[[#This Row],[Emp_ID]])&gt;1,"Duplicate","Unique")</f>
        <v>Unique</v>
      </c>
      <c r="AE498" s="2"/>
      <c r="AG498" t="str">
        <f>IF(Table2[[#This Row],[Monthly_Salary]]="","Exclude",
IF(Table2[[#This Row],[Row_Status]]="Mismatch","Exclude",
IF(AND(Table2[[#This Row],[Row_Status]]="Exact Duplicate",
COUNTIFS(Table2[Emp_ID],Table2[[#This Row],[Emp_ID]],Table2[Row_Concat],Table2[[#This Row],[Row_Concat]],
Table2[Row_Number],"&lt;"&amp;Table2[[#This Row],[Row_Number]])&gt;=1),"Delete","")))</f>
        <v/>
      </c>
      <c r="AH498" t="str">
        <f>VLOOKUP(Table2[[#This Row],[Department]],Raw_2!A:B,2,0)</f>
        <v>Day</v>
      </c>
      <c r="AI498">
        <f>VLOOKUP(Table2[[#This Row],[Department]],Raw_2!A:C,3,0)</f>
        <v>12</v>
      </c>
    </row>
    <row r="499" spans="1:35">
      <c r="A499" t="s">
        <v>1037</v>
      </c>
      <c r="B499" t="s">
        <v>1038</v>
      </c>
      <c r="C499">
        <v>24</v>
      </c>
      <c r="E499" t="str">
        <f>IF(OR(Table2[[#This Row],[Gender]]="Male",Table2[[#This Row],[Gender]]="M"),"M",
IF(OR(Table2[[#This Row],[Gender]]="Female",Table2[[#This Row],[Gender]]="F"),"F",""))</f>
        <v/>
      </c>
      <c r="F499" t="s">
        <v>17</v>
      </c>
      <c r="G499" t="s">
        <v>18</v>
      </c>
      <c r="H499" t="s">
        <v>43</v>
      </c>
      <c r="I499" t="s">
        <v>1060</v>
      </c>
      <c r="J499" t="str">
        <f>IF(ISNUMBER(SEARCH("India",Table2[[#This Row],[Emp_Name]])),"INR",
IF(ISNUMBER(SEARCH("Foreign",Table2[[#This Row],[Emp_Name]])),Table2[[#This Row],[Currency]],Table2[[#This Row],[Currency]]))</f>
        <v>INR</v>
      </c>
      <c r="K499">
        <v>19800</v>
      </c>
      <c r="L499">
        <v>12</v>
      </c>
      <c r="M499">
        <f>IF(Table2[[#This Row],[Num_Month]]&lt;&gt;12,12,Table2[[#This Row],[Num_Month]])</f>
        <v>12</v>
      </c>
      <c r="N499">
        <f>IF(Table2[[#This Row],[Monthly_Salary]]="","",Table2[[#This Row],[Monthly_Salary]]*Table2[[#This Row],[Num_Month_Final]])</f>
        <v>237600</v>
      </c>
      <c r="O499">
        <v>1</v>
      </c>
      <c r="P499">
        <f>IF(Table2[[#This Row],[Exp_Years]]&lt;0,ABS(Table2[[#This Row],[Exp_Years]]),Table2[[#This Row],[Exp_Years]])</f>
        <v>1</v>
      </c>
      <c r="Q499">
        <v>4</v>
      </c>
      <c r="R499">
        <v>16000</v>
      </c>
      <c r="S499">
        <f>IF(Table2[[#This Row],[Performance_Rating]]&gt;=3,Table2[[#This Row],[Monthly_Salary]]*0.3,"")</f>
        <v>5940</v>
      </c>
      <c r="T499">
        <v>85</v>
      </c>
      <c r="U499">
        <v>5</v>
      </c>
      <c r="V499">
        <v>6</v>
      </c>
      <c r="W499" t="s">
        <v>21</v>
      </c>
      <c r="X499" t="s">
        <v>38</v>
      </c>
      <c r="Y499" t="str">
        <f>IF(Table2[[#This Row],[Work_Mode]]&lt;&gt;"",Table2[[#This Row],[Work_Mode]],
IF(ISNUMBER(SEARCH("India",Table2[[#This Row],[Emp_Name]])),"Office",
IF(ISNUMBER(SEARCH("Foreign",Table2[[#This Row],[Emp_Name]])),"Remote","")))</f>
        <v>Hybrid</v>
      </c>
      <c r="Z499">
        <v>20</v>
      </c>
      <c r="AA499">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499" t="s">
        <v>22</v>
      </c>
      <c r="AC499" t="str">
        <f>IF(COUNTIF(Table2[Emp_ID],Table2[[#This Row],[Emp_ID]])&gt;1,"Duplicate","Unique")</f>
        <v>Unique</v>
      </c>
      <c r="AE499" s="2"/>
      <c r="AG499" t="str">
        <f>IF(Table2[[#This Row],[Monthly_Salary]]="","Exclude",
IF(Table2[[#This Row],[Row_Status]]="Mismatch","Exclude",
IF(AND(Table2[[#This Row],[Row_Status]]="Exact Duplicate",
COUNTIFS(Table2[Emp_ID],Table2[[#This Row],[Emp_ID]],Table2[Row_Concat],Table2[[#This Row],[Row_Concat]],
Table2[Row_Number],"&lt;"&amp;Table2[[#This Row],[Row_Number]])&gt;=1),"Delete","")))</f>
        <v/>
      </c>
      <c r="AH499" t="str">
        <f>VLOOKUP(Table2[[#This Row],[Department]],Raw_2!A:B,2,0)</f>
        <v>Day</v>
      </c>
      <c r="AI499">
        <f>VLOOKUP(Table2[[#This Row],[Department]],Raw_2!A:C,3,0)</f>
        <v>10</v>
      </c>
    </row>
    <row r="500" spans="1:35">
      <c r="A500" t="s">
        <v>1039</v>
      </c>
      <c r="B500" t="s">
        <v>1040</v>
      </c>
      <c r="C500">
        <v>23</v>
      </c>
      <c r="D500" t="s">
        <v>34</v>
      </c>
      <c r="E500" t="str">
        <f>IF(OR(Table2[[#This Row],[Gender]]="Male",Table2[[#This Row],[Gender]]="M"),"M",
IF(OR(Table2[[#This Row],[Gender]]="Female",Table2[[#This Row],[Gender]]="F"),"F",""))</f>
        <v>F</v>
      </c>
      <c r="F500" t="s">
        <v>17</v>
      </c>
      <c r="G500" t="s">
        <v>66</v>
      </c>
      <c r="H500" t="s">
        <v>43</v>
      </c>
      <c r="I500" t="s">
        <v>1060</v>
      </c>
      <c r="J500" t="str">
        <f>IF(ISNUMBER(SEARCH("India",Table2[[#This Row],[Emp_Name]])),"INR",
IF(ISNUMBER(SEARCH("Foreign",Table2[[#This Row],[Emp_Name]])),Table2[[#This Row],[Currency]],Table2[[#This Row],[Currency]]))</f>
        <v>INR</v>
      </c>
      <c r="K500">
        <v>28000</v>
      </c>
      <c r="L500">
        <v>12</v>
      </c>
      <c r="M500">
        <f>IF(Table2[[#This Row],[Num_Month]]&lt;&gt;12,12,Table2[[#This Row],[Num_Month]])</f>
        <v>12</v>
      </c>
      <c r="N500">
        <f>IF(Table2[[#This Row],[Monthly_Salary]]="","",Table2[[#This Row],[Monthly_Salary]]*Table2[[#This Row],[Num_Month_Final]])</f>
        <v>336000</v>
      </c>
      <c r="O500">
        <v>2</v>
      </c>
      <c r="P500">
        <f>IF(Table2[[#This Row],[Exp_Years]]&lt;0,ABS(Table2[[#This Row],[Exp_Years]]),Table2[[#This Row],[Exp_Years]])</f>
        <v>2</v>
      </c>
      <c r="Q500">
        <v>2</v>
      </c>
      <c r="S500" t="str">
        <f>IF(Table2[[#This Row],[Performance_Rating]]&gt;=3,Table2[[#This Row],[Monthly_Salary]]*0.3,"")</f>
        <v/>
      </c>
      <c r="T500">
        <v>85</v>
      </c>
      <c r="U500">
        <v>5</v>
      </c>
      <c r="V500">
        <v>3</v>
      </c>
      <c r="W500" t="s">
        <v>21</v>
      </c>
      <c r="X500" t="s">
        <v>38</v>
      </c>
      <c r="Y500" t="str">
        <f>IF(Table2[[#This Row],[Work_Mode]]&lt;&gt;"",Table2[[#This Row],[Work_Mode]],
IF(ISNUMBER(SEARCH("India",Table2[[#This Row],[Emp_Name]])),"Office",
IF(ISNUMBER(SEARCH("Foreign",Table2[[#This Row],[Emp_Name]])),"Remote","")))</f>
        <v>Hybrid</v>
      </c>
      <c r="Z500">
        <v>20</v>
      </c>
      <c r="AA500">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5000</v>
      </c>
      <c r="AB500" t="s">
        <v>39</v>
      </c>
      <c r="AC500" t="str">
        <f>IF(COUNTIF(Table2[Emp_ID],Table2[[#This Row],[Emp_ID]])&gt;1,"Duplicate","Unique")</f>
        <v>Unique</v>
      </c>
      <c r="AE500" s="2"/>
      <c r="AG500" t="str">
        <f>IF(Table2[[#This Row],[Monthly_Salary]]="","Exclude",
IF(Table2[[#This Row],[Row_Status]]="Mismatch","Exclude",
IF(AND(Table2[[#This Row],[Row_Status]]="Exact Duplicate",
COUNTIFS(Table2[Emp_ID],Table2[[#This Row],[Emp_ID]],Table2[Row_Concat],Table2[[#This Row],[Row_Concat]],
Table2[Row_Number],"&lt;"&amp;Table2[[#This Row],[Row_Number]])&gt;=1),"Delete","")))</f>
        <v/>
      </c>
      <c r="AH500" t="str">
        <f>VLOOKUP(Table2[[#This Row],[Department]],Raw_2!A:B,2,0)</f>
        <v>Night</v>
      </c>
      <c r="AI500">
        <f>VLOOKUP(Table2[[#This Row],[Department]],Raw_2!A:C,3,0)</f>
        <v>20</v>
      </c>
    </row>
    <row r="501" spans="1:35">
      <c r="A501" t="s">
        <v>1041</v>
      </c>
      <c r="B501" t="s">
        <v>1042</v>
      </c>
      <c r="C501">
        <v>24</v>
      </c>
      <c r="D501" t="s">
        <v>25</v>
      </c>
      <c r="E501" t="str">
        <f>IF(OR(Table2[[#This Row],[Gender]]="Male",Table2[[#This Row],[Gender]]="M"),"M",
IF(OR(Table2[[#This Row],[Gender]]="Female",Table2[[#This Row],[Gender]]="F"),"F",""))</f>
        <v>F</v>
      </c>
      <c r="F501" t="s">
        <v>50</v>
      </c>
      <c r="G501" t="s">
        <v>18</v>
      </c>
      <c r="H501" t="s">
        <v>43</v>
      </c>
      <c r="I501" t="s">
        <v>1060</v>
      </c>
      <c r="J501" t="str">
        <f>IF(ISNUMBER(SEARCH("India",Table2[[#This Row],[Emp_Name]])),"INR",
IF(ISNUMBER(SEARCH("Foreign",Table2[[#This Row],[Emp_Name]])),Table2[[#This Row],[Currency]],Table2[[#This Row],[Currency]]))</f>
        <v>INR</v>
      </c>
      <c r="K501">
        <v>19800</v>
      </c>
      <c r="L501">
        <v>12</v>
      </c>
      <c r="M501">
        <f>IF(Table2[[#This Row],[Num_Month]]&lt;&gt;12,12,Table2[[#This Row],[Num_Month]])</f>
        <v>12</v>
      </c>
      <c r="N501">
        <f>IF(Table2[[#This Row],[Monthly_Salary]]="","",Table2[[#This Row],[Monthly_Salary]]*Table2[[#This Row],[Num_Month_Final]])</f>
        <v>237600</v>
      </c>
      <c r="O501">
        <v>1</v>
      </c>
      <c r="P501">
        <f>IF(Table2[[#This Row],[Exp_Years]]&lt;0,ABS(Table2[[#This Row],[Exp_Years]]),Table2[[#This Row],[Exp_Years]])</f>
        <v>1</v>
      </c>
      <c r="Q501">
        <v>1</v>
      </c>
      <c r="S501" t="str">
        <f>IF(Table2[[#This Row],[Performance_Rating]]&gt;=3,Table2[[#This Row],[Monthly_Salary]]*0.3,"")</f>
        <v/>
      </c>
      <c r="T501">
        <v>88</v>
      </c>
      <c r="U501">
        <v>15</v>
      </c>
      <c r="V501">
        <v>5</v>
      </c>
      <c r="W501" t="s">
        <v>37</v>
      </c>
      <c r="X501" t="s">
        <v>38</v>
      </c>
      <c r="Y501" t="str">
        <f>IF(Table2[[#This Row],[Work_Mode]]&lt;&gt;"",Table2[[#This Row],[Work_Mode]],
IF(ISNUMBER(SEARCH("India",Table2[[#This Row],[Emp_Name]])),"Office",
IF(ISNUMBER(SEARCH("Foreign",Table2[[#This Row],[Emp_Name]])),"Remote","")))</f>
        <v>Hybrid</v>
      </c>
      <c r="AA501">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501" t="s">
        <v>39</v>
      </c>
      <c r="AC501" t="str">
        <f>IF(COUNTIF(Table2[Emp_ID],Table2[[#This Row],[Emp_ID]])&gt;1,"Duplicate","Unique")</f>
        <v>Unique</v>
      </c>
      <c r="AE501" s="2"/>
      <c r="AG501" t="str">
        <f>IF(Table2[[#This Row],[Monthly_Salary]]="","Exclude",
IF(Table2[[#This Row],[Row_Status]]="Mismatch","Exclude",
IF(AND(Table2[[#This Row],[Row_Status]]="Exact Duplicate",
COUNTIFS(Table2[Emp_ID],Table2[[#This Row],[Emp_ID]],Table2[Row_Concat],Table2[[#This Row],[Row_Concat]],
Table2[Row_Number],"&lt;"&amp;Table2[[#This Row],[Row_Number]])&gt;=1),"Delete","")))</f>
        <v/>
      </c>
      <c r="AH501" t="str">
        <f>VLOOKUP(Table2[[#This Row],[Department]],Raw_2!A:B,2,0)</f>
        <v>Day</v>
      </c>
      <c r="AI501">
        <f>VLOOKUP(Table2[[#This Row],[Department]],Raw_2!A:C,3,0)</f>
        <v>10</v>
      </c>
    </row>
    <row r="502" spans="1:35">
      <c r="A502" t="s">
        <v>1043</v>
      </c>
      <c r="B502" t="s">
        <v>1044</v>
      </c>
      <c r="C502">
        <v>20</v>
      </c>
      <c r="D502" t="s">
        <v>46</v>
      </c>
      <c r="E502" t="str">
        <f>IF(OR(Table2[[#This Row],[Gender]]="Male",Table2[[#This Row],[Gender]]="M"),"M",
IF(OR(Table2[[#This Row],[Gender]]="Female",Table2[[#This Row],[Gender]]="F"),"F",""))</f>
        <v>M</v>
      </c>
      <c r="F502" t="s">
        <v>47</v>
      </c>
      <c r="G502" t="s">
        <v>66</v>
      </c>
      <c r="H502" t="s">
        <v>1046</v>
      </c>
      <c r="I502" t="s">
        <v>1060</v>
      </c>
      <c r="J502" t="str">
        <f>IF(ISNUMBER(SEARCH("India",Table2[[#This Row],[Emp_Name]])),"INR",
IF(ISNUMBER(SEARCH("Foreign",Table2[[#This Row],[Emp_Name]])),Table2[[#This Row],[Currency]],Table2[[#This Row],[Currency]]))</f>
        <v>INR</v>
      </c>
      <c r="K502">
        <v>20000</v>
      </c>
      <c r="L502">
        <v>12</v>
      </c>
      <c r="M502">
        <f>IF(Table2[[#This Row],[Num_Month]]&lt;&gt;12,12,Table2[[#This Row],[Num_Month]])</f>
        <v>12</v>
      </c>
      <c r="N502">
        <f>IF(Table2[[#This Row],[Monthly_Salary]]="","",Table2[[#This Row],[Monthly_Salary]]*Table2[[#This Row],[Num_Month_Final]])</f>
        <v>240000</v>
      </c>
      <c r="O502">
        <v>1</v>
      </c>
      <c r="P502">
        <f>IF(Table2[[#This Row],[Exp_Years]]&lt;0,ABS(Table2[[#This Row],[Exp_Years]]),Table2[[#This Row],[Exp_Years]])</f>
        <v>1</v>
      </c>
      <c r="Q502">
        <v>1</v>
      </c>
      <c r="S502" t="str">
        <f>IF(Table2[[#This Row],[Performance_Rating]]&gt;=3,Table2[[#This Row],[Monthly_Salary]]*0.3,"")</f>
        <v/>
      </c>
      <c r="T502">
        <v>95</v>
      </c>
      <c r="U502">
        <v>10</v>
      </c>
      <c r="V502">
        <v>5</v>
      </c>
      <c r="W502" t="s">
        <v>37</v>
      </c>
      <c r="X502" t="s">
        <v>19</v>
      </c>
      <c r="Y502" t="str">
        <f>IF(Table2[[#This Row],[Work_Mode]]&lt;&gt;"",Table2[[#This Row],[Work_Mode]],
IF(ISNUMBER(SEARCH("India",Table2[[#This Row],[Emp_Name]])),"Office",
IF(ISNUMBER(SEARCH("Foreign",Table2[[#This Row],[Emp_Name]])),"Remote","")))</f>
        <v>Office</v>
      </c>
      <c r="AA502">
        <f>IF(OR(Table2[[#This Row],[Role]]="Intern",Table2[[#This Row],[Role]]="Administrative Assistant",Table2[[#This Row],[Role]]="Analyst"),
   Table2[[#This Row],[Overtime_Hours]]*250,
IF(OR(Table2[[#This Row],[Role]]="Senior Analyst",Table2[[#This Row],[Role]]="Specialist",Table2[[#This Row],[Role]]="Lead Analyst"),
   Table2[[#This Row],[Overtime_Hours]]*300,
IF(OR(Table2[[#This Row],[Role]]="Manager",Table2[[#This Row],[Role]]="Senior Manager"),
   Table2[[#This Row],[Overtime_Hours]]*350,
"")))</f>
        <v>0</v>
      </c>
      <c r="AB502" t="s">
        <v>39</v>
      </c>
      <c r="AC502" t="str">
        <f>IF(COUNTIF(Table2[Emp_ID],Table2[[#This Row],[Emp_ID]])&gt;1,"Duplicate","Unique")</f>
        <v>Unique</v>
      </c>
      <c r="AE502" s="2"/>
      <c r="AG502" t="str">
        <f>IF(Table2[[#This Row],[Monthly_Salary]]="","Exclude",
IF(Table2[[#This Row],[Row_Status]]="Mismatch","Exclude",
IF(AND(Table2[[#This Row],[Row_Status]]="Exact Duplicate",
COUNTIFS(Table2[Emp_ID],Table2[[#This Row],[Emp_ID]],Table2[Row_Concat],Table2[[#This Row],[Row_Concat]],
Table2[Row_Number],"&lt;"&amp;Table2[[#This Row],[Row_Number]])&gt;=1),"Delete","")))</f>
        <v/>
      </c>
      <c r="AH502" t="str">
        <f>VLOOKUP(Table2[[#This Row],[Department]],Raw_2!A:B,2,0)</f>
        <v>Night</v>
      </c>
      <c r="AI502">
        <f>VLOOKUP(Table2[[#This Row],[Department]],Raw_2!A:C,3,0)</f>
        <v>20</v>
      </c>
    </row>
  </sheetData>
  <phoneticPr fontId="18"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DCD7F-0080-4AEA-A463-DA2A26741F52}">
  <dimension ref="A1:Y502"/>
  <sheetViews>
    <sheetView workbookViewId="0"/>
  </sheetViews>
  <sheetFormatPr defaultColWidth="14.54296875" defaultRowHeight="14.5"/>
  <cols>
    <col min="1" max="1" width="9.6328125" bestFit="1" customWidth="1"/>
    <col min="2" max="2" width="19.36328125" bestFit="1" customWidth="1"/>
    <col min="3" max="3" width="6.1796875" bestFit="1" customWidth="1"/>
    <col min="4" max="4" width="14.1796875" bestFit="1" customWidth="1"/>
    <col min="5" max="5" width="10" bestFit="1" customWidth="1"/>
    <col min="6" max="6" width="16.08984375" bestFit="1" customWidth="1"/>
    <col min="7" max="7" width="21.08984375" bestFit="1" customWidth="1"/>
    <col min="8" max="8" width="15.54296875" bestFit="1" customWidth="1"/>
    <col min="9" max="9" width="16.26953125" bestFit="1" customWidth="1"/>
    <col min="10" max="10" width="18.81640625" bestFit="1" customWidth="1"/>
    <col min="11" max="11" width="15" bestFit="1" customWidth="1"/>
    <col min="12" max="12" width="16.6328125" bestFit="1" customWidth="1"/>
    <col min="13" max="13" width="20.36328125" bestFit="1" customWidth="1"/>
    <col min="14" max="14" width="12.6328125" bestFit="1" customWidth="1"/>
    <col min="15" max="15" width="15.36328125" bestFit="1" customWidth="1"/>
    <col min="16" max="16" width="14.7265625" bestFit="1" customWidth="1"/>
    <col min="17" max="17" width="18" bestFit="1" customWidth="1"/>
    <col min="18" max="18" width="18.453125" bestFit="1" customWidth="1"/>
    <col min="19" max="19" width="13.6328125" bestFit="1" customWidth="1"/>
    <col min="20" max="20" width="17" bestFit="1" customWidth="1"/>
    <col min="21" max="21" width="15.7265625" bestFit="1" customWidth="1"/>
    <col min="22" max="22" width="13.36328125" bestFit="1" customWidth="1"/>
    <col min="23" max="23" width="10.81640625" bestFit="1" customWidth="1"/>
    <col min="24" max="24" width="6.90625" bestFit="1" customWidth="1"/>
    <col min="25" max="25" width="15.90625" bestFit="1" customWidth="1"/>
    <col min="26" max="35" width="14.54296875" customWidth="1"/>
  </cols>
  <sheetData>
    <row r="1" spans="1:25">
      <c r="A1" t="s">
        <v>1061</v>
      </c>
      <c r="B1" t="s">
        <v>1062</v>
      </c>
      <c r="C1" t="s">
        <v>0</v>
      </c>
      <c r="D1" t="s">
        <v>1</v>
      </c>
      <c r="E1" t="s">
        <v>2</v>
      </c>
      <c r="F1" t="s">
        <v>3</v>
      </c>
      <c r="G1" t="s">
        <v>4</v>
      </c>
      <c r="H1" t="s">
        <v>1058</v>
      </c>
      <c r="I1" t="s">
        <v>1052</v>
      </c>
      <c r="J1" t="s">
        <v>1053</v>
      </c>
      <c r="K1" t="s">
        <v>1075</v>
      </c>
      <c r="L1" t="s">
        <v>1072</v>
      </c>
      <c r="M1" t="s">
        <v>5</v>
      </c>
      <c r="N1" t="s">
        <v>6</v>
      </c>
      <c r="O1" t="s">
        <v>7</v>
      </c>
      <c r="P1" t="s">
        <v>8</v>
      </c>
      <c r="Q1" t="s">
        <v>9</v>
      </c>
      <c r="R1" t="s">
        <v>10</v>
      </c>
      <c r="S1" t="s">
        <v>11</v>
      </c>
      <c r="T1" t="s">
        <v>13</v>
      </c>
      <c r="U1" t="s">
        <v>1076</v>
      </c>
      <c r="V1" t="s">
        <v>15</v>
      </c>
      <c r="W1" t="s">
        <v>1064</v>
      </c>
      <c r="X1" t="s">
        <v>12</v>
      </c>
      <c r="Y1" t="s">
        <v>14</v>
      </c>
    </row>
    <row r="2" spans="1:25">
      <c r="A2" t="s">
        <v>23</v>
      </c>
      <c r="B2" t="s">
        <v>24</v>
      </c>
      <c r="C2">
        <v>44</v>
      </c>
      <c r="D2" t="s">
        <v>25</v>
      </c>
      <c r="E2" t="s">
        <v>26</v>
      </c>
      <c r="F2" t="s">
        <v>27</v>
      </c>
      <c r="G2" t="s">
        <v>1049</v>
      </c>
      <c r="H2" t="s">
        <v>1060</v>
      </c>
      <c r="I2">
        <v>99000</v>
      </c>
      <c r="J2">
        <v>12</v>
      </c>
      <c r="K2">
        <v>1188000</v>
      </c>
      <c r="L2">
        <v>11</v>
      </c>
      <c r="M2">
        <v>4</v>
      </c>
      <c r="N2">
        <v>29700</v>
      </c>
      <c r="O2">
        <v>90</v>
      </c>
      <c r="P2">
        <v>15</v>
      </c>
      <c r="Q2">
        <v>3</v>
      </c>
      <c r="S2" t="s">
        <v>38</v>
      </c>
      <c r="U2" t="s">
        <v>1077</v>
      </c>
      <c r="V2" t="s">
        <v>22</v>
      </c>
      <c r="W2" t="s">
        <v>1077</v>
      </c>
      <c r="X2" t="s">
        <v>20</v>
      </c>
      <c r="Y2">
        <v>12</v>
      </c>
    </row>
    <row r="3" spans="1:25">
      <c r="A3" t="s">
        <v>29</v>
      </c>
      <c r="B3" t="s">
        <v>30</v>
      </c>
      <c r="C3">
        <v>24</v>
      </c>
      <c r="D3" t="s">
        <v>25</v>
      </c>
      <c r="E3" t="s">
        <v>26</v>
      </c>
      <c r="F3" t="s">
        <v>31</v>
      </c>
      <c r="G3" t="s">
        <v>1045</v>
      </c>
      <c r="H3" t="s">
        <v>1060</v>
      </c>
      <c r="I3">
        <v>70500</v>
      </c>
      <c r="J3">
        <v>12</v>
      </c>
      <c r="K3">
        <v>846000</v>
      </c>
      <c r="L3">
        <v>7</v>
      </c>
      <c r="M3">
        <v>4</v>
      </c>
      <c r="N3">
        <v>21150</v>
      </c>
      <c r="O3">
        <v>80</v>
      </c>
      <c r="P3">
        <v>5</v>
      </c>
      <c r="Q3">
        <v>5</v>
      </c>
      <c r="S3" t="s">
        <v>38</v>
      </c>
      <c r="T3">
        <v>5</v>
      </c>
      <c r="U3">
        <v>1500</v>
      </c>
      <c r="V3" t="s">
        <v>22</v>
      </c>
      <c r="W3" t="s">
        <v>1077</v>
      </c>
      <c r="X3" t="s">
        <v>33</v>
      </c>
      <c r="Y3">
        <v>13</v>
      </c>
    </row>
    <row r="4" spans="1:25">
      <c r="A4" t="s">
        <v>40</v>
      </c>
      <c r="B4" t="s">
        <v>41</v>
      </c>
      <c r="C4">
        <v>25</v>
      </c>
      <c r="D4" t="s">
        <v>1077</v>
      </c>
      <c r="E4" t="s">
        <v>17</v>
      </c>
      <c r="F4" t="s">
        <v>42</v>
      </c>
      <c r="G4" t="s">
        <v>51</v>
      </c>
      <c r="H4" t="s">
        <v>1060</v>
      </c>
      <c r="I4">
        <v>36000</v>
      </c>
      <c r="J4">
        <v>12</v>
      </c>
      <c r="K4">
        <v>432000</v>
      </c>
      <c r="L4">
        <v>3</v>
      </c>
      <c r="M4">
        <v>3</v>
      </c>
      <c r="N4">
        <v>10800</v>
      </c>
      <c r="O4">
        <v>90</v>
      </c>
      <c r="P4">
        <v>5</v>
      </c>
      <c r="Q4">
        <v>1</v>
      </c>
      <c r="R4" t="s">
        <v>21</v>
      </c>
      <c r="S4" t="s">
        <v>38</v>
      </c>
      <c r="T4">
        <v>10</v>
      </c>
      <c r="U4">
        <v>3000</v>
      </c>
      <c r="V4" t="s">
        <v>22</v>
      </c>
      <c r="W4" t="s">
        <v>1077</v>
      </c>
      <c r="X4" t="s">
        <v>20</v>
      </c>
      <c r="Y4">
        <v>14</v>
      </c>
    </row>
    <row r="5" spans="1:25">
      <c r="A5" t="s">
        <v>44</v>
      </c>
      <c r="B5" t="s">
        <v>45</v>
      </c>
      <c r="C5">
        <v>27</v>
      </c>
      <c r="D5" t="s">
        <v>46</v>
      </c>
      <c r="E5" t="s">
        <v>47</v>
      </c>
      <c r="F5" t="s">
        <v>31</v>
      </c>
      <c r="G5" t="s">
        <v>51</v>
      </c>
      <c r="H5" t="s">
        <v>1060</v>
      </c>
      <c r="I5">
        <v>36000</v>
      </c>
      <c r="J5">
        <v>12</v>
      </c>
      <c r="K5">
        <v>432000</v>
      </c>
      <c r="L5">
        <v>3</v>
      </c>
      <c r="M5">
        <v>3</v>
      </c>
      <c r="N5">
        <v>10800</v>
      </c>
      <c r="O5">
        <v>80</v>
      </c>
      <c r="P5">
        <v>5</v>
      </c>
      <c r="Q5">
        <v>3</v>
      </c>
      <c r="S5" t="s">
        <v>19</v>
      </c>
      <c r="T5">
        <v>10</v>
      </c>
      <c r="U5">
        <v>3000</v>
      </c>
      <c r="V5" t="s">
        <v>22</v>
      </c>
      <c r="W5" t="s">
        <v>1077</v>
      </c>
      <c r="X5" t="s">
        <v>33</v>
      </c>
      <c r="Y5">
        <v>13</v>
      </c>
    </row>
    <row r="6" spans="1:25">
      <c r="A6" t="s">
        <v>48</v>
      </c>
      <c r="B6" t="s">
        <v>49</v>
      </c>
      <c r="C6">
        <v>27</v>
      </c>
      <c r="D6" t="s">
        <v>46</v>
      </c>
      <c r="E6" t="s">
        <v>50</v>
      </c>
      <c r="F6" t="s">
        <v>31</v>
      </c>
      <c r="G6" t="s">
        <v>51</v>
      </c>
      <c r="H6" t="s">
        <v>1060</v>
      </c>
      <c r="I6">
        <v>49000</v>
      </c>
      <c r="J6">
        <v>12</v>
      </c>
      <c r="K6">
        <v>588000</v>
      </c>
      <c r="L6">
        <v>4</v>
      </c>
      <c r="M6">
        <v>2</v>
      </c>
      <c r="N6" t="s">
        <v>1077</v>
      </c>
      <c r="O6">
        <v>95</v>
      </c>
      <c r="P6">
        <v>5</v>
      </c>
      <c r="Q6">
        <v>3</v>
      </c>
      <c r="R6" t="s">
        <v>37</v>
      </c>
      <c r="S6" t="s">
        <v>38</v>
      </c>
      <c r="T6">
        <v>5</v>
      </c>
      <c r="U6">
        <v>1500</v>
      </c>
      <c r="V6" t="s">
        <v>39</v>
      </c>
      <c r="W6" t="s">
        <v>1077</v>
      </c>
      <c r="X6" t="s">
        <v>33</v>
      </c>
      <c r="Y6">
        <v>13</v>
      </c>
    </row>
    <row r="7" spans="1:25">
      <c r="A7" t="s">
        <v>52</v>
      </c>
      <c r="B7" t="s">
        <v>53</v>
      </c>
      <c r="C7">
        <v>27</v>
      </c>
      <c r="D7" t="s">
        <v>1077</v>
      </c>
      <c r="E7" t="s">
        <v>50</v>
      </c>
      <c r="F7" t="s">
        <v>36</v>
      </c>
      <c r="G7" t="s">
        <v>51</v>
      </c>
      <c r="H7" t="s">
        <v>1060</v>
      </c>
      <c r="I7">
        <v>51000</v>
      </c>
      <c r="J7">
        <v>12</v>
      </c>
      <c r="K7">
        <v>612000</v>
      </c>
      <c r="L7">
        <v>4</v>
      </c>
      <c r="M7">
        <v>3</v>
      </c>
      <c r="N7">
        <v>15300</v>
      </c>
      <c r="O7">
        <v>88</v>
      </c>
      <c r="P7">
        <v>5</v>
      </c>
      <c r="Q7">
        <v>5</v>
      </c>
      <c r="S7" t="s">
        <v>38</v>
      </c>
      <c r="U7">
        <v>0</v>
      </c>
      <c r="V7" t="s">
        <v>22</v>
      </c>
      <c r="W7" t="s">
        <v>1077</v>
      </c>
      <c r="X7" t="s">
        <v>20</v>
      </c>
      <c r="Y7">
        <v>25</v>
      </c>
    </row>
    <row r="8" spans="1:25">
      <c r="A8" t="s">
        <v>54</v>
      </c>
      <c r="B8" t="s">
        <v>55</v>
      </c>
      <c r="C8">
        <v>26</v>
      </c>
      <c r="D8" t="s">
        <v>25</v>
      </c>
      <c r="F8" t="s">
        <v>42</v>
      </c>
      <c r="G8" t="s">
        <v>51</v>
      </c>
      <c r="H8" t="s">
        <v>1060</v>
      </c>
      <c r="I8">
        <v>42000</v>
      </c>
      <c r="J8">
        <v>12</v>
      </c>
      <c r="K8">
        <v>504000</v>
      </c>
      <c r="L8">
        <v>3</v>
      </c>
      <c r="M8">
        <v>1</v>
      </c>
      <c r="N8" t="s">
        <v>1077</v>
      </c>
      <c r="O8">
        <v>95</v>
      </c>
      <c r="P8">
        <v>15</v>
      </c>
      <c r="Q8">
        <v>5</v>
      </c>
      <c r="R8" t="s">
        <v>21</v>
      </c>
      <c r="S8" t="s">
        <v>38</v>
      </c>
      <c r="T8">
        <v>10</v>
      </c>
      <c r="U8">
        <v>3000</v>
      </c>
      <c r="V8" t="s">
        <v>39</v>
      </c>
      <c r="W8" t="s">
        <v>1077</v>
      </c>
      <c r="X8" t="s">
        <v>20</v>
      </c>
      <c r="Y8">
        <v>14</v>
      </c>
    </row>
    <row r="9" spans="1:25">
      <c r="A9" t="s">
        <v>56</v>
      </c>
      <c r="B9" t="s">
        <v>594</v>
      </c>
      <c r="C9">
        <v>25</v>
      </c>
      <c r="D9" t="s">
        <v>25</v>
      </c>
      <c r="E9" t="s">
        <v>57</v>
      </c>
      <c r="F9" t="s">
        <v>42</v>
      </c>
      <c r="G9" t="s">
        <v>51</v>
      </c>
      <c r="H9" t="s">
        <v>1060</v>
      </c>
      <c r="I9">
        <v>36000</v>
      </c>
      <c r="J9">
        <v>12</v>
      </c>
      <c r="K9">
        <v>432000</v>
      </c>
      <c r="L9">
        <v>3</v>
      </c>
      <c r="M9">
        <v>4</v>
      </c>
      <c r="N9">
        <v>10800</v>
      </c>
      <c r="O9">
        <v>80</v>
      </c>
      <c r="P9">
        <v>7</v>
      </c>
      <c r="Q9">
        <v>5</v>
      </c>
      <c r="S9" t="s">
        <v>28</v>
      </c>
      <c r="U9">
        <v>0</v>
      </c>
      <c r="V9" t="s">
        <v>58</v>
      </c>
      <c r="W9" t="s">
        <v>1077</v>
      </c>
      <c r="X9" t="s">
        <v>20</v>
      </c>
      <c r="Y9">
        <v>14</v>
      </c>
    </row>
    <row r="10" spans="1:25">
      <c r="A10" t="s">
        <v>59</v>
      </c>
      <c r="B10" t="s">
        <v>60</v>
      </c>
      <c r="C10">
        <v>26</v>
      </c>
      <c r="D10" t="s">
        <v>1077</v>
      </c>
      <c r="E10" t="s">
        <v>61</v>
      </c>
      <c r="F10" t="s">
        <v>42</v>
      </c>
      <c r="G10" t="s">
        <v>51</v>
      </c>
      <c r="H10" t="s">
        <v>1060</v>
      </c>
      <c r="I10">
        <v>42333</v>
      </c>
      <c r="J10">
        <v>12</v>
      </c>
      <c r="K10">
        <v>507996</v>
      </c>
      <c r="L10">
        <v>3</v>
      </c>
      <c r="M10">
        <v>4</v>
      </c>
      <c r="N10">
        <v>12699.9</v>
      </c>
      <c r="O10">
        <v>85</v>
      </c>
      <c r="P10">
        <v>10</v>
      </c>
      <c r="Q10">
        <v>3</v>
      </c>
      <c r="S10" t="s">
        <v>19</v>
      </c>
      <c r="T10">
        <v>5</v>
      </c>
      <c r="U10">
        <v>1500</v>
      </c>
      <c r="V10" t="s">
        <v>22</v>
      </c>
      <c r="W10" t="s">
        <v>1077</v>
      </c>
      <c r="X10" t="s">
        <v>20</v>
      </c>
      <c r="Y10">
        <v>14</v>
      </c>
    </row>
    <row r="11" spans="1:25">
      <c r="A11" t="s">
        <v>62</v>
      </c>
      <c r="B11" t="s">
        <v>63</v>
      </c>
      <c r="C11">
        <v>26</v>
      </c>
      <c r="D11" t="s">
        <v>25</v>
      </c>
      <c r="E11" t="s">
        <v>64</v>
      </c>
      <c r="F11" t="s">
        <v>31</v>
      </c>
      <c r="G11" t="s">
        <v>51</v>
      </c>
      <c r="H11" t="s">
        <v>1060</v>
      </c>
      <c r="I11">
        <v>48000</v>
      </c>
      <c r="J11">
        <v>12</v>
      </c>
      <c r="K11">
        <v>576000</v>
      </c>
      <c r="L11">
        <v>4</v>
      </c>
      <c r="M11">
        <v>1</v>
      </c>
      <c r="N11" t="s">
        <v>1077</v>
      </c>
      <c r="O11">
        <v>88</v>
      </c>
      <c r="P11">
        <v>7</v>
      </c>
      <c r="Q11">
        <v>1</v>
      </c>
      <c r="R11" t="s">
        <v>21</v>
      </c>
      <c r="S11" t="s">
        <v>19</v>
      </c>
      <c r="U11">
        <v>0</v>
      </c>
      <c r="V11" t="s">
        <v>39</v>
      </c>
      <c r="W11" t="s">
        <v>1077</v>
      </c>
      <c r="X11" t="s">
        <v>33</v>
      </c>
      <c r="Y11">
        <v>13</v>
      </c>
    </row>
    <row r="12" spans="1:25">
      <c r="A12" t="s">
        <v>67</v>
      </c>
      <c r="B12" t="s">
        <v>68</v>
      </c>
      <c r="C12">
        <v>26</v>
      </c>
      <c r="D12" t="s">
        <v>25</v>
      </c>
      <c r="E12" t="s">
        <v>65</v>
      </c>
      <c r="F12" t="s">
        <v>27</v>
      </c>
      <c r="G12" t="s">
        <v>51</v>
      </c>
      <c r="H12" t="s">
        <v>1060</v>
      </c>
      <c r="I12">
        <v>48000</v>
      </c>
      <c r="J12">
        <v>12</v>
      </c>
      <c r="K12">
        <v>576000</v>
      </c>
      <c r="L12">
        <v>4</v>
      </c>
      <c r="M12">
        <v>4</v>
      </c>
      <c r="N12">
        <v>14400</v>
      </c>
      <c r="O12">
        <v>90</v>
      </c>
      <c r="P12">
        <v>10</v>
      </c>
      <c r="Q12">
        <v>1</v>
      </c>
      <c r="R12" t="s">
        <v>37</v>
      </c>
      <c r="S12" t="s">
        <v>38</v>
      </c>
      <c r="T12">
        <v>5</v>
      </c>
      <c r="U12">
        <v>1500</v>
      </c>
      <c r="V12" t="s">
        <v>22</v>
      </c>
      <c r="W12" t="s">
        <v>1077</v>
      </c>
      <c r="X12" t="s">
        <v>20</v>
      </c>
      <c r="Y12">
        <v>12</v>
      </c>
    </row>
    <row r="13" spans="1:25">
      <c r="A13" t="s">
        <v>69</v>
      </c>
      <c r="B13" t="s">
        <v>70</v>
      </c>
      <c r="C13">
        <v>26</v>
      </c>
      <c r="D13" t="s">
        <v>25</v>
      </c>
      <c r="E13" t="s">
        <v>35</v>
      </c>
      <c r="F13" t="s">
        <v>27</v>
      </c>
      <c r="G13" t="s">
        <v>51</v>
      </c>
      <c r="H13" t="s">
        <v>1060</v>
      </c>
      <c r="I13">
        <v>31000</v>
      </c>
      <c r="J13">
        <v>12</v>
      </c>
      <c r="K13">
        <v>372000</v>
      </c>
      <c r="L13">
        <v>2</v>
      </c>
      <c r="M13">
        <v>5</v>
      </c>
      <c r="N13">
        <v>9300</v>
      </c>
      <c r="O13">
        <v>85</v>
      </c>
      <c r="P13">
        <v>7</v>
      </c>
      <c r="Q13">
        <v>5</v>
      </c>
      <c r="S13" t="s">
        <v>38</v>
      </c>
      <c r="T13">
        <v>20</v>
      </c>
      <c r="U13">
        <v>6000</v>
      </c>
      <c r="V13" t="s">
        <v>58</v>
      </c>
      <c r="W13" t="s">
        <v>1077</v>
      </c>
      <c r="X13" t="s">
        <v>20</v>
      </c>
      <c r="Y13">
        <v>12</v>
      </c>
    </row>
    <row r="14" spans="1:25">
      <c r="A14" t="s">
        <v>71</v>
      </c>
      <c r="B14" t="s">
        <v>72</v>
      </c>
      <c r="C14">
        <v>27</v>
      </c>
      <c r="D14" t="s">
        <v>1077</v>
      </c>
      <c r="E14" t="s">
        <v>73</v>
      </c>
      <c r="F14" t="s">
        <v>42</v>
      </c>
      <c r="G14" t="s">
        <v>51</v>
      </c>
      <c r="H14" t="s">
        <v>1060</v>
      </c>
      <c r="I14">
        <v>35000</v>
      </c>
      <c r="J14">
        <v>12</v>
      </c>
      <c r="K14">
        <v>420000</v>
      </c>
      <c r="L14">
        <v>3</v>
      </c>
      <c r="M14">
        <v>1</v>
      </c>
      <c r="N14" t="s">
        <v>1077</v>
      </c>
      <c r="O14">
        <v>90</v>
      </c>
      <c r="P14">
        <v>5</v>
      </c>
      <c r="Q14">
        <v>3</v>
      </c>
      <c r="R14" t="s">
        <v>21</v>
      </c>
      <c r="S14" t="s">
        <v>38</v>
      </c>
      <c r="U14">
        <v>0</v>
      </c>
      <c r="V14" t="s">
        <v>39</v>
      </c>
      <c r="W14" t="s">
        <v>1077</v>
      </c>
      <c r="X14" t="s">
        <v>20</v>
      </c>
      <c r="Y14">
        <v>14</v>
      </c>
    </row>
    <row r="15" spans="1:25">
      <c r="A15" t="s">
        <v>74</v>
      </c>
      <c r="B15" t="s">
        <v>75</v>
      </c>
      <c r="C15">
        <v>25</v>
      </c>
      <c r="D15" t="s">
        <v>25</v>
      </c>
      <c r="E15" t="s">
        <v>65</v>
      </c>
      <c r="F15" t="s">
        <v>18</v>
      </c>
      <c r="G15" t="s">
        <v>51</v>
      </c>
      <c r="H15" t="s">
        <v>1060</v>
      </c>
      <c r="I15">
        <v>38000</v>
      </c>
      <c r="J15">
        <v>12</v>
      </c>
      <c r="K15">
        <v>456000</v>
      </c>
      <c r="L15">
        <v>3</v>
      </c>
      <c r="M15">
        <v>5</v>
      </c>
      <c r="N15">
        <v>11400</v>
      </c>
      <c r="O15">
        <v>90</v>
      </c>
      <c r="P15">
        <v>15</v>
      </c>
      <c r="Q15">
        <v>5</v>
      </c>
      <c r="S15" t="s">
        <v>38</v>
      </c>
      <c r="U15">
        <v>0</v>
      </c>
      <c r="V15" t="s">
        <v>58</v>
      </c>
      <c r="W15" t="s">
        <v>1077</v>
      </c>
      <c r="X15" t="s">
        <v>20</v>
      </c>
      <c r="Y15">
        <v>10</v>
      </c>
    </row>
    <row r="16" spans="1:25">
      <c r="A16" t="s">
        <v>76</v>
      </c>
      <c r="B16" t="s">
        <v>77</v>
      </c>
      <c r="C16">
        <v>26</v>
      </c>
      <c r="D16" t="s">
        <v>1077</v>
      </c>
      <c r="E16" t="s">
        <v>47</v>
      </c>
      <c r="F16" t="s">
        <v>36</v>
      </c>
      <c r="G16" t="s">
        <v>51</v>
      </c>
      <c r="H16" t="s">
        <v>1060</v>
      </c>
      <c r="I16">
        <v>48000</v>
      </c>
      <c r="J16">
        <v>12</v>
      </c>
      <c r="K16">
        <v>576000</v>
      </c>
      <c r="L16">
        <v>4</v>
      </c>
      <c r="M16">
        <v>4</v>
      </c>
      <c r="N16">
        <v>14400</v>
      </c>
      <c r="O16">
        <v>90</v>
      </c>
      <c r="P16">
        <v>15</v>
      </c>
      <c r="Q16">
        <v>1</v>
      </c>
      <c r="R16" t="s">
        <v>37</v>
      </c>
      <c r="S16" t="s">
        <v>38</v>
      </c>
      <c r="T16">
        <v>20</v>
      </c>
      <c r="U16">
        <v>6000</v>
      </c>
      <c r="V16" t="s">
        <v>58</v>
      </c>
      <c r="W16" t="s">
        <v>1077</v>
      </c>
      <c r="X16" t="s">
        <v>20</v>
      </c>
      <c r="Y16">
        <v>25</v>
      </c>
    </row>
    <row r="17" spans="1:25">
      <c r="A17" t="s">
        <v>78</v>
      </c>
      <c r="B17" t="s">
        <v>79</v>
      </c>
      <c r="C17">
        <v>45</v>
      </c>
      <c r="D17" t="s">
        <v>25</v>
      </c>
      <c r="E17" t="s">
        <v>26</v>
      </c>
      <c r="F17" t="s">
        <v>36</v>
      </c>
      <c r="G17" t="s">
        <v>1049</v>
      </c>
      <c r="H17" t="s">
        <v>1060</v>
      </c>
      <c r="I17">
        <v>110000</v>
      </c>
      <c r="J17">
        <v>12</v>
      </c>
      <c r="K17">
        <v>1320000</v>
      </c>
      <c r="L17">
        <v>10</v>
      </c>
      <c r="M17">
        <v>2</v>
      </c>
      <c r="N17" t="s">
        <v>1077</v>
      </c>
      <c r="O17">
        <v>88</v>
      </c>
      <c r="P17">
        <v>7</v>
      </c>
      <c r="Q17">
        <v>5</v>
      </c>
      <c r="R17" t="s">
        <v>37</v>
      </c>
      <c r="S17" t="s">
        <v>19</v>
      </c>
      <c r="U17" t="s">
        <v>1077</v>
      </c>
      <c r="V17" t="s">
        <v>39</v>
      </c>
      <c r="W17" t="s">
        <v>1077</v>
      </c>
      <c r="X17" t="s">
        <v>20</v>
      </c>
      <c r="Y17">
        <v>25</v>
      </c>
    </row>
    <row r="18" spans="1:25">
      <c r="A18" t="s">
        <v>80</v>
      </c>
      <c r="B18" t="s">
        <v>81</v>
      </c>
      <c r="C18">
        <v>45</v>
      </c>
      <c r="D18" t="s">
        <v>25</v>
      </c>
      <c r="E18" t="s">
        <v>57</v>
      </c>
      <c r="F18" t="s">
        <v>66</v>
      </c>
      <c r="G18" t="s">
        <v>1049</v>
      </c>
      <c r="H18" t="s">
        <v>1060</v>
      </c>
      <c r="I18">
        <v>120000</v>
      </c>
      <c r="J18">
        <v>12</v>
      </c>
      <c r="K18">
        <v>1440000</v>
      </c>
      <c r="L18">
        <v>12</v>
      </c>
      <c r="M18">
        <v>2</v>
      </c>
      <c r="N18" t="s">
        <v>1077</v>
      </c>
      <c r="O18">
        <v>80</v>
      </c>
      <c r="P18">
        <v>5</v>
      </c>
      <c r="Q18">
        <v>3</v>
      </c>
      <c r="S18" t="s">
        <v>38</v>
      </c>
      <c r="U18" t="s">
        <v>1077</v>
      </c>
      <c r="V18" t="s">
        <v>39</v>
      </c>
      <c r="W18" t="s">
        <v>1077</v>
      </c>
      <c r="X18" t="s">
        <v>33</v>
      </c>
      <c r="Y18">
        <v>20</v>
      </c>
    </row>
    <row r="19" spans="1:25">
      <c r="A19" t="s">
        <v>83</v>
      </c>
      <c r="B19" t="s">
        <v>84</v>
      </c>
      <c r="C19">
        <v>37</v>
      </c>
      <c r="D19" t="s">
        <v>25</v>
      </c>
      <c r="E19" t="s">
        <v>47</v>
      </c>
      <c r="F19" t="s">
        <v>36</v>
      </c>
      <c r="G19" t="s">
        <v>32</v>
      </c>
      <c r="H19" t="s">
        <v>1060</v>
      </c>
      <c r="I19">
        <v>90000</v>
      </c>
      <c r="J19">
        <v>12</v>
      </c>
      <c r="K19">
        <v>1080000</v>
      </c>
      <c r="L19">
        <v>12</v>
      </c>
      <c r="M19">
        <v>4</v>
      </c>
      <c r="N19">
        <v>27000</v>
      </c>
      <c r="O19">
        <v>85</v>
      </c>
      <c r="P19">
        <v>7</v>
      </c>
      <c r="Q19">
        <v>3</v>
      </c>
      <c r="R19" t="s">
        <v>37</v>
      </c>
      <c r="S19" t="s">
        <v>38</v>
      </c>
      <c r="T19">
        <v>5</v>
      </c>
      <c r="U19">
        <v>1750</v>
      </c>
      <c r="V19" t="s">
        <v>58</v>
      </c>
      <c r="W19" t="s">
        <v>1077</v>
      </c>
      <c r="X19" t="s">
        <v>20</v>
      </c>
      <c r="Y19">
        <v>25</v>
      </c>
    </row>
    <row r="20" spans="1:25">
      <c r="A20" t="s">
        <v>85</v>
      </c>
      <c r="B20" t="s">
        <v>86</v>
      </c>
      <c r="C20">
        <v>41</v>
      </c>
      <c r="D20" t="s">
        <v>25</v>
      </c>
      <c r="E20" t="s">
        <v>73</v>
      </c>
      <c r="F20" t="s">
        <v>66</v>
      </c>
      <c r="G20" t="s">
        <v>1049</v>
      </c>
      <c r="H20" t="s">
        <v>1060</v>
      </c>
      <c r="I20">
        <v>123000</v>
      </c>
      <c r="J20">
        <v>12</v>
      </c>
      <c r="K20">
        <v>1476000</v>
      </c>
      <c r="L20">
        <v>13</v>
      </c>
      <c r="M20">
        <v>3</v>
      </c>
      <c r="N20">
        <v>36900</v>
      </c>
      <c r="O20">
        <v>95</v>
      </c>
      <c r="P20">
        <v>15</v>
      </c>
      <c r="Q20">
        <v>2</v>
      </c>
      <c r="R20" t="s">
        <v>37</v>
      </c>
      <c r="S20" t="s">
        <v>19</v>
      </c>
      <c r="T20">
        <v>10</v>
      </c>
      <c r="U20" t="s">
        <v>1077</v>
      </c>
      <c r="V20" t="s">
        <v>22</v>
      </c>
      <c r="W20" t="s">
        <v>1077</v>
      </c>
      <c r="X20" t="s">
        <v>33</v>
      </c>
      <c r="Y20">
        <v>20</v>
      </c>
    </row>
    <row r="21" spans="1:25">
      <c r="A21" t="s">
        <v>87</v>
      </c>
      <c r="B21" t="s">
        <v>88</v>
      </c>
      <c r="C21">
        <v>26</v>
      </c>
      <c r="D21" t="s">
        <v>25</v>
      </c>
      <c r="F21" t="s">
        <v>42</v>
      </c>
      <c r="G21" t="s">
        <v>51</v>
      </c>
      <c r="H21" t="s">
        <v>1060</v>
      </c>
      <c r="I21">
        <v>48000</v>
      </c>
      <c r="J21">
        <v>12</v>
      </c>
      <c r="K21">
        <v>576000</v>
      </c>
      <c r="L21">
        <v>4</v>
      </c>
      <c r="M21">
        <v>1</v>
      </c>
      <c r="N21" t="s">
        <v>1077</v>
      </c>
      <c r="O21">
        <v>88</v>
      </c>
      <c r="P21">
        <v>15</v>
      </c>
      <c r="Q21">
        <v>2</v>
      </c>
      <c r="S21" t="s">
        <v>38</v>
      </c>
      <c r="T21">
        <v>20</v>
      </c>
      <c r="U21">
        <v>6000</v>
      </c>
      <c r="V21" t="s">
        <v>39</v>
      </c>
      <c r="W21" t="s">
        <v>1077</v>
      </c>
      <c r="X21" t="s">
        <v>20</v>
      </c>
      <c r="Y21">
        <v>14</v>
      </c>
    </row>
    <row r="22" spans="1:25">
      <c r="A22" t="s">
        <v>89</v>
      </c>
      <c r="B22" t="s">
        <v>90</v>
      </c>
      <c r="C22">
        <v>26</v>
      </c>
      <c r="D22" t="s">
        <v>25</v>
      </c>
      <c r="E22" t="s">
        <v>61</v>
      </c>
      <c r="F22" t="s">
        <v>36</v>
      </c>
      <c r="G22" t="s">
        <v>51</v>
      </c>
      <c r="H22" t="s">
        <v>1060</v>
      </c>
      <c r="I22">
        <v>32000</v>
      </c>
      <c r="J22">
        <v>12</v>
      </c>
      <c r="K22">
        <v>384000</v>
      </c>
      <c r="L22">
        <v>2</v>
      </c>
      <c r="M22">
        <v>4</v>
      </c>
      <c r="N22">
        <v>9600</v>
      </c>
      <c r="O22">
        <v>88</v>
      </c>
      <c r="P22">
        <v>10</v>
      </c>
      <c r="Q22">
        <v>5</v>
      </c>
      <c r="S22" t="s">
        <v>19</v>
      </c>
      <c r="U22">
        <v>0</v>
      </c>
      <c r="V22" t="s">
        <v>22</v>
      </c>
      <c r="W22" t="s">
        <v>1077</v>
      </c>
      <c r="X22" t="s">
        <v>20</v>
      </c>
      <c r="Y22">
        <v>25</v>
      </c>
    </row>
    <row r="23" spans="1:25">
      <c r="A23" t="s">
        <v>91</v>
      </c>
      <c r="B23" t="s">
        <v>92</v>
      </c>
      <c r="C23">
        <v>34</v>
      </c>
      <c r="D23" t="s">
        <v>46</v>
      </c>
      <c r="E23" t="s">
        <v>61</v>
      </c>
      <c r="F23" t="s">
        <v>31</v>
      </c>
      <c r="G23" t="s">
        <v>82</v>
      </c>
      <c r="H23" t="s">
        <v>1060</v>
      </c>
      <c r="I23">
        <v>79000</v>
      </c>
      <c r="J23">
        <v>12</v>
      </c>
      <c r="K23">
        <v>948000</v>
      </c>
      <c r="L23">
        <v>6</v>
      </c>
      <c r="M23">
        <v>5</v>
      </c>
      <c r="N23">
        <v>23700</v>
      </c>
      <c r="O23">
        <v>85</v>
      </c>
      <c r="P23">
        <v>10</v>
      </c>
      <c r="Q23">
        <v>3</v>
      </c>
      <c r="R23" t="s">
        <v>37</v>
      </c>
      <c r="S23" t="s">
        <v>38</v>
      </c>
      <c r="T23">
        <v>10</v>
      </c>
      <c r="U23">
        <v>3500</v>
      </c>
      <c r="V23" t="s">
        <v>58</v>
      </c>
      <c r="W23" t="s">
        <v>1077</v>
      </c>
      <c r="X23" t="s">
        <v>33</v>
      </c>
      <c r="Y23">
        <v>13</v>
      </c>
    </row>
    <row r="24" spans="1:25">
      <c r="A24" t="s">
        <v>93</v>
      </c>
      <c r="B24" t="s">
        <v>94</v>
      </c>
      <c r="C24">
        <v>44</v>
      </c>
      <c r="D24" t="s">
        <v>25</v>
      </c>
      <c r="E24" t="s">
        <v>65</v>
      </c>
      <c r="F24" t="s">
        <v>27</v>
      </c>
      <c r="G24" t="s">
        <v>1049</v>
      </c>
      <c r="H24" t="s">
        <v>1060</v>
      </c>
      <c r="I24">
        <v>120000</v>
      </c>
      <c r="J24">
        <v>12</v>
      </c>
      <c r="K24">
        <v>1440000</v>
      </c>
      <c r="L24">
        <v>10</v>
      </c>
      <c r="M24">
        <v>4</v>
      </c>
      <c r="N24">
        <v>36000</v>
      </c>
      <c r="O24">
        <v>85</v>
      </c>
      <c r="P24">
        <v>7</v>
      </c>
      <c r="Q24">
        <v>3</v>
      </c>
      <c r="R24" t="s">
        <v>21</v>
      </c>
      <c r="S24" t="s">
        <v>38</v>
      </c>
      <c r="U24" t="s">
        <v>1077</v>
      </c>
      <c r="V24" t="s">
        <v>58</v>
      </c>
      <c r="W24" t="s">
        <v>1077</v>
      </c>
      <c r="X24" t="s">
        <v>20</v>
      </c>
      <c r="Y24">
        <v>12</v>
      </c>
    </row>
    <row r="25" spans="1:25">
      <c r="A25" t="s">
        <v>95</v>
      </c>
      <c r="B25" t="s">
        <v>96</v>
      </c>
      <c r="C25">
        <v>27</v>
      </c>
      <c r="D25" t="s">
        <v>25</v>
      </c>
      <c r="E25" t="s">
        <v>50</v>
      </c>
      <c r="F25" t="s">
        <v>31</v>
      </c>
      <c r="G25" t="s">
        <v>51</v>
      </c>
      <c r="H25" t="s">
        <v>1060</v>
      </c>
      <c r="I25">
        <v>38000</v>
      </c>
      <c r="J25">
        <v>12</v>
      </c>
      <c r="K25">
        <v>456000</v>
      </c>
      <c r="L25">
        <v>3</v>
      </c>
      <c r="M25">
        <v>1</v>
      </c>
      <c r="N25" t="s">
        <v>1077</v>
      </c>
      <c r="O25">
        <v>88</v>
      </c>
      <c r="P25">
        <v>15</v>
      </c>
      <c r="Q25">
        <v>2</v>
      </c>
      <c r="R25" t="s">
        <v>37</v>
      </c>
      <c r="S25" t="s">
        <v>19</v>
      </c>
      <c r="T25">
        <v>20</v>
      </c>
      <c r="U25">
        <v>6000</v>
      </c>
      <c r="V25" t="s">
        <v>39</v>
      </c>
      <c r="W25" t="s">
        <v>1077</v>
      </c>
      <c r="X25" t="s">
        <v>33</v>
      </c>
      <c r="Y25">
        <v>13</v>
      </c>
    </row>
    <row r="26" spans="1:25">
      <c r="A26" t="s">
        <v>97</v>
      </c>
      <c r="B26" t="s">
        <v>98</v>
      </c>
      <c r="C26">
        <v>27</v>
      </c>
      <c r="D26" t="s">
        <v>46</v>
      </c>
      <c r="E26" t="s">
        <v>17</v>
      </c>
      <c r="F26" t="s">
        <v>36</v>
      </c>
      <c r="G26" t="s">
        <v>1045</v>
      </c>
      <c r="H26" t="s">
        <v>1060</v>
      </c>
      <c r="I26">
        <v>78000</v>
      </c>
      <c r="J26">
        <v>12</v>
      </c>
      <c r="K26">
        <v>936000</v>
      </c>
      <c r="L26">
        <v>6</v>
      </c>
      <c r="M26">
        <v>3</v>
      </c>
      <c r="N26">
        <v>23400</v>
      </c>
      <c r="O26">
        <v>88</v>
      </c>
      <c r="P26">
        <v>15</v>
      </c>
      <c r="Q26">
        <v>1</v>
      </c>
      <c r="S26" t="s">
        <v>19</v>
      </c>
      <c r="T26">
        <v>10</v>
      </c>
      <c r="U26">
        <v>3000</v>
      </c>
      <c r="V26" t="s">
        <v>22</v>
      </c>
      <c r="W26" t="s">
        <v>1077</v>
      </c>
      <c r="X26" t="s">
        <v>20</v>
      </c>
      <c r="Y26">
        <v>25</v>
      </c>
    </row>
    <row r="27" spans="1:25">
      <c r="A27" t="s">
        <v>99</v>
      </c>
      <c r="B27" t="s">
        <v>100</v>
      </c>
      <c r="C27">
        <v>27</v>
      </c>
      <c r="D27" t="s">
        <v>25</v>
      </c>
      <c r="E27" t="s">
        <v>65</v>
      </c>
      <c r="F27" t="s">
        <v>27</v>
      </c>
      <c r="G27" t="s">
        <v>51</v>
      </c>
      <c r="H27" t="s">
        <v>1060</v>
      </c>
      <c r="I27">
        <v>38000</v>
      </c>
      <c r="J27">
        <v>12</v>
      </c>
      <c r="K27">
        <v>456000</v>
      </c>
      <c r="L27">
        <v>3</v>
      </c>
      <c r="M27">
        <v>1</v>
      </c>
      <c r="N27" t="s">
        <v>1077</v>
      </c>
      <c r="O27">
        <v>80</v>
      </c>
      <c r="P27">
        <v>10</v>
      </c>
      <c r="Q27">
        <v>5</v>
      </c>
      <c r="R27" t="s">
        <v>21</v>
      </c>
      <c r="S27" t="s">
        <v>38</v>
      </c>
      <c r="T27">
        <v>10</v>
      </c>
      <c r="U27">
        <v>3000</v>
      </c>
      <c r="V27" t="s">
        <v>39</v>
      </c>
      <c r="W27" t="s">
        <v>1077</v>
      </c>
      <c r="X27" t="s">
        <v>20</v>
      </c>
      <c r="Y27">
        <v>12</v>
      </c>
    </row>
    <row r="28" spans="1:25">
      <c r="A28" t="s">
        <v>101</v>
      </c>
      <c r="B28" t="s">
        <v>102</v>
      </c>
      <c r="C28">
        <v>45</v>
      </c>
      <c r="D28" t="s">
        <v>1077</v>
      </c>
      <c r="E28" t="s">
        <v>73</v>
      </c>
      <c r="F28" t="s">
        <v>27</v>
      </c>
      <c r="G28" t="s">
        <v>1049</v>
      </c>
      <c r="H28" t="s">
        <v>1060</v>
      </c>
      <c r="I28">
        <v>110000</v>
      </c>
      <c r="J28">
        <v>12</v>
      </c>
      <c r="K28">
        <v>1320000</v>
      </c>
      <c r="L28">
        <v>10</v>
      </c>
      <c r="M28">
        <v>1</v>
      </c>
      <c r="N28" t="s">
        <v>1077</v>
      </c>
      <c r="O28">
        <v>90</v>
      </c>
      <c r="P28">
        <v>10</v>
      </c>
      <c r="Q28">
        <v>1</v>
      </c>
      <c r="R28" t="s">
        <v>21</v>
      </c>
      <c r="S28" t="s">
        <v>19</v>
      </c>
      <c r="U28" t="s">
        <v>1077</v>
      </c>
      <c r="V28" t="s">
        <v>39</v>
      </c>
      <c r="W28" t="s">
        <v>1077</v>
      </c>
      <c r="X28" t="s">
        <v>20</v>
      </c>
      <c r="Y28">
        <v>12</v>
      </c>
    </row>
    <row r="29" spans="1:25">
      <c r="A29" t="s">
        <v>103</v>
      </c>
      <c r="B29" t="s">
        <v>104</v>
      </c>
      <c r="C29">
        <v>38</v>
      </c>
      <c r="D29" t="s">
        <v>46</v>
      </c>
      <c r="E29" t="s">
        <v>65</v>
      </c>
      <c r="F29" t="s">
        <v>66</v>
      </c>
      <c r="G29" t="s">
        <v>32</v>
      </c>
      <c r="H29" t="s">
        <v>1060</v>
      </c>
      <c r="I29">
        <v>91600</v>
      </c>
      <c r="J29">
        <v>12</v>
      </c>
      <c r="K29">
        <v>1099200</v>
      </c>
      <c r="L29">
        <v>12</v>
      </c>
      <c r="M29">
        <v>4</v>
      </c>
      <c r="N29">
        <v>27480</v>
      </c>
      <c r="O29">
        <v>90</v>
      </c>
      <c r="P29">
        <v>5</v>
      </c>
      <c r="Q29">
        <v>5</v>
      </c>
      <c r="R29" t="s">
        <v>37</v>
      </c>
      <c r="S29" t="s">
        <v>19</v>
      </c>
      <c r="T29">
        <v>20</v>
      </c>
      <c r="U29">
        <v>7000</v>
      </c>
      <c r="V29" t="s">
        <v>22</v>
      </c>
      <c r="W29" t="s">
        <v>1077</v>
      </c>
      <c r="X29" t="s">
        <v>33</v>
      </c>
      <c r="Y29">
        <v>20</v>
      </c>
    </row>
    <row r="30" spans="1:25">
      <c r="A30" t="s">
        <v>105</v>
      </c>
      <c r="B30" t="s">
        <v>106</v>
      </c>
      <c r="C30">
        <v>26</v>
      </c>
      <c r="D30" t="s">
        <v>25</v>
      </c>
      <c r="E30" t="s">
        <v>35</v>
      </c>
      <c r="F30" t="s">
        <v>31</v>
      </c>
      <c r="G30" t="s">
        <v>51</v>
      </c>
      <c r="H30" t="s">
        <v>1060</v>
      </c>
      <c r="I30">
        <v>42500</v>
      </c>
      <c r="J30">
        <v>12</v>
      </c>
      <c r="K30">
        <v>510000</v>
      </c>
      <c r="L30">
        <v>3</v>
      </c>
      <c r="M30">
        <v>2</v>
      </c>
      <c r="N30" t="s">
        <v>1077</v>
      </c>
      <c r="O30">
        <v>80</v>
      </c>
      <c r="P30">
        <v>10</v>
      </c>
      <c r="Q30">
        <v>1</v>
      </c>
      <c r="R30" t="s">
        <v>37</v>
      </c>
      <c r="S30" t="s">
        <v>19</v>
      </c>
      <c r="T30">
        <v>5</v>
      </c>
      <c r="U30">
        <v>1500</v>
      </c>
      <c r="V30" t="s">
        <v>39</v>
      </c>
      <c r="W30" t="s">
        <v>1077</v>
      </c>
      <c r="X30" t="s">
        <v>33</v>
      </c>
      <c r="Y30">
        <v>13</v>
      </c>
    </row>
    <row r="31" spans="1:25">
      <c r="A31" t="s">
        <v>107</v>
      </c>
      <c r="B31" t="s">
        <v>108</v>
      </c>
      <c r="C31">
        <v>36</v>
      </c>
      <c r="D31" t="s">
        <v>25</v>
      </c>
      <c r="E31" t="s">
        <v>17</v>
      </c>
      <c r="F31" t="s">
        <v>66</v>
      </c>
      <c r="G31" t="s">
        <v>32</v>
      </c>
      <c r="H31" t="s">
        <v>1060</v>
      </c>
      <c r="I31">
        <v>91700</v>
      </c>
      <c r="J31">
        <v>12</v>
      </c>
      <c r="K31">
        <v>1100400</v>
      </c>
      <c r="L31">
        <v>12</v>
      </c>
      <c r="M31">
        <v>2</v>
      </c>
      <c r="N31" t="s">
        <v>1077</v>
      </c>
      <c r="O31">
        <v>88</v>
      </c>
      <c r="P31">
        <v>7</v>
      </c>
      <c r="Q31">
        <v>5</v>
      </c>
      <c r="R31" t="s">
        <v>21</v>
      </c>
      <c r="S31" t="s">
        <v>38</v>
      </c>
      <c r="T31">
        <v>20</v>
      </c>
      <c r="U31">
        <v>7000</v>
      </c>
      <c r="V31" t="s">
        <v>39</v>
      </c>
      <c r="W31" t="s">
        <v>1077</v>
      </c>
      <c r="X31" t="s">
        <v>33</v>
      </c>
      <c r="Y31">
        <v>20</v>
      </c>
    </row>
    <row r="32" spans="1:25">
      <c r="A32" t="s">
        <v>109</v>
      </c>
      <c r="B32" t="s">
        <v>110</v>
      </c>
      <c r="C32">
        <v>25</v>
      </c>
      <c r="D32" t="s">
        <v>46</v>
      </c>
      <c r="F32" t="s">
        <v>42</v>
      </c>
      <c r="G32" t="s">
        <v>51</v>
      </c>
      <c r="H32" t="s">
        <v>1059</v>
      </c>
      <c r="I32">
        <v>31000</v>
      </c>
      <c r="J32">
        <v>12</v>
      </c>
      <c r="K32">
        <v>372000</v>
      </c>
      <c r="L32">
        <v>2</v>
      </c>
      <c r="M32">
        <v>2</v>
      </c>
      <c r="N32" t="s">
        <v>1077</v>
      </c>
      <c r="O32">
        <v>80</v>
      </c>
      <c r="P32">
        <v>10</v>
      </c>
      <c r="Q32">
        <v>3</v>
      </c>
      <c r="R32" t="s">
        <v>37</v>
      </c>
      <c r="S32" t="s">
        <v>28</v>
      </c>
      <c r="U32">
        <v>0</v>
      </c>
      <c r="V32" t="s">
        <v>39</v>
      </c>
      <c r="W32" t="s">
        <v>1077</v>
      </c>
      <c r="X32" t="s">
        <v>20</v>
      </c>
      <c r="Y32">
        <v>14</v>
      </c>
    </row>
    <row r="33" spans="1:25">
      <c r="A33" t="s">
        <v>111</v>
      </c>
      <c r="B33" t="s">
        <v>112</v>
      </c>
      <c r="C33">
        <v>25</v>
      </c>
      <c r="D33" t="s">
        <v>46</v>
      </c>
      <c r="E33" t="s">
        <v>50</v>
      </c>
      <c r="F33" t="s">
        <v>36</v>
      </c>
      <c r="G33" t="s">
        <v>51</v>
      </c>
      <c r="H33" t="s">
        <v>1060</v>
      </c>
      <c r="I33">
        <v>33000</v>
      </c>
      <c r="J33">
        <v>12</v>
      </c>
      <c r="K33">
        <v>396000</v>
      </c>
      <c r="L33">
        <v>2</v>
      </c>
      <c r="M33">
        <v>1</v>
      </c>
      <c r="N33" t="s">
        <v>1077</v>
      </c>
      <c r="O33">
        <v>85</v>
      </c>
      <c r="P33">
        <v>5</v>
      </c>
      <c r="Q33">
        <v>1</v>
      </c>
      <c r="S33" t="s">
        <v>19</v>
      </c>
      <c r="T33">
        <v>20</v>
      </c>
      <c r="U33">
        <v>6000</v>
      </c>
      <c r="V33" t="s">
        <v>39</v>
      </c>
      <c r="W33" t="s">
        <v>1077</v>
      </c>
      <c r="X33" t="s">
        <v>20</v>
      </c>
      <c r="Y33">
        <v>25</v>
      </c>
    </row>
    <row r="34" spans="1:25">
      <c r="A34" t="s">
        <v>115</v>
      </c>
      <c r="B34" t="s">
        <v>116</v>
      </c>
      <c r="C34">
        <v>25</v>
      </c>
      <c r="D34" t="s">
        <v>25</v>
      </c>
      <c r="E34" t="s">
        <v>61</v>
      </c>
      <c r="F34" t="s">
        <v>66</v>
      </c>
      <c r="G34" t="s">
        <v>51</v>
      </c>
      <c r="H34" t="s">
        <v>1060</v>
      </c>
      <c r="I34">
        <v>45000</v>
      </c>
      <c r="J34">
        <v>12</v>
      </c>
      <c r="K34">
        <v>540000</v>
      </c>
      <c r="L34">
        <v>4</v>
      </c>
      <c r="M34">
        <v>1</v>
      </c>
      <c r="N34" t="s">
        <v>1077</v>
      </c>
      <c r="O34">
        <v>95</v>
      </c>
      <c r="P34">
        <v>15</v>
      </c>
      <c r="Q34">
        <v>1</v>
      </c>
      <c r="S34" t="s">
        <v>38</v>
      </c>
      <c r="T34">
        <v>10</v>
      </c>
      <c r="U34">
        <v>3000</v>
      </c>
      <c r="V34" t="s">
        <v>39</v>
      </c>
      <c r="W34" t="s">
        <v>1077</v>
      </c>
      <c r="X34" t="s">
        <v>33</v>
      </c>
      <c r="Y34">
        <v>20</v>
      </c>
    </row>
    <row r="35" spans="1:25">
      <c r="A35" t="s">
        <v>117</v>
      </c>
      <c r="B35" t="s">
        <v>118</v>
      </c>
      <c r="C35">
        <v>27</v>
      </c>
      <c r="D35" t="s">
        <v>46</v>
      </c>
      <c r="E35" t="s">
        <v>35</v>
      </c>
      <c r="F35" t="s">
        <v>36</v>
      </c>
      <c r="G35" t="s">
        <v>51</v>
      </c>
      <c r="H35" t="s">
        <v>1060</v>
      </c>
      <c r="I35">
        <v>43000</v>
      </c>
      <c r="J35">
        <v>12</v>
      </c>
      <c r="K35">
        <v>516000</v>
      </c>
      <c r="L35">
        <v>3</v>
      </c>
      <c r="M35">
        <v>1</v>
      </c>
      <c r="N35" t="s">
        <v>1077</v>
      </c>
      <c r="O35">
        <v>88</v>
      </c>
      <c r="P35">
        <v>15</v>
      </c>
      <c r="Q35">
        <v>1</v>
      </c>
      <c r="R35" t="s">
        <v>21</v>
      </c>
      <c r="S35" t="s">
        <v>38</v>
      </c>
      <c r="T35">
        <v>5</v>
      </c>
      <c r="U35">
        <v>1500</v>
      </c>
      <c r="V35" t="s">
        <v>39</v>
      </c>
      <c r="W35" t="s">
        <v>1077</v>
      </c>
      <c r="X35" t="s">
        <v>20</v>
      </c>
      <c r="Y35">
        <v>25</v>
      </c>
    </row>
    <row r="36" spans="1:25">
      <c r="A36" t="s">
        <v>119</v>
      </c>
      <c r="B36" t="s">
        <v>120</v>
      </c>
      <c r="C36">
        <v>32</v>
      </c>
      <c r="D36" t="s">
        <v>46</v>
      </c>
      <c r="E36" t="s">
        <v>26</v>
      </c>
      <c r="F36" t="s">
        <v>31</v>
      </c>
      <c r="G36" t="s">
        <v>82</v>
      </c>
      <c r="H36" t="s">
        <v>1060</v>
      </c>
      <c r="I36">
        <v>80000</v>
      </c>
      <c r="J36">
        <v>12</v>
      </c>
      <c r="K36">
        <v>960000</v>
      </c>
      <c r="L36">
        <v>8</v>
      </c>
      <c r="M36">
        <v>4</v>
      </c>
      <c r="N36">
        <v>24000</v>
      </c>
      <c r="O36">
        <v>90</v>
      </c>
      <c r="P36">
        <v>5</v>
      </c>
      <c r="Q36">
        <v>7</v>
      </c>
      <c r="R36" t="s">
        <v>37</v>
      </c>
      <c r="S36" t="s">
        <v>19</v>
      </c>
      <c r="T36">
        <v>20</v>
      </c>
      <c r="U36">
        <v>7000</v>
      </c>
      <c r="V36" t="s">
        <v>22</v>
      </c>
      <c r="W36" t="s">
        <v>1077</v>
      </c>
      <c r="X36" t="s">
        <v>33</v>
      </c>
      <c r="Y36">
        <v>13</v>
      </c>
    </row>
    <row r="37" spans="1:25">
      <c r="A37" t="s">
        <v>121</v>
      </c>
      <c r="B37" t="s">
        <v>122</v>
      </c>
      <c r="C37">
        <v>29</v>
      </c>
      <c r="D37" t="s">
        <v>1077</v>
      </c>
      <c r="E37" t="s">
        <v>65</v>
      </c>
      <c r="F37" t="s">
        <v>31</v>
      </c>
      <c r="G37" t="s">
        <v>1045</v>
      </c>
      <c r="H37" t="s">
        <v>1060</v>
      </c>
      <c r="I37">
        <v>78000</v>
      </c>
      <c r="J37">
        <v>12</v>
      </c>
      <c r="K37">
        <v>936000</v>
      </c>
      <c r="L37">
        <v>5</v>
      </c>
      <c r="M37">
        <v>1</v>
      </c>
      <c r="N37" t="s">
        <v>1077</v>
      </c>
      <c r="O37">
        <v>85</v>
      </c>
      <c r="P37">
        <v>10</v>
      </c>
      <c r="Q37">
        <v>1</v>
      </c>
      <c r="S37" t="s">
        <v>38</v>
      </c>
      <c r="T37">
        <v>20</v>
      </c>
      <c r="U37">
        <v>6000</v>
      </c>
      <c r="V37" t="s">
        <v>39</v>
      </c>
      <c r="W37" t="s">
        <v>1077</v>
      </c>
      <c r="X37" t="s">
        <v>33</v>
      </c>
      <c r="Y37">
        <v>13</v>
      </c>
    </row>
    <row r="38" spans="1:25">
      <c r="A38" t="s">
        <v>123</v>
      </c>
      <c r="B38" t="s">
        <v>124</v>
      </c>
      <c r="C38">
        <v>38</v>
      </c>
      <c r="D38" t="s">
        <v>1077</v>
      </c>
      <c r="E38" t="s">
        <v>50</v>
      </c>
      <c r="F38" t="s">
        <v>31</v>
      </c>
      <c r="G38" t="s">
        <v>1049</v>
      </c>
      <c r="H38" t="s">
        <v>1060</v>
      </c>
      <c r="I38">
        <v>110000</v>
      </c>
      <c r="J38">
        <v>12</v>
      </c>
      <c r="K38">
        <v>1320000</v>
      </c>
      <c r="L38">
        <v>11</v>
      </c>
      <c r="M38">
        <v>5</v>
      </c>
      <c r="N38">
        <v>33000</v>
      </c>
      <c r="O38">
        <v>95</v>
      </c>
      <c r="P38">
        <v>10</v>
      </c>
      <c r="Q38">
        <v>5</v>
      </c>
      <c r="R38" t="s">
        <v>37</v>
      </c>
      <c r="S38" t="s">
        <v>38</v>
      </c>
      <c r="U38" t="s">
        <v>1077</v>
      </c>
      <c r="V38" t="s">
        <v>58</v>
      </c>
      <c r="W38" t="s">
        <v>1077</v>
      </c>
      <c r="X38" t="s">
        <v>33</v>
      </c>
      <c r="Y38">
        <v>13</v>
      </c>
    </row>
    <row r="39" spans="1:25">
      <c r="A39" t="s">
        <v>125</v>
      </c>
      <c r="B39" t="s">
        <v>126</v>
      </c>
      <c r="C39">
        <v>38</v>
      </c>
      <c r="D39" t="s">
        <v>25</v>
      </c>
      <c r="E39" t="s">
        <v>64</v>
      </c>
      <c r="F39" t="s">
        <v>18</v>
      </c>
      <c r="G39" t="s">
        <v>1049</v>
      </c>
      <c r="H39" t="s">
        <v>1060</v>
      </c>
      <c r="I39">
        <v>99000</v>
      </c>
      <c r="J39">
        <v>12</v>
      </c>
      <c r="K39">
        <v>1188000</v>
      </c>
      <c r="L39">
        <v>13</v>
      </c>
      <c r="M39">
        <v>4</v>
      </c>
      <c r="N39">
        <v>29700</v>
      </c>
      <c r="O39">
        <v>90</v>
      </c>
      <c r="P39">
        <v>7</v>
      </c>
      <c r="Q39">
        <v>2</v>
      </c>
      <c r="R39" t="s">
        <v>37</v>
      </c>
      <c r="S39" t="s">
        <v>38</v>
      </c>
      <c r="U39" t="s">
        <v>1077</v>
      </c>
      <c r="V39" t="s">
        <v>22</v>
      </c>
      <c r="W39" t="s">
        <v>1077</v>
      </c>
      <c r="X39" t="s">
        <v>20</v>
      </c>
      <c r="Y39">
        <v>10</v>
      </c>
    </row>
    <row r="40" spans="1:25">
      <c r="A40" t="s">
        <v>127</v>
      </c>
      <c r="B40" t="s">
        <v>128</v>
      </c>
      <c r="C40">
        <v>27</v>
      </c>
      <c r="D40" t="s">
        <v>25</v>
      </c>
      <c r="E40" t="s">
        <v>57</v>
      </c>
      <c r="F40" t="s">
        <v>31</v>
      </c>
      <c r="G40" t="s">
        <v>1045</v>
      </c>
      <c r="H40" t="s">
        <v>1060</v>
      </c>
      <c r="I40">
        <v>79000</v>
      </c>
      <c r="J40">
        <v>12</v>
      </c>
      <c r="K40">
        <v>948000</v>
      </c>
      <c r="L40">
        <v>6</v>
      </c>
      <c r="M40">
        <v>4</v>
      </c>
      <c r="N40">
        <v>23700</v>
      </c>
      <c r="O40">
        <v>87</v>
      </c>
      <c r="P40">
        <v>15</v>
      </c>
      <c r="Q40">
        <v>2</v>
      </c>
      <c r="R40" t="s">
        <v>37</v>
      </c>
      <c r="S40" t="s">
        <v>19</v>
      </c>
      <c r="T40">
        <v>10</v>
      </c>
      <c r="U40">
        <v>3000</v>
      </c>
      <c r="V40" t="s">
        <v>58</v>
      </c>
      <c r="W40" t="s">
        <v>1077</v>
      </c>
      <c r="X40" t="s">
        <v>33</v>
      </c>
      <c r="Y40">
        <v>13</v>
      </c>
    </row>
    <row r="41" spans="1:25">
      <c r="A41" t="s">
        <v>129</v>
      </c>
      <c r="B41" t="s">
        <v>130</v>
      </c>
      <c r="C41">
        <v>42</v>
      </c>
      <c r="D41" t="s">
        <v>46</v>
      </c>
      <c r="E41" t="s">
        <v>61</v>
      </c>
      <c r="F41" t="s">
        <v>31</v>
      </c>
      <c r="G41" t="s">
        <v>1049</v>
      </c>
      <c r="H41" t="s">
        <v>1060</v>
      </c>
      <c r="I41">
        <v>100000</v>
      </c>
      <c r="J41">
        <v>12</v>
      </c>
      <c r="K41">
        <v>1200000</v>
      </c>
      <c r="L41">
        <v>11</v>
      </c>
      <c r="M41">
        <v>4</v>
      </c>
      <c r="N41">
        <v>30000</v>
      </c>
      <c r="O41">
        <v>85</v>
      </c>
      <c r="P41">
        <v>10</v>
      </c>
      <c r="Q41">
        <v>2</v>
      </c>
      <c r="R41" t="s">
        <v>21</v>
      </c>
      <c r="S41" t="s">
        <v>38</v>
      </c>
      <c r="U41" t="s">
        <v>1077</v>
      </c>
      <c r="V41" t="s">
        <v>58</v>
      </c>
      <c r="W41" t="s">
        <v>1077</v>
      </c>
      <c r="X41" t="s">
        <v>33</v>
      </c>
      <c r="Y41">
        <v>13</v>
      </c>
    </row>
    <row r="42" spans="1:25">
      <c r="A42" t="s">
        <v>131</v>
      </c>
      <c r="B42" t="s">
        <v>132</v>
      </c>
      <c r="C42">
        <v>28</v>
      </c>
      <c r="D42" t="s">
        <v>25</v>
      </c>
      <c r="E42" t="s">
        <v>26</v>
      </c>
      <c r="F42" t="s">
        <v>18</v>
      </c>
      <c r="G42" t="s">
        <v>1045</v>
      </c>
      <c r="H42" t="s">
        <v>1059</v>
      </c>
      <c r="I42">
        <v>80000</v>
      </c>
      <c r="J42">
        <v>12</v>
      </c>
      <c r="K42">
        <v>960000</v>
      </c>
      <c r="L42">
        <v>6</v>
      </c>
      <c r="M42">
        <v>2</v>
      </c>
      <c r="N42" t="s">
        <v>1077</v>
      </c>
      <c r="O42">
        <v>80</v>
      </c>
      <c r="P42">
        <v>5</v>
      </c>
      <c r="Q42">
        <v>5</v>
      </c>
      <c r="S42" t="s">
        <v>28</v>
      </c>
      <c r="T42">
        <v>5</v>
      </c>
      <c r="U42">
        <v>1500</v>
      </c>
      <c r="V42" t="s">
        <v>39</v>
      </c>
      <c r="W42" t="s">
        <v>1077</v>
      </c>
      <c r="X42" t="s">
        <v>20</v>
      </c>
      <c r="Y42">
        <v>10</v>
      </c>
    </row>
    <row r="43" spans="1:25">
      <c r="A43" t="s">
        <v>133</v>
      </c>
      <c r="B43" t="s">
        <v>134</v>
      </c>
      <c r="C43">
        <v>27</v>
      </c>
      <c r="D43" t="s">
        <v>46</v>
      </c>
      <c r="E43" t="s">
        <v>64</v>
      </c>
      <c r="F43" t="s">
        <v>27</v>
      </c>
      <c r="G43" t="s">
        <v>51</v>
      </c>
      <c r="H43" t="s">
        <v>1060</v>
      </c>
      <c r="I43">
        <v>48000</v>
      </c>
      <c r="J43">
        <v>12</v>
      </c>
      <c r="K43">
        <v>576000</v>
      </c>
      <c r="L43">
        <v>4</v>
      </c>
      <c r="M43">
        <v>2</v>
      </c>
      <c r="N43" t="s">
        <v>1077</v>
      </c>
      <c r="O43">
        <v>95</v>
      </c>
      <c r="P43">
        <v>5</v>
      </c>
      <c r="Q43">
        <v>13</v>
      </c>
      <c r="S43" t="s">
        <v>38</v>
      </c>
      <c r="T43">
        <v>5</v>
      </c>
      <c r="U43">
        <v>1500</v>
      </c>
      <c r="V43" t="s">
        <v>39</v>
      </c>
      <c r="W43" t="s">
        <v>1077</v>
      </c>
      <c r="X43" t="s">
        <v>20</v>
      </c>
      <c r="Y43">
        <v>12</v>
      </c>
    </row>
    <row r="44" spans="1:25">
      <c r="A44" t="s">
        <v>135</v>
      </c>
      <c r="B44" t="s">
        <v>136</v>
      </c>
      <c r="C44">
        <v>27</v>
      </c>
      <c r="D44" t="s">
        <v>1077</v>
      </c>
      <c r="E44" t="s">
        <v>50</v>
      </c>
      <c r="F44" t="s">
        <v>31</v>
      </c>
      <c r="G44" t="s">
        <v>51</v>
      </c>
      <c r="H44" t="s">
        <v>1060</v>
      </c>
      <c r="I44">
        <v>35000</v>
      </c>
      <c r="J44">
        <v>12</v>
      </c>
      <c r="K44">
        <v>420000</v>
      </c>
      <c r="L44">
        <v>2</v>
      </c>
      <c r="M44">
        <v>5</v>
      </c>
      <c r="N44">
        <v>10500</v>
      </c>
      <c r="O44">
        <v>80</v>
      </c>
      <c r="P44">
        <v>7</v>
      </c>
      <c r="Q44">
        <v>10</v>
      </c>
      <c r="S44" t="s">
        <v>19</v>
      </c>
      <c r="T44">
        <v>20</v>
      </c>
      <c r="U44">
        <v>6000</v>
      </c>
      <c r="V44" t="s">
        <v>58</v>
      </c>
      <c r="W44" t="s">
        <v>1077</v>
      </c>
      <c r="X44" t="s">
        <v>33</v>
      </c>
      <c r="Y44">
        <v>13</v>
      </c>
    </row>
    <row r="45" spans="1:25">
      <c r="A45" t="s">
        <v>137</v>
      </c>
      <c r="B45" t="s">
        <v>138</v>
      </c>
      <c r="C45">
        <v>25</v>
      </c>
      <c r="D45" t="s">
        <v>46</v>
      </c>
      <c r="E45" t="s">
        <v>64</v>
      </c>
      <c r="F45" t="s">
        <v>31</v>
      </c>
      <c r="G45" t="s">
        <v>1045</v>
      </c>
      <c r="H45" t="s">
        <v>1060</v>
      </c>
      <c r="I45">
        <v>78000</v>
      </c>
      <c r="J45">
        <v>12</v>
      </c>
      <c r="K45">
        <v>936000</v>
      </c>
      <c r="L45">
        <v>6</v>
      </c>
      <c r="M45">
        <v>2</v>
      </c>
      <c r="N45" t="s">
        <v>1077</v>
      </c>
      <c r="O45">
        <v>87</v>
      </c>
      <c r="P45">
        <v>10</v>
      </c>
      <c r="Q45">
        <v>6</v>
      </c>
      <c r="R45" t="s">
        <v>21</v>
      </c>
      <c r="S45" t="s">
        <v>38</v>
      </c>
      <c r="T45">
        <v>10</v>
      </c>
      <c r="U45">
        <v>3000</v>
      </c>
      <c r="V45" t="s">
        <v>39</v>
      </c>
      <c r="W45" t="s">
        <v>1077</v>
      </c>
      <c r="X45" t="s">
        <v>33</v>
      </c>
      <c r="Y45">
        <v>13</v>
      </c>
    </row>
    <row r="46" spans="1:25">
      <c r="A46" t="s">
        <v>139</v>
      </c>
      <c r="B46" t="s">
        <v>140</v>
      </c>
      <c r="C46">
        <v>30</v>
      </c>
      <c r="D46" t="s">
        <v>25</v>
      </c>
      <c r="E46" t="s">
        <v>17</v>
      </c>
      <c r="F46" t="s">
        <v>42</v>
      </c>
      <c r="G46" t="s">
        <v>1045</v>
      </c>
      <c r="H46" t="s">
        <v>1060</v>
      </c>
      <c r="I46">
        <v>78000</v>
      </c>
      <c r="J46">
        <v>12</v>
      </c>
      <c r="K46">
        <v>936000</v>
      </c>
      <c r="L46">
        <v>6</v>
      </c>
      <c r="M46">
        <v>4</v>
      </c>
      <c r="N46">
        <v>23400</v>
      </c>
      <c r="O46">
        <v>80</v>
      </c>
      <c r="P46">
        <v>7</v>
      </c>
      <c r="Q46">
        <v>1</v>
      </c>
      <c r="S46" t="s">
        <v>38</v>
      </c>
      <c r="U46">
        <v>0</v>
      </c>
      <c r="V46" t="s">
        <v>58</v>
      </c>
      <c r="W46" t="s">
        <v>1077</v>
      </c>
      <c r="X46" t="s">
        <v>20</v>
      </c>
      <c r="Y46">
        <v>14</v>
      </c>
    </row>
    <row r="47" spans="1:25">
      <c r="A47" t="s">
        <v>141</v>
      </c>
      <c r="B47" t="s">
        <v>142</v>
      </c>
      <c r="C47">
        <v>26</v>
      </c>
      <c r="D47" t="s">
        <v>25</v>
      </c>
      <c r="E47" t="s">
        <v>73</v>
      </c>
      <c r="F47" t="s">
        <v>66</v>
      </c>
      <c r="G47" t="s">
        <v>51</v>
      </c>
      <c r="H47" t="s">
        <v>1060</v>
      </c>
      <c r="I47">
        <v>56000</v>
      </c>
      <c r="J47">
        <v>12</v>
      </c>
      <c r="K47">
        <v>672000</v>
      </c>
      <c r="L47">
        <v>4</v>
      </c>
      <c r="M47">
        <v>4</v>
      </c>
      <c r="N47">
        <v>16800</v>
      </c>
      <c r="O47">
        <v>90</v>
      </c>
      <c r="P47">
        <v>10</v>
      </c>
      <c r="Q47">
        <v>1</v>
      </c>
      <c r="R47" t="s">
        <v>21</v>
      </c>
      <c r="S47" t="s">
        <v>38</v>
      </c>
      <c r="U47">
        <v>0</v>
      </c>
      <c r="V47" t="s">
        <v>22</v>
      </c>
      <c r="W47" t="s">
        <v>1077</v>
      </c>
      <c r="X47" t="s">
        <v>33</v>
      </c>
      <c r="Y47">
        <v>20</v>
      </c>
    </row>
    <row r="48" spans="1:25">
      <c r="A48" t="s">
        <v>143</v>
      </c>
      <c r="B48" t="s">
        <v>144</v>
      </c>
      <c r="C48">
        <v>25</v>
      </c>
      <c r="D48" t="s">
        <v>25</v>
      </c>
      <c r="E48" t="s">
        <v>47</v>
      </c>
      <c r="F48" t="s">
        <v>42</v>
      </c>
      <c r="G48" t="s">
        <v>1045</v>
      </c>
      <c r="H48" t="s">
        <v>1060</v>
      </c>
      <c r="I48">
        <v>78000</v>
      </c>
      <c r="J48">
        <v>12</v>
      </c>
      <c r="K48">
        <v>936000</v>
      </c>
      <c r="L48">
        <v>7</v>
      </c>
      <c r="M48">
        <v>4</v>
      </c>
      <c r="N48">
        <v>23400</v>
      </c>
      <c r="O48">
        <v>95</v>
      </c>
      <c r="P48">
        <v>7</v>
      </c>
      <c r="Q48">
        <v>1</v>
      </c>
      <c r="R48" t="s">
        <v>37</v>
      </c>
      <c r="S48" t="s">
        <v>38</v>
      </c>
      <c r="T48">
        <v>5</v>
      </c>
      <c r="U48">
        <v>1500</v>
      </c>
      <c r="V48" t="s">
        <v>22</v>
      </c>
      <c r="W48" t="s">
        <v>1077</v>
      </c>
      <c r="X48" t="s">
        <v>20</v>
      </c>
      <c r="Y48">
        <v>14</v>
      </c>
    </row>
    <row r="49" spans="1:25">
      <c r="A49" t="s">
        <v>145</v>
      </c>
      <c r="B49" t="s">
        <v>146</v>
      </c>
      <c r="C49">
        <v>43</v>
      </c>
      <c r="D49" t="s">
        <v>25</v>
      </c>
      <c r="E49" t="s">
        <v>17</v>
      </c>
      <c r="F49" t="s">
        <v>31</v>
      </c>
      <c r="G49" t="s">
        <v>1049</v>
      </c>
      <c r="H49" t="s">
        <v>1060</v>
      </c>
      <c r="I49">
        <v>99000</v>
      </c>
      <c r="J49">
        <v>12</v>
      </c>
      <c r="K49">
        <v>1188000</v>
      </c>
      <c r="L49">
        <v>12</v>
      </c>
      <c r="M49">
        <v>1</v>
      </c>
      <c r="N49" t="s">
        <v>1077</v>
      </c>
      <c r="O49">
        <v>85</v>
      </c>
      <c r="P49">
        <v>7</v>
      </c>
      <c r="Q49">
        <v>3</v>
      </c>
      <c r="R49" t="s">
        <v>37</v>
      </c>
      <c r="S49" t="s">
        <v>38</v>
      </c>
      <c r="T49">
        <v>12</v>
      </c>
      <c r="U49" t="s">
        <v>1077</v>
      </c>
      <c r="V49" t="s">
        <v>39</v>
      </c>
      <c r="W49" t="s">
        <v>1077</v>
      </c>
      <c r="X49" t="s">
        <v>33</v>
      </c>
      <c r="Y49">
        <v>13</v>
      </c>
    </row>
    <row r="50" spans="1:25">
      <c r="A50" t="s">
        <v>147</v>
      </c>
      <c r="B50" t="s">
        <v>148</v>
      </c>
      <c r="C50">
        <v>26</v>
      </c>
      <c r="D50" t="s">
        <v>1077</v>
      </c>
      <c r="E50" t="s">
        <v>73</v>
      </c>
      <c r="F50" t="s">
        <v>66</v>
      </c>
      <c r="G50" t="s">
        <v>51</v>
      </c>
      <c r="H50" t="s">
        <v>1059</v>
      </c>
      <c r="I50">
        <v>48000</v>
      </c>
      <c r="J50">
        <v>12</v>
      </c>
      <c r="K50">
        <v>576000</v>
      </c>
      <c r="L50">
        <v>4</v>
      </c>
      <c r="M50">
        <v>3</v>
      </c>
      <c r="N50">
        <v>14400</v>
      </c>
      <c r="O50">
        <v>87</v>
      </c>
      <c r="P50">
        <v>15</v>
      </c>
      <c r="Q50">
        <v>2</v>
      </c>
      <c r="R50" t="s">
        <v>21</v>
      </c>
      <c r="S50" t="s">
        <v>28</v>
      </c>
      <c r="T50">
        <v>10</v>
      </c>
      <c r="U50">
        <v>3000</v>
      </c>
      <c r="V50" t="s">
        <v>22</v>
      </c>
      <c r="W50" t="s">
        <v>1077</v>
      </c>
      <c r="X50" t="s">
        <v>33</v>
      </c>
      <c r="Y50">
        <v>20</v>
      </c>
    </row>
    <row r="51" spans="1:25">
      <c r="A51" t="s">
        <v>149</v>
      </c>
      <c r="B51" t="s">
        <v>150</v>
      </c>
      <c r="C51">
        <v>19</v>
      </c>
      <c r="D51" t="s">
        <v>46</v>
      </c>
      <c r="E51" t="s">
        <v>50</v>
      </c>
      <c r="F51" t="s">
        <v>27</v>
      </c>
      <c r="G51" t="s">
        <v>1047</v>
      </c>
      <c r="H51" t="s">
        <v>1060</v>
      </c>
      <c r="I51">
        <v>9000</v>
      </c>
      <c r="J51">
        <v>12</v>
      </c>
      <c r="K51">
        <v>108000</v>
      </c>
      <c r="L51">
        <v>0</v>
      </c>
      <c r="M51">
        <v>1</v>
      </c>
      <c r="N51" t="s">
        <v>1077</v>
      </c>
      <c r="O51">
        <v>85</v>
      </c>
      <c r="P51">
        <v>15</v>
      </c>
      <c r="Q51">
        <v>3</v>
      </c>
      <c r="R51" t="s">
        <v>21</v>
      </c>
      <c r="S51" t="s">
        <v>38</v>
      </c>
      <c r="T51">
        <v>10</v>
      </c>
      <c r="U51">
        <v>2500</v>
      </c>
      <c r="V51" t="s">
        <v>39</v>
      </c>
      <c r="W51" t="s">
        <v>1077</v>
      </c>
      <c r="X51" t="s">
        <v>20</v>
      </c>
      <c r="Y51">
        <v>12</v>
      </c>
    </row>
    <row r="52" spans="1:25">
      <c r="A52" t="s">
        <v>151</v>
      </c>
      <c r="B52" t="s">
        <v>152</v>
      </c>
      <c r="C52">
        <v>25</v>
      </c>
      <c r="D52" t="s">
        <v>46</v>
      </c>
      <c r="F52" t="s">
        <v>31</v>
      </c>
      <c r="G52" t="s">
        <v>51</v>
      </c>
      <c r="H52" t="s">
        <v>1060</v>
      </c>
      <c r="I52">
        <v>48000</v>
      </c>
      <c r="J52">
        <v>12</v>
      </c>
      <c r="K52">
        <v>576000</v>
      </c>
      <c r="L52">
        <v>4</v>
      </c>
      <c r="M52">
        <v>2</v>
      </c>
      <c r="N52" t="s">
        <v>1077</v>
      </c>
      <c r="O52">
        <v>87</v>
      </c>
      <c r="P52">
        <v>15</v>
      </c>
      <c r="Q52">
        <v>3</v>
      </c>
      <c r="R52" t="s">
        <v>37</v>
      </c>
      <c r="S52" t="s">
        <v>38</v>
      </c>
      <c r="U52">
        <v>0</v>
      </c>
      <c r="V52" t="s">
        <v>39</v>
      </c>
      <c r="W52" t="s">
        <v>1077</v>
      </c>
      <c r="X52" t="s">
        <v>33</v>
      </c>
      <c r="Y52">
        <v>13</v>
      </c>
    </row>
    <row r="53" spans="1:25">
      <c r="A53" t="s">
        <v>153</v>
      </c>
      <c r="B53" t="s">
        <v>154</v>
      </c>
      <c r="C53">
        <v>21</v>
      </c>
      <c r="D53" t="s">
        <v>46</v>
      </c>
      <c r="E53" t="s">
        <v>50</v>
      </c>
      <c r="F53" t="s">
        <v>36</v>
      </c>
      <c r="G53" t="s">
        <v>1047</v>
      </c>
      <c r="H53" t="s">
        <v>1060</v>
      </c>
      <c r="I53">
        <v>15000</v>
      </c>
      <c r="J53">
        <v>12</v>
      </c>
      <c r="K53">
        <v>180000</v>
      </c>
      <c r="L53">
        <v>1</v>
      </c>
      <c r="M53">
        <v>2</v>
      </c>
      <c r="N53" t="s">
        <v>1077</v>
      </c>
      <c r="O53">
        <v>90</v>
      </c>
      <c r="P53">
        <v>7</v>
      </c>
      <c r="Q53">
        <v>3</v>
      </c>
      <c r="R53" t="s">
        <v>21</v>
      </c>
      <c r="S53" t="s">
        <v>38</v>
      </c>
      <c r="U53">
        <v>0</v>
      </c>
      <c r="V53" t="s">
        <v>39</v>
      </c>
      <c r="W53" t="s">
        <v>1077</v>
      </c>
      <c r="X53" t="s">
        <v>20</v>
      </c>
      <c r="Y53">
        <v>25</v>
      </c>
    </row>
    <row r="54" spans="1:25">
      <c r="A54" t="s">
        <v>155</v>
      </c>
      <c r="B54" t="s">
        <v>156</v>
      </c>
      <c r="C54">
        <v>24</v>
      </c>
      <c r="D54" t="s">
        <v>1077</v>
      </c>
      <c r="E54" t="s">
        <v>61</v>
      </c>
      <c r="F54" t="s">
        <v>31</v>
      </c>
      <c r="G54" t="s">
        <v>1045</v>
      </c>
      <c r="H54" t="s">
        <v>1060</v>
      </c>
      <c r="I54">
        <v>78000</v>
      </c>
      <c r="J54">
        <v>12</v>
      </c>
      <c r="K54">
        <v>936000</v>
      </c>
      <c r="L54">
        <v>7</v>
      </c>
      <c r="M54">
        <v>1</v>
      </c>
      <c r="N54" t="s">
        <v>1077</v>
      </c>
      <c r="O54">
        <v>80</v>
      </c>
      <c r="P54">
        <v>15</v>
      </c>
      <c r="Q54">
        <v>12</v>
      </c>
      <c r="R54" t="s">
        <v>37</v>
      </c>
      <c r="S54" t="s">
        <v>19</v>
      </c>
      <c r="T54">
        <v>20</v>
      </c>
      <c r="U54">
        <v>6000</v>
      </c>
      <c r="V54" t="s">
        <v>39</v>
      </c>
      <c r="W54" t="s">
        <v>1077</v>
      </c>
      <c r="X54" t="s">
        <v>33</v>
      </c>
      <c r="Y54">
        <v>13</v>
      </c>
    </row>
    <row r="55" spans="1:25">
      <c r="A55" t="s">
        <v>157</v>
      </c>
      <c r="B55" t="s">
        <v>158</v>
      </c>
      <c r="C55">
        <v>25</v>
      </c>
      <c r="D55" t="s">
        <v>25</v>
      </c>
      <c r="E55" t="s">
        <v>35</v>
      </c>
      <c r="F55" t="s">
        <v>66</v>
      </c>
      <c r="G55" t="s">
        <v>51</v>
      </c>
      <c r="H55" t="s">
        <v>1060</v>
      </c>
      <c r="I55">
        <v>37000</v>
      </c>
      <c r="J55">
        <v>12</v>
      </c>
      <c r="K55">
        <v>444000</v>
      </c>
      <c r="L55">
        <v>2</v>
      </c>
      <c r="M55">
        <v>5</v>
      </c>
      <c r="N55">
        <v>11100</v>
      </c>
      <c r="O55">
        <v>95</v>
      </c>
      <c r="P55">
        <v>10</v>
      </c>
      <c r="Q55">
        <v>1</v>
      </c>
      <c r="R55" t="s">
        <v>37</v>
      </c>
      <c r="S55" t="s">
        <v>19</v>
      </c>
      <c r="U55">
        <v>0</v>
      </c>
      <c r="V55" t="s">
        <v>58</v>
      </c>
      <c r="W55" t="s">
        <v>1077</v>
      </c>
      <c r="X55" t="s">
        <v>33</v>
      </c>
      <c r="Y55">
        <v>20</v>
      </c>
    </row>
    <row r="56" spans="1:25">
      <c r="A56" t="s">
        <v>159</v>
      </c>
      <c r="B56" t="s">
        <v>160</v>
      </c>
      <c r="C56">
        <v>25</v>
      </c>
      <c r="D56" t="s">
        <v>1077</v>
      </c>
      <c r="F56" t="s">
        <v>66</v>
      </c>
      <c r="G56" t="s">
        <v>51</v>
      </c>
      <c r="H56" t="s">
        <v>1060</v>
      </c>
      <c r="I56">
        <v>43000</v>
      </c>
      <c r="J56">
        <v>12</v>
      </c>
      <c r="K56">
        <v>516000</v>
      </c>
      <c r="L56">
        <v>3</v>
      </c>
      <c r="M56">
        <v>4</v>
      </c>
      <c r="N56">
        <v>12900</v>
      </c>
      <c r="O56">
        <v>85</v>
      </c>
      <c r="P56">
        <v>5</v>
      </c>
      <c r="Q56">
        <v>12</v>
      </c>
      <c r="R56" t="s">
        <v>37</v>
      </c>
      <c r="S56" t="s">
        <v>38</v>
      </c>
      <c r="T56">
        <v>20</v>
      </c>
      <c r="U56">
        <v>6000</v>
      </c>
      <c r="V56" t="s">
        <v>58</v>
      </c>
      <c r="W56" t="s">
        <v>1077</v>
      </c>
      <c r="X56" t="s">
        <v>33</v>
      </c>
      <c r="Y56">
        <v>20</v>
      </c>
    </row>
    <row r="57" spans="1:25">
      <c r="A57" t="s">
        <v>161</v>
      </c>
      <c r="B57" t="s">
        <v>162</v>
      </c>
      <c r="C57">
        <v>26</v>
      </c>
      <c r="D57" t="s">
        <v>46</v>
      </c>
      <c r="E57" t="s">
        <v>17</v>
      </c>
      <c r="F57" t="s">
        <v>36</v>
      </c>
      <c r="G57" t="s">
        <v>51</v>
      </c>
      <c r="H57" t="s">
        <v>1060</v>
      </c>
      <c r="I57">
        <v>37000</v>
      </c>
      <c r="J57">
        <v>12</v>
      </c>
      <c r="K57">
        <v>444000</v>
      </c>
      <c r="L57">
        <v>2</v>
      </c>
      <c r="M57">
        <v>1</v>
      </c>
      <c r="N57" t="s">
        <v>1077</v>
      </c>
      <c r="O57">
        <v>90</v>
      </c>
      <c r="P57">
        <v>10</v>
      </c>
      <c r="Q57">
        <v>6</v>
      </c>
      <c r="R57" t="s">
        <v>21</v>
      </c>
      <c r="S57" t="s">
        <v>38</v>
      </c>
      <c r="U57">
        <v>0</v>
      </c>
      <c r="V57" t="s">
        <v>39</v>
      </c>
      <c r="W57" t="s">
        <v>1077</v>
      </c>
      <c r="X57" t="s">
        <v>20</v>
      </c>
      <c r="Y57">
        <v>25</v>
      </c>
    </row>
    <row r="58" spans="1:25">
      <c r="A58" t="s">
        <v>163</v>
      </c>
      <c r="B58" t="s">
        <v>164</v>
      </c>
      <c r="C58">
        <v>27</v>
      </c>
      <c r="D58" t="s">
        <v>25</v>
      </c>
      <c r="E58" t="s">
        <v>73</v>
      </c>
      <c r="F58" t="s">
        <v>36</v>
      </c>
      <c r="G58" t="s">
        <v>51</v>
      </c>
      <c r="H58" t="s">
        <v>1060</v>
      </c>
      <c r="I58">
        <v>48000</v>
      </c>
      <c r="J58">
        <v>12</v>
      </c>
      <c r="K58">
        <v>576000</v>
      </c>
      <c r="L58">
        <v>4</v>
      </c>
      <c r="M58">
        <v>3</v>
      </c>
      <c r="N58">
        <v>14400</v>
      </c>
      <c r="O58">
        <v>80</v>
      </c>
      <c r="P58">
        <v>7</v>
      </c>
      <c r="Q58">
        <v>1</v>
      </c>
      <c r="R58" t="s">
        <v>37</v>
      </c>
      <c r="S58" t="s">
        <v>38</v>
      </c>
      <c r="U58">
        <v>0</v>
      </c>
      <c r="V58" t="s">
        <v>22</v>
      </c>
      <c r="W58" t="s">
        <v>1077</v>
      </c>
      <c r="X58" t="s">
        <v>20</v>
      </c>
      <c r="Y58">
        <v>25</v>
      </c>
    </row>
    <row r="59" spans="1:25">
      <c r="A59" t="s">
        <v>165</v>
      </c>
      <c r="B59" t="s">
        <v>166</v>
      </c>
      <c r="C59">
        <v>27</v>
      </c>
      <c r="D59" t="s">
        <v>46</v>
      </c>
      <c r="E59" t="s">
        <v>65</v>
      </c>
      <c r="F59" t="s">
        <v>42</v>
      </c>
      <c r="G59" t="s">
        <v>51</v>
      </c>
      <c r="H59" t="s">
        <v>1060</v>
      </c>
      <c r="J59">
        <v>12</v>
      </c>
      <c r="K59" t="s">
        <v>1077</v>
      </c>
      <c r="L59">
        <v>4</v>
      </c>
      <c r="M59">
        <v>2</v>
      </c>
      <c r="N59" t="s">
        <v>1077</v>
      </c>
      <c r="O59">
        <v>80</v>
      </c>
      <c r="P59">
        <v>10</v>
      </c>
      <c r="Q59">
        <v>11</v>
      </c>
      <c r="R59" t="s">
        <v>21</v>
      </c>
      <c r="S59" t="s">
        <v>19</v>
      </c>
      <c r="U59">
        <v>0</v>
      </c>
      <c r="V59" t="s">
        <v>39</v>
      </c>
      <c r="W59" t="s">
        <v>1078</v>
      </c>
      <c r="X59" t="s">
        <v>20</v>
      </c>
      <c r="Y59">
        <v>14</v>
      </c>
    </row>
    <row r="60" spans="1:25">
      <c r="A60" t="s">
        <v>167</v>
      </c>
      <c r="B60" t="s">
        <v>168</v>
      </c>
      <c r="C60">
        <v>26</v>
      </c>
      <c r="D60" t="s">
        <v>1077</v>
      </c>
      <c r="E60" t="s">
        <v>26</v>
      </c>
      <c r="F60" t="s">
        <v>18</v>
      </c>
      <c r="G60" t="s">
        <v>51</v>
      </c>
      <c r="H60" t="s">
        <v>1060</v>
      </c>
      <c r="I60">
        <v>53500</v>
      </c>
      <c r="J60">
        <v>12</v>
      </c>
      <c r="K60">
        <v>642000</v>
      </c>
      <c r="L60">
        <v>4</v>
      </c>
      <c r="M60">
        <v>2</v>
      </c>
      <c r="N60" t="s">
        <v>1077</v>
      </c>
      <c r="O60">
        <v>85</v>
      </c>
      <c r="P60">
        <v>5</v>
      </c>
      <c r="Q60">
        <v>3</v>
      </c>
      <c r="S60" t="s">
        <v>38</v>
      </c>
      <c r="U60">
        <v>0</v>
      </c>
      <c r="V60" t="s">
        <v>39</v>
      </c>
      <c r="W60" t="s">
        <v>1077</v>
      </c>
      <c r="X60" t="s">
        <v>20</v>
      </c>
      <c r="Y60">
        <v>10</v>
      </c>
    </row>
    <row r="61" spans="1:25">
      <c r="A61" t="s">
        <v>169</v>
      </c>
      <c r="B61" t="s">
        <v>170</v>
      </c>
      <c r="C61">
        <v>25</v>
      </c>
      <c r="D61" t="s">
        <v>46</v>
      </c>
      <c r="E61" t="s">
        <v>61</v>
      </c>
      <c r="F61" t="s">
        <v>36</v>
      </c>
      <c r="G61" t="s">
        <v>51</v>
      </c>
      <c r="H61" t="s">
        <v>1060</v>
      </c>
      <c r="I61">
        <v>43000</v>
      </c>
      <c r="J61">
        <v>12</v>
      </c>
      <c r="K61">
        <v>516000</v>
      </c>
      <c r="L61">
        <v>3</v>
      </c>
      <c r="M61">
        <v>1</v>
      </c>
      <c r="N61" t="s">
        <v>1077</v>
      </c>
      <c r="O61">
        <v>80</v>
      </c>
      <c r="P61">
        <v>15</v>
      </c>
      <c r="Q61">
        <v>3</v>
      </c>
      <c r="S61" t="s">
        <v>19</v>
      </c>
      <c r="T61">
        <v>10</v>
      </c>
      <c r="U61">
        <v>3000</v>
      </c>
      <c r="V61" t="s">
        <v>39</v>
      </c>
      <c r="W61" t="s">
        <v>1077</v>
      </c>
      <c r="X61" t="s">
        <v>20</v>
      </c>
      <c r="Y61">
        <v>25</v>
      </c>
    </row>
    <row r="62" spans="1:25">
      <c r="A62" t="s">
        <v>171</v>
      </c>
      <c r="B62" t="s">
        <v>172</v>
      </c>
      <c r="C62">
        <v>45</v>
      </c>
      <c r="D62" t="s">
        <v>46</v>
      </c>
      <c r="E62" t="s">
        <v>65</v>
      </c>
      <c r="F62" t="s">
        <v>66</v>
      </c>
      <c r="G62" t="s">
        <v>1049</v>
      </c>
      <c r="H62" t="s">
        <v>1060</v>
      </c>
      <c r="I62">
        <v>120000</v>
      </c>
      <c r="J62">
        <v>12</v>
      </c>
      <c r="K62">
        <v>1440000</v>
      </c>
      <c r="L62">
        <v>13</v>
      </c>
      <c r="M62">
        <v>2</v>
      </c>
      <c r="N62" t="s">
        <v>1077</v>
      </c>
      <c r="O62">
        <v>90</v>
      </c>
      <c r="P62">
        <v>10</v>
      </c>
      <c r="Q62">
        <v>13</v>
      </c>
      <c r="S62" t="s">
        <v>38</v>
      </c>
      <c r="U62" t="s">
        <v>1077</v>
      </c>
      <c r="V62" t="s">
        <v>39</v>
      </c>
      <c r="W62" t="s">
        <v>1077</v>
      </c>
      <c r="X62" t="s">
        <v>33</v>
      </c>
      <c r="Y62">
        <v>20</v>
      </c>
    </row>
    <row r="63" spans="1:25">
      <c r="A63" t="s">
        <v>173</v>
      </c>
      <c r="B63" t="s">
        <v>174</v>
      </c>
      <c r="C63">
        <v>25</v>
      </c>
      <c r="D63" t="s">
        <v>25</v>
      </c>
      <c r="E63" t="s">
        <v>73</v>
      </c>
      <c r="F63" t="s">
        <v>27</v>
      </c>
      <c r="G63" t="s">
        <v>51</v>
      </c>
      <c r="H63" t="s">
        <v>1060</v>
      </c>
      <c r="I63">
        <v>48000</v>
      </c>
      <c r="J63">
        <v>12</v>
      </c>
      <c r="K63">
        <v>576000</v>
      </c>
      <c r="L63">
        <v>4</v>
      </c>
      <c r="M63">
        <v>4</v>
      </c>
      <c r="N63">
        <v>14400</v>
      </c>
      <c r="O63">
        <v>90</v>
      </c>
      <c r="P63">
        <v>5</v>
      </c>
      <c r="Q63">
        <v>3</v>
      </c>
      <c r="S63" t="s">
        <v>38</v>
      </c>
      <c r="T63">
        <v>20</v>
      </c>
      <c r="U63">
        <v>6000</v>
      </c>
      <c r="V63" t="s">
        <v>58</v>
      </c>
      <c r="W63" t="s">
        <v>1077</v>
      </c>
      <c r="X63" t="s">
        <v>20</v>
      </c>
      <c r="Y63">
        <v>12</v>
      </c>
    </row>
    <row r="64" spans="1:25">
      <c r="A64" t="s">
        <v>175</v>
      </c>
      <c r="B64" t="s">
        <v>176</v>
      </c>
      <c r="C64">
        <v>35</v>
      </c>
      <c r="D64" t="s">
        <v>25</v>
      </c>
      <c r="E64" t="s">
        <v>73</v>
      </c>
      <c r="F64" t="s">
        <v>31</v>
      </c>
      <c r="G64" t="s">
        <v>1045</v>
      </c>
      <c r="H64" t="s">
        <v>1060</v>
      </c>
      <c r="I64">
        <v>76500</v>
      </c>
      <c r="J64">
        <v>12</v>
      </c>
      <c r="K64">
        <v>918000</v>
      </c>
      <c r="L64">
        <v>5</v>
      </c>
      <c r="M64">
        <v>3</v>
      </c>
      <c r="N64">
        <v>22950</v>
      </c>
      <c r="O64">
        <v>85</v>
      </c>
      <c r="P64">
        <v>10</v>
      </c>
      <c r="Q64">
        <v>2</v>
      </c>
      <c r="R64" t="s">
        <v>37</v>
      </c>
      <c r="S64" t="s">
        <v>38</v>
      </c>
      <c r="T64">
        <v>10</v>
      </c>
      <c r="U64">
        <v>3000</v>
      </c>
      <c r="V64" t="s">
        <v>22</v>
      </c>
      <c r="W64" t="s">
        <v>1077</v>
      </c>
      <c r="X64" t="s">
        <v>33</v>
      </c>
      <c r="Y64">
        <v>13</v>
      </c>
    </row>
    <row r="65" spans="1:25">
      <c r="A65" t="s">
        <v>177</v>
      </c>
      <c r="B65" t="s">
        <v>178</v>
      </c>
      <c r="C65">
        <v>26</v>
      </c>
      <c r="D65" t="s">
        <v>25</v>
      </c>
      <c r="E65" t="s">
        <v>35</v>
      </c>
      <c r="F65" t="s">
        <v>66</v>
      </c>
      <c r="G65" t="s">
        <v>51</v>
      </c>
      <c r="H65" t="s">
        <v>1060</v>
      </c>
      <c r="I65">
        <v>37000</v>
      </c>
      <c r="J65">
        <v>12</v>
      </c>
      <c r="K65">
        <v>444000</v>
      </c>
      <c r="L65">
        <v>2</v>
      </c>
      <c r="M65">
        <v>4</v>
      </c>
      <c r="N65">
        <v>11100</v>
      </c>
      <c r="O65">
        <v>80</v>
      </c>
      <c r="P65">
        <v>15</v>
      </c>
      <c r="Q65">
        <v>11</v>
      </c>
      <c r="R65" t="s">
        <v>21</v>
      </c>
      <c r="S65" t="s">
        <v>19</v>
      </c>
      <c r="T65">
        <v>10</v>
      </c>
      <c r="U65">
        <v>3000</v>
      </c>
      <c r="V65" t="s">
        <v>22</v>
      </c>
      <c r="W65" t="s">
        <v>1077</v>
      </c>
      <c r="X65" t="s">
        <v>33</v>
      </c>
      <c r="Y65">
        <v>20</v>
      </c>
    </row>
    <row r="66" spans="1:25">
      <c r="A66" t="s">
        <v>179</v>
      </c>
      <c r="B66" t="s">
        <v>180</v>
      </c>
      <c r="C66">
        <v>28</v>
      </c>
      <c r="D66" t="s">
        <v>46</v>
      </c>
      <c r="F66" t="s">
        <v>18</v>
      </c>
      <c r="G66" t="s">
        <v>1045</v>
      </c>
      <c r="H66" t="s">
        <v>1059</v>
      </c>
      <c r="I66">
        <v>78000</v>
      </c>
      <c r="J66">
        <v>12</v>
      </c>
      <c r="K66">
        <v>936000</v>
      </c>
      <c r="L66">
        <v>7</v>
      </c>
      <c r="M66">
        <v>1</v>
      </c>
      <c r="N66" t="s">
        <v>1077</v>
      </c>
      <c r="O66">
        <v>90</v>
      </c>
      <c r="P66">
        <v>7</v>
      </c>
      <c r="Q66">
        <v>1</v>
      </c>
      <c r="R66" t="s">
        <v>37</v>
      </c>
      <c r="S66" t="s">
        <v>28</v>
      </c>
      <c r="T66">
        <v>20</v>
      </c>
      <c r="U66">
        <v>6000</v>
      </c>
      <c r="V66" t="s">
        <v>39</v>
      </c>
      <c r="W66" t="s">
        <v>1077</v>
      </c>
      <c r="X66" t="s">
        <v>20</v>
      </c>
      <c r="Y66">
        <v>10</v>
      </c>
    </row>
    <row r="67" spans="1:25">
      <c r="A67" t="s">
        <v>56</v>
      </c>
      <c r="B67" t="s">
        <v>594</v>
      </c>
      <c r="C67">
        <v>25</v>
      </c>
      <c r="D67" t="s">
        <v>25</v>
      </c>
      <c r="E67" t="s">
        <v>57</v>
      </c>
      <c r="F67" t="s">
        <v>42</v>
      </c>
      <c r="G67" t="s">
        <v>51</v>
      </c>
      <c r="H67" t="s">
        <v>1060</v>
      </c>
      <c r="I67">
        <v>36000</v>
      </c>
      <c r="J67">
        <v>12</v>
      </c>
      <c r="K67">
        <v>432000</v>
      </c>
      <c r="L67">
        <v>3</v>
      </c>
      <c r="M67">
        <v>4</v>
      </c>
      <c r="N67">
        <v>10800</v>
      </c>
      <c r="O67">
        <v>80</v>
      </c>
      <c r="P67">
        <v>7</v>
      </c>
      <c r="Q67">
        <v>5</v>
      </c>
      <c r="S67" t="s">
        <v>28</v>
      </c>
      <c r="U67">
        <v>0</v>
      </c>
      <c r="V67" t="s">
        <v>58</v>
      </c>
      <c r="W67" t="s">
        <v>1079</v>
      </c>
      <c r="X67" t="s">
        <v>20</v>
      </c>
      <c r="Y67">
        <v>14</v>
      </c>
    </row>
    <row r="68" spans="1:25">
      <c r="A68" t="s">
        <v>181</v>
      </c>
      <c r="B68" t="s">
        <v>182</v>
      </c>
      <c r="C68">
        <v>27</v>
      </c>
      <c r="D68" t="s">
        <v>46</v>
      </c>
      <c r="E68" t="s">
        <v>73</v>
      </c>
      <c r="F68" t="s">
        <v>66</v>
      </c>
      <c r="G68" t="s">
        <v>51</v>
      </c>
      <c r="H68" t="s">
        <v>1060</v>
      </c>
      <c r="I68">
        <v>37000</v>
      </c>
      <c r="J68">
        <v>12</v>
      </c>
      <c r="K68">
        <v>444000</v>
      </c>
      <c r="L68">
        <v>2</v>
      </c>
      <c r="M68">
        <v>4</v>
      </c>
      <c r="N68">
        <v>11100</v>
      </c>
      <c r="O68">
        <v>85</v>
      </c>
      <c r="P68">
        <v>10</v>
      </c>
      <c r="Q68">
        <v>1</v>
      </c>
      <c r="R68" t="s">
        <v>21</v>
      </c>
      <c r="S68" t="s">
        <v>38</v>
      </c>
      <c r="T68">
        <v>5</v>
      </c>
      <c r="U68">
        <v>1500</v>
      </c>
      <c r="V68" t="s">
        <v>22</v>
      </c>
      <c r="W68" t="s">
        <v>1077</v>
      </c>
      <c r="X68" t="s">
        <v>33</v>
      </c>
      <c r="Y68">
        <v>20</v>
      </c>
    </row>
    <row r="69" spans="1:25">
      <c r="A69" t="s">
        <v>183</v>
      </c>
      <c r="B69" t="s">
        <v>184</v>
      </c>
      <c r="C69">
        <v>26</v>
      </c>
      <c r="D69" t="s">
        <v>25</v>
      </c>
      <c r="E69" t="s">
        <v>64</v>
      </c>
      <c r="F69" t="s">
        <v>18</v>
      </c>
      <c r="G69" t="s">
        <v>51</v>
      </c>
      <c r="H69" t="s">
        <v>1060</v>
      </c>
      <c r="I69">
        <v>43000</v>
      </c>
      <c r="J69">
        <v>12</v>
      </c>
      <c r="K69">
        <v>516000</v>
      </c>
      <c r="L69">
        <v>3</v>
      </c>
      <c r="M69">
        <v>2</v>
      </c>
      <c r="N69" t="s">
        <v>1077</v>
      </c>
      <c r="O69">
        <v>85</v>
      </c>
      <c r="P69">
        <v>10</v>
      </c>
      <c r="Q69">
        <v>3</v>
      </c>
      <c r="R69" t="s">
        <v>37</v>
      </c>
      <c r="S69" t="s">
        <v>19</v>
      </c>
      <c r="T69">
        <v>10</v>
      </c>
      <c r="U69">
        <v>3000</v>
      </c>
      <c r="V69" t="s">
        <v>39</v>
      </c>
      <c r="W69" t="s">
        <v>1077</v>
      </c>
      <c r="X69" t="s">
        <v>20</v>
      </c>
      <c r="Y69">
        <v>10</v>
      </c>
    </row>
    <row r="70" spans="1:25">
      <c r="A70" t="s">
        <v>185</v>
      </c>
      <c r="B70" t="s">
        <v>186</v>
      </c>
      <c r="C70">
        <v>35</v>
      </c>
      <c r="D70" t="s">
        <v>25</v>
      </c>
      <c r="E70" t="s">
        <v>73</v>
      </c>
      <c r="F70" t="s">
        <v>42</v>
      </c>
      <c r="G70" t="s">
        <v>82</v>
      </c>
      <c r="H70" t="s">
        <v>1059</v>
      </c>
      <c r="I70">
        <v>80000</v>
      </c>
      <c r="J70">
        <v>12</v>
      </c>
      <c r="K70">
        <v>960000</v>
      </c>
      <c r="L70">
        <v>9</v>
      </c>
      <c r="M70">
        <v>1</v>
      </c>
      <c r="N70" t="s">
        <v>1077</v>
      </c>
      <c r="O70">
        <v>90</v>
      </c>
      <c r="P70">
        <v>10</v>
      </c>
      <c r="Q70">
        <v>11</v>
      </c>
      <c r="R70" t="s">
        <v>37</v>
      </c>
      <c r="S70" t="s">
        <v>28</v>
      </c>
      <c r="U70">
        <v>0</v>
      </c>
      <c r="V70" t="s">
        <v>39</v>
      </c>
      <c r="W70" t="s">
        <v>1077</v>
      </c>
      <c r="X70" t="s">
        <v>20</v>
      </c>
      <c r="Y70">
        <v>14</v>
      </c>
    </row>
    <row r="71" spans="1:25">
      <c r="A71" t="s">
        <v>187</v>
      </c>
      <c r="B71" t="s">
        <v>188</v>
      </c>
      <c r="C71">
        <v>26</v>
      </c>
      <c r="D71" t="s">
        <v>1077</v>
      </c>
      <c r="E71" t="s">
        <v>61</v>
      </c>
      <c r="F71" t="s">
        <v>27</v>
      </c>
      <c r="G71" t="s">
        <v>51</v>
      </c>
      <c r="H71" t="s">
        <v>1060</v>
      </c>
      <c r="I71">
        <v>43000</v>
      </c>
      <c r="J71">
        <v>12</v>
      </c>
      <c r="K71">
        <v>516000</v>
      </c>
      <c r="L71">
        <v>3</v>
      </c>
      <c r="M71">
        <v>1</v>
      </c>
      <c r="N71" t="s">
        <v>1077</v>
      </c>
      <c r="O71">
        <v>87</v>
      </c>
      <c r="P71">
        <v>5</v>
      </c>
      <c r="Q71">
        <v>5</v>
      </c>
      <c r="S71" t="s">
        <v>19</v>
      </c>
      <c r="T71">
        <v>5</v>
      </c>
      <c r="U71">
        <v>1500</v>
      </c>
      <c r="V71" t="s">
        <v>39</v>
      </c>
      <c r="W71" t="s">
        <v>1077</v>
      </c>
      <c r="X71" t="s">
        <v>20</v>
      </c>
      <c r="Y71">
        <v>12</v>
      </c>
    </row>
    <row r="72" spans="1:25">
      <c r="A72" t="s">
        <v>189</v>
      </c>
      <c r="B72" t="s">
        <v>190</v>
      </c>
      <c r="C72">
        <v>28</v>
      </c>
      <c r="D72" t="s">
        <v>46</v>
      </c>
      <c r="E72" t="s">
        <v>73</v>
      </c>
      <c r="F72" t="s">
        <v>18</v>
      </c>
      <c r="G72" t="s">
        <v>1045</v>
      </c>
      <c r="H72" t="s">
        <v>1060</v>
      </c>
      <c r="I72">
        <v>78000</v>
      </c>
      <c r="J72">
        <v>12</v>
      </c>
      <c r="K72">
        <v>936000</v>
      </c>
      <c r="L72">
        <v>7</v>
      </c>
      <c r="M72">
        <v>3</v>
      </c>
      <c r="N72">
        <v>23400</v>
      </c>
      <c r="O72">
        <v>90</v>
      </c>
      <c r="P72">
        <v>7</v>
      </c>
      <c r="Q72">
        <v>2</v>
      </c>
      <c r="R72" t="s">
        <v>37</v>
      </c>
      <c r="S72" t="s">
        <v>19</v>
      </c>
      <c r="U72">
        <v>0</v>
      </c>
      <c r="V72" t="s">
        <v>22</v>
      </c>
      <c r="W72" t="s">
        <v>1077</v>
      </c>
      <c r="X72" t="s">
        <v>20</v>
      </c>
      <c r="Y72">
        <v>10</v>
      </c>
    </row>
    <row r="73" spans="1:25">
      <c r="A73" t="s">
        <v>191</v>
      </c>
      <c r="B73" t="s">
        <v>192</v>
      </c>
      <c r="C73">
        <v>40</v>
      </c>
      <c r="D73" t="s">
        <v>25</v>
      </c>
      <c r="E73" t="s">
        <v>50</v>
      </c>
      <c r="F73" t="s">
        <v>18</v>
      </c>
      <c r="G73" t="s">
        <v>1049</v>
      </c>
      <c r="H73" t="s">
        <v>1060</v>
      </c>
      <c r="I73">
        <v>130000</v>
      </c>
      <c r="J73">
        <v>12</v>
      </c>
      <c r="K73">
        <v>1560000</v>
      </c>
      <c r="L73">
        <v>13</v>
      </c>
      <c r="M73">
        <v>1</v>
      </c>
      <c r="N73" t="s">
        <v>1077</v>
      </c>
      <c r="O73">
        <v>87</v>
      </c>
      <c r="P73">
        <v>15</v>
      </c>
      <c r="Q73">
        <v>2</v>
      </c>
      <c r="R73" t="s">
        <v>37</v>
      </c>
      <c r="S73" t="s">
        <v>19</v>
      </c>
      <c r="U73" t="s">
        <v>1077</v>
      </c>
      <c r="V73" t="s">
        <v>39</v>
      </c>
      <c r="W73" t="s">
        <v>1077</v>
      </c>
      <c r="X73" t="s">
        <v>20</v>
      </c>
      <c r="Y73">
        <v>10</v>
      </c>
    </row>
    <row r="74" spans="1:25">
      <c r="A74" t="s">
        <v>193</v>
      </c>
      <c r="B74" t="s">
        <v>194</v>
      </c>
      <c r="C74">
        <v>27</v>
      </c>
      <c r="D74" t="s">
        <v>46</v>
      </c>
      <c r="E74" t="s">
        <v>47</v>
      </c>
      <c r="F74" t="s">
        <v>31</v>
      </c>
      <c r="G74" t="s">
        <v>1045</v>
      </c>
      <c r="H74" t="s">
        <v>1060</v>
      </c>
      <c r="I74">
        <v>78000</v>
      </c>
      <c r="J74">
        <v>12</v>
      </c>
      <c r="K74">
        <v>936000</v>
      </c>
      <c r="L74">
        <v>7</v>
      </c>
      <c r="M74">
        <v>1</v>
      </c>
      <c r="N74" t="s">
        <v>1077</v>
      </c>
      <c r="O74">
        <v>87</v>
      </c>
      <c r="P74">
        <v>15</v>
      </c>
      <c r="Q74">
        <v>5</v>
      </c>
      <c r="R74" t="s">
        <v>37</v>
      </c>
      <c r="S74" t="s">
        <v>19</v>
      </c>
      <c r="T74">
        <v>10</v>
      </c>
      <c r="U74">
        <v>3000</v>
      </c>
      <c r="V74" t="s">
        <v>39</v>
      </c>
      <c r="W74" t="s">
        <v>1077</v>
      </c>
      <c r="X74" t="s">
        <v>33</v>
      </c>
      <c r="Y74">
        <v>13</v>
      </c>
    </row>
    <row r="75" spans="1:25">
      <c r="A75" t="s">
        <v>195</v>
      </c>
      <c r="B75" t="s">
        <v>196</v>
      </c>
      <c r="C75">
        <v>25</v>
      </c>
      <c r="D75" t="s">
        <v>1077</v>
      </c>
      <c r="E75" t="s">
        <v>47</v>
      </c>
      <c r="F75" t="s">
        <v>18</v>
      </c>
      <c r="G75" t="s">
        <v>51</v>
      </c>
      <c r="H75" t="s">
        <v>1060</v>
      </c>
      <c r="I75">
        <v>38000</v>
      </c>
      <c r="J75">
        <v>12</v>
      </c>
      <c r="K75">
        <v>456000</v>
      </c>
      <c r="L75">
        <v>2</v>
      </c>
      <c r="M75">
        <v>4</v>
      </c>
      <c r="N75">
        <v>11400</v>
      </c>
      <c r="O75">
        <v>85</v>
      </c>
      <c r="P75">
        <v>5</v>
      </c>
      <c r="Q75">
        <v>2</v>
      </c>
      <c r="R75" t="s">
        <v>37</v>
      </c>
      <c r="S75" t="s">
        <v>38</v>
      </c>
      <c r="T75">
        <v>10</v>
      </c>
      <c r="U75">
        <v>3000</v>
      </c>
      <c r="V75" t="s">
        <v>22</v>
      </c>
      <c r="W75" t="s">
        <v>1077</v>
      </c>
      <c r="X75" t="s">
        <v>20</v>
      </c>
      <c r="Y75">
        <v>10</v>
      </c>
    </row>
    <row r="76" spans="1:25">
      <c r="A76" t="s">
        <v>197</v>
      </c>
      <c r="B76" t="s">
        <v>198</v>
      </c>
      <c r="C76">
        <v>33</v>
      </c>
      <c r="D76" t="s">
        <v>46</v>
      </c>
      <c r="F76" t="s">
        <v>27</v>
      </c>
      <c r="G76" t="s">
        <v>32</v>
      </c>
      <c r="H76" t="s">
        <v>1060</v>
      </c>
      <c r="I76">
        <v>94500</v>
      </c>
      <c r="J76">
        <v>12</v>
      </c>
      <c r="K76">
        <v>1134000</v>
      </c>
      <c r="L76">
        <v>9</v>
      </c>
      <c r="M76">
        <v>5</v>
      </c>
      <c r="N76">
        <v>28350</v>
      </c>
      <c r="O76">
        <v>90</v>
      </c>
      <c r="P76">
        <v>5</v>
      </c>
      <c r="Q76">
        <v>5</v>
      </c>
      <c r="R76" t="s">
        <v>21</v>
      </c>
      <c r="S76" t="s">
        <v>38</v>
      </c>
      <c r="U76">
        <v>0</v>
      </c>
      <c r="V76" t="s">
        <v>58</v>
      </c>
      <c r="W76" t="s">
        <v>1077</v>
      </c>
      <c r="X76" t="s">
        <v>20</v>
      </c>
      <c r="Y76">
        <v>12</v>
      </c>
    </row>
    <row r="77" spans="1:25">
      <c r="A77" t="s">
        <v>199</v>
      </c>
      <c r="B77" t="s">
        <v>200</v>
      </c>
      <c r="C77">
        <v>25</v>
      </c>
      <c r="D77" t="s">
        <v>1077</v>
      </c>
      <c r="E77" t="s">
        <v>26</v>
      </c>
      <c r="F77" t="s">
        <v>18</v>
      </c>
      <c r="G77" t="s">
        <v>51</v>
      </c>
      <c r="H77" t="s">
        <v>1059</v>
      </c>
      <c r="I77">
        <v>48000</v>
      </c>
      <c r="J77">
        <v>12</v>
      </c>
      <c r="K77">
        <v>576000</v>
      </c>
      <c r="L77">
        <v>4</v>
      </c>
      <c r="M77">
        <v>1</v>
      </c>
      <c r="N77" t="s">
        <v>1077</v>
      </c>
      <c r="O77">
        <v>95</v>
      </c>
      <c r="P77">
        <v>5</v>
      </c>
      <c r="Q77">
        <v>1</v>
      </c>
      <c r="R77" t="s">
        <v>37</v>
      </c>
      <c r="S77" t="s">
        <v>28</v>
      </c>
      <c r="T77">
        <v>10</v>
      </c>
      <c r="U77">
        <v>3000</v>
      </c>
      <c r="V77" t="s">
        <v>39</v>
      </c>
      <c r="W77" t="s">
        <v>1077</v>
      </c>
      <c r="X77" t="s">
        <v>20</v>
      </c>
      <c r="Y77">
        <v>10</v>
      </c>
    </row>
    <row r="78" spans="1:25">
      <c r="A78" t="s">
        <v>201</v>
      </c>
      <c r="B78" t="s">
        <v>202</v>
      </c>
      <c r="C78">
        <v>25</v>
      </c>
      <c r="D78" t="s">
        <v>25</v>
      </c>
      <c r="E78" t="s">
        <v>35</v>
      </c>
      <c r="F78" t="s">
        <v>66</v>
      </c>
      <c r="G78" t="s">
        <v>51</v>
      </c>
      <c r="H78" t="s">
        <v>1060</v>
      </c>
      <c r="I78">
        <v>45000</v>
      </c>
      <c r="J78">
        <v>12</v>
      </c>
      <c r="K78">
        <v>540000</v>
      </c>
      <c r="L78">
        <v>3</v>
      </c>
      <c r="M78">
        <v>4</v>
      </c>
      <c r="N78">
        <v>13500</v>
      </c>
      <c r="O78">
        <v>85</v>
      </c>
      <c r="P78">
        <v>5</v>
      </c>
      <c r="Q78">
        <v>8</v>
      </c>
      <c r="R78" t="s">
        <v>21</v>
      </c>
      <c r="S78" t="s">
        <v>38</v>
      </c>
      <c r="T78">
        <v>5</v>
      </c>
      <c r="U78">
        <v>1500</v>
      </c>
      <c r="V78" t="s">
        <v>22</v>
      </c>
      <c r="W78" t="s">
        <v>1077</v>
      </c>
      <c r="X78" t="s">
        <v>33</v>
      </c>
      <c r="Y78">
        <v>20</v>
      </c>
    </row>
    <row r="79" spans="1:25">
      <c r="A79" t="s">
        <v>203</v>
      </c>
      <c r="B79" t="s">
        <v>204</v>
      </c>
      <c r="C79">
        <v>27</v>
      </c>
      <c r="D79" t="s">
        <v>1077</v>
      </c>
      <c r="E79" t="s">
        <v>50</v>
      </c>
      <c r="F79" t="s">
        <v>31</v>
      </c>
      <c r="G79" t="s">
        <v>51</v>
      </c>
      <c r="H79" t="s">
        <v>1060</v>
      </c>
      <c r="I79">
        <v>37000</v>
      </c>
      <c r="J79">
        <v>12</v>
      </c>
      <c r="K79">
        <v>444000</v>
      </c>
      <c r="L79">
        <v>2</v>
      </c>
      <c r="M79">
        <v>1</v>
      </c>
      <c r="N79" t="s">
        <v>1077</v>
      </c>
      <c r="O79">
        <v>85</v>
      </c>
      <c r="P79">
        <v>7</v>
      </c>
      <c r="Q79">
        <v>13</v>
      </c>
      <c r="R79" t="s">
        <v>21</v>
      </c>
      <c r="S79" t="s">
        <v>38</v>
      </c>
      <c r="T79">
        <v>10</v>
      </c>
      <c r="U79">
        <v>3000</v>
      </c>
      <c r="V79" t="s">
        <v>39</v>
      </c>
      <c r="W79" t="s">
        <v>1077</v>
      </c>
      <c r="X79" t="s">
        <v>33</v>
      </c>
      <c r="Y79">
        <v>13</v>
      </c>
    </row>
    <row r="80" spans="1:25">
      <c r="A80" t="s">
        <v>205</v>
      </c>
      <c r="B80" t="s">
        <v>206</v>
      </c>
      <c r="C80">
        <v>26</v>
      </c>
      <c r="D80" t="s">
        <v>46</v>
      </c>
      <c r="E80" t="s">
        <v>17</v>
      </c>
      <c r="F80" t="s">
        <v>18</v>
      </c>
      <c r="G80" t="s">
        <v>51</v>
      </c>
      <c r="H80" t="s">
        <v>1060</v>
      </c>
      <c r="I80">
        <v>45000</v>
      </c>
      <c r="J80">
        <v>12</v>
      </c>
      <c r="K80">
        <v>540000</v>
      </c>
      <c r="L80">
        <v>3</v>
      </c>
      <c r="M80">
        <v>4</v>
      </c>
      <c r="N80">
        <v>13500</v>
      </c>
      <c r="O80">
        <v>90</v>
      </c>
      <c r="P80">
        <v>7</v>
      </c>
      <c r="Q80">
        <v>2</v>
      </c>
      <c r="R80" t="s">
        <v>21</v>
      </c>
      <c r="S80" t="s">
        <v>38</v>
      </c>
      <c r="U80">
        <v>0</v>
      </c>
      <c r="V80" t="s">
        <v>22</v>
      </c>
      <c r="W80" t="s">
        <v>1077</v>
      </c>
      <c r="X80" t="s">
        <v>20</v>
      </c>
      <c r="Y80">
        <v>10</v>
      </c>
    </row>
    <row r="81" spans="1:25">
      <c r="A81" t="s">
        <v>207</v>
      </c>
      <c r="B81" t="s">
        <v>208</v>
      </c>
      <c r="C81">
        <v>33</v>
      </c>
      <c r="D81" t="s">
        <v>46</v>
      </c>
      <c r="F81" t="s">
        <v>27</v>
      </c>
      <c r="G81" t="s">
        <v>32</v>
      </c>
      <c r="H81" t="s">
        <v>1060</v>
      </c>
      <c r="I81">
        <v>90000</v>
      </c>
      <c r="J81">
        <v>12</v>
      </c>
      <c r="K81">
        <v>1080000</v>
      </c>
      <c r="L81">
        <v>12</v>
      </c>
      <c r="M81">
        <v>2</v>
      </c>
      <c r="N81" t="s">
        <v>1077</v>
      </c>
      <c r="O81">
        <v>85</v>
      </c>
      <c r="P81">
        <v>7</v>
      </c>
      <c r="Q81">
        <v>2</v>
      </c>
      <c r="S81" t="s">
        <v>38</v>
      </c>
      <c r="T81">
        <v>5</v>
      </c>
      <c r="U81">
        <v>1750</v>
      </c>
      <c r="V81" t="s">
        <v>39</v>
      </c>
      <c r="W81" t="s">
        <v>1077</v>
      </c>
      <c r="X81" t="s">
        <v>20</v>
      </c>
      <c r="Y81">
        <v>12</v>
      </c>
    </row>
    <row r="82" spans="1:25">
      <c r="A82" t="s">
        <v>209</v>
      </c>
      <c r="B82" t="s">
        <v>210</v>
      </c>
      <c r="C82">
        <v>27</v>
      </c>
      <c r="D82" t="s">
        <v>46</v>
      </c>
      <c r="E82" t="s">
        <v>17</v>
      </c>
      <c r="F82" t="s">
        <v>42</v>
      </c>
      <c r="G82" t="s">
        <v>51</v>
      </c>
      <c r="H82" t="s">
        <v>1059</v>
      </c>
      <c r="I82">
        <v>37000</v>
      </c>
      <c r="J82">
        <v>12</v>
      </c>
      <c r="K82">
        <v>444000</v>
      </c>
      <c r="L82">
        <v>2</v>
      </c>
      <c r="M82">
        <v>3</v>
      </c>
      <c r="N82">
        <v>11100</v>
      </c>
      <c r="O82">
        <v>90</v>
      </c>
      <c r="P82">
        <v>7</v>
      </c>
      <c r="Q82">
        <v>6</v>
      </c>
      <c r="S82" t="s">
        <v>28</v>
      </c>
      <c r="U82">
        <v>0</v>
      </c>
      <c r="V82" t="s">
        <v>22</v>
      </c>
      <c r="W82" t="s">
        <v>1077</v>
      </c>
      <c r="X82" t="s">
        <v>20</v>
      </c>
      <c r="Y82">
        <v>14</v>
      </c>
    </row>
    <row r="83" spans="1:25">
      <c r="A83" t="s">
        <v>211</v>
      </c>
      <c r="B83" t="s">
        <v>212</v>
      </c>
      <c r="C83">
        <v>19</v>
      </c>
      <c r="D83" t="s">
        <v>1077</v>
      </c>
      <c r="E83" t="s">
        <v>35</v>
      </c>
      <c r="F83" t="s">
        <v>36</v>
      </c>
      <c r="G83" t="s">
        <v>1047</v>
      </c>
      <c r="H83" t="s">
        <v>1060</v>
      </c>
      <c r="I83">
        <v>12000</v>
      </c>
      <c r="J83">
        <v>12</v>
      </c>
      <c r="K83">
        <v>144000</v>
      </c>
      <c r="L83">
        <v>0</v>
      </c>
      <c r="M83">
        <v>1</v>
      </c>
      <c r="N83" t="s">
        <v>1077</v>
      </c>
      <c r="O83">
        <v>85</v>
      </c>
      <c r="P83">
        <v>10</v>
      </c>
      <c r="Q83">
        <v>8</v>
      </c>
      <c r="R83" t="s">
        <v>21</v>
      </c>
      <c r="S83" t="s">
        <v>38</v>
      </c>
      <c r="T83">
        <v>5</v>
      </c>
      <c r="U83">
        <v>1250</v>
      </c>
      <c r="V83" t="s">
        <v>39</v>
      </c>
      <c r="W83" t="s">
        <v>1077</v>
      </c>
      <c r="X83" t="s">
        <v>20</v>
      </c>
      <c r="Y83">
        <v>25</v>
      </c>
    </row>
    <row r="84" spans="1:25">
      <c r="A84" t="s">
        <v>213</v>
      </c>
      <c r="B84" t="s">
        <v>214</v>
      </c>
      <c r="C84">
        <v>27</v>
      </c>
      <c r="D84" t="s">
        <v>25</v>
      </c>
      <c r="E84" t="s">
        <v>17</v>
      </c>
      <c r="F84" t="s">
        <v>31</v>
      </c>
      <c r="G84" t="s">
        <v>1045</v>
      </c>
      <c r="H84" t="s">
        <v>1060</v>
      </c>
      <c r="I84">
        <v>78000</v>
      </c>
      <c r="J84">
        <v>12</v>
      </c>
      <c r="K84">
        <v>936000</v>
      </c>
      <c r="L84">
        <v>7</v>
      </c>
      <c r="M84">
        <v>2</v>
      </c>
      <c r="N84" t="s">
        <v>1077</v>
      </c>
      <c r="O84">
        <v>85</v>
      </c>
      <c r="P84">
        <v>7</v>
      </c>
      <c r="Q84">
        <v>5</v>
      </c>
      <c r="S84" t="s">
        <v>38</v>
      </c>
      <c r="U84">
        <v>0</v>
      </c>
      <c r="V84" t="s">
        <v>39</v>
      </c>
      <c r="W84" t="s">
        <v>1077</v>
      </c>
      <c r="X84" t="s">
        <v>33</v>
      </c>
      <c r="Y84">
        <v>13</v>
      </c>
    </row>
    <row r="85" spans="1:25">
      <c r="A85" t="s">
        <v>215</v>
      </c>
      <c r="B85" t="s">
        <v>216</v>
      </c>
      <c r="C85">
        <v>34</v>
      </c>
      <c r="D85" t="s">
        <v>25</v>
      </c>
      <c r="E85" t="s">
        <v>65</v>
      </c>
      <c r="F85" t="s">
        <v>42</v>
      </c>
      <c r="G85" t="s">
        <v>82</v>
      </c>
      <c r="H85" t="s">
        <v>1060</v>
      </c>
      <c r="I85">
        <v>88000</v>
      </c>
      <c r="J85">
        <v>12</v>
      </c>
      <c r="K85">
        <v>1056000</v>
      </c>
      <c r="L85">
        <v>8</v>
      </c>
      <c r="M85">
        <v>1</v>
      </c>
      <c r="N85" t="s">
        <v>1077</v>
      </c>
      <c r="O85">
        <v>85</v>
      </c>
      <c r="P85">
        <v>10</v>
      </c>
      <c r="Q85">
        <v>5</v>
      </c>
      <c r="R85" t="s">
        <v>21</v>
      </c>
      <c r="S85" t="s">
        <v>38</v>
      </c>
      <c r="T85">
        <v>10</v>
      </c>
      <c r="U85">
        <v>3500</v>
      </c>
      <c r="V85" t="s">
        <v>39</v>
      </c>
      <c r="W85" t="s">
        <v>1077</v>
      </c>
      <c r="X85" t="s">
        <v>20</v>
      </c>
      <c r="Y85">
        <v>14</v>
      </c>
    </row>
    <row r="86" spans="1:25">
      <c r="A86" t="s">
        <v>217</v>
      </c>
      <c r="B86" t="s">
        <v>218</v>
      </c>
      <c r="C86">
        <v>25</v>
      </c>
      <c r="D86" t="s">
        <v>46</v>
      </c>
      <c r="E86" t="s">
        <v>26</v>
      </c>
      <c r="F86" t="s">
        <v>18</v>
      </c>
      <c r="G86" t="s">
        <v>51</v>
      </c>
      <c r="H86" t="s">
        <v>1060</v>
      </c>
      <c r="I86">
        <v>47000</v>
      </c>
      <c r="J86">
        <v>12</v>
      </c>
      <c r="K86">
        <v>564000</v>
      </c>
      <c r="L86">
        <v>3</v>
      </c>
      <c r="M86">
        <v>2</v>
      </c>
      <c r="N86" t="s">
        <v>1077</v>
      </c>
      <c r="O86">
        <v>90</v>
      </c>
      <c r="P86">
        <v>15</v>
      </c>
      <c r="Q86">
        <v>1</v>
      </c>
      <c r="S86" t="s">
        <v>38</v>
      </c>
      <c r="T86">
        <v>10</v>
      </c>
      <c r="U86">
        <v>3000</v>
      </c>
      <c r="V86" t="s">
        <v>39</v>
      </c>
      <c r="W86" t="s">
        <v>1077</v>
      </c>
      <c r="X86" t="s">
        <v>20</v>
      </c>
      <c r="Y86">
        <v>10</v>
      </c>
    </row>
    <row r="87" spans="1:25">
      <c r="A87" t="s">
        <v>219</v>
      </c>
      <c r="B87" t="s">
        <v>220</v>
      </c>
      <c r="C87">
        <v>37</v>
      </c>
      <c r="D87" t="s">
        <v>25</v>
      </c>
      <c r="E87" t="s">
        <v>26</v>
      </c>
      <c r="F87" t="s">
        <v>18</v>
      </c>
      <c r="G87" t="s">
        <v>32</v>
      </c>
      <c r="H87" t="s">
        <v>1059</v>
      </c>
      <c r="I87">
        <v>90000</v>
      </c>
      <c r="J87">
        <v>12</v>
      </c>
      <c r="K87">
        <v>1080000</v>
      </c>
      <c r="L87">
        <v>12</v>
      </c>
      <c r="M87">
        <v>4</v>
      </c>
      <c r="N87">
        <v>27000</v>
      </c>
      <c r="O87">
        <v>80</v>
      </c>
      <c r="P87">
        <v>7</v>
      </c>
      <c r="Q87">
        <v>2</v>
      </c>
      <c r="R87" t="s">
        <v>37</v>
      </c>
      <c r="S87" t="s">
        <v>28</v>
      </c>
      <c r="T87">
        <v>10</v>
      </c>
      <c r="U87">
        <v>3500</v>
      </c>
      <c r="V87" t="s">
        <v>58</v>
      </c>
      <c r="W87" t="s">
        <v>1077</v>
      </c>
      <c r="X87" t="s">
        <v>20</v>
      </c>
      <c r="Y87">
        <v>10</v>
      </c>
    </row>
    <row r="88" spans="1:25">
      <c r="A88" t="s">
        <v>221</v>
      </c>
      <c r="B88" t="s">
        <v>222</v>
      </c>
      <c r="C88">
        <v>34</v>
      </c>
      <c r="D88" t="s">
        <v>25</v>
      </c>
      <c r="E88" t="s">
        <v>65</v>
      </c>
      <c r="F88" t="s">
        <v>36</v>
      </c>
      <c r="G88" t="s">
        <v>32</v>
      </c>
      <c r="H88" t="s">
        <v>1060</v>
      </c>
      <c r="I88">
        <v>93200</v>
      </c>
      <c r="J88">
        <v>12</v>
      </c>
      <c r="K88">
        <v>1118400</v>
      </c>
      <c r="L88">
        <v>9</v>
      </c>
      <c r="M88">
        <v>2</v>
      </c>
      <c r="N88" t="s">
        <v>1077</v>
      </c>
      <c r="O88">
        <v>80</v>
      </c>
      <c r="P88">
        <v>15</v>
      </c>
      <c r="Q88">
        <v>6</v>
      </c>
      <c r="R88" t="s">
        <v>21</v>
      </c>
      <c r="S88" t="s">
        <v>38</v>
      </c>
      <c r="T88">
        <v>5</v>
      </c>
      <c r="U88">
        <v>1750</v>
      </c>
      <c r="V88" t="s">
        <v>39</v>
      </c>
      <c r="W88" t="s">
        <v>1077</v>
      </c>
      <c r="X88" t="s">
        <v>20</v>
      </c>
      <c r="Y88">
        <v>25</v>
      </c>
    </row>
    <row r="89" spans="1:25">
      <c r="A89" t="s">
        <v>223</v>
      </c>
      <c r="B89" t="s">
        <v>224</v>
      </c>
      <c r="C89">
        <v>27</v>
      </c>
      <c r="D89" t="s">
        <v>25</v>
      </c>
      <c r="E89" t="s">
        <v>57</v>
      </c>
      <c r="F89" t="s">
        <v>31</v>
      </c>
      <c r="G89" t="s">
        <v>51</v>
      </c>
      <c r="H89" t="s">
        <v>1060</v>
      </c>
      <c r="I89">
        <v>48000</v>
      </c>
      <c r="J89">
        <v>12</v>
      </c>
      <c r="K89">
        <v>576000</v>
      </c>
      <c r="L89">
        <v>4</v>
      </c>
      <c r="M89">
        <v>1</v>
      </c>
      <c r="N89" t="s">
        <v>1077</v>
      </c>
      <c r="O89">
        <v>85</v>
      </c>
      <c r="P89">
        <v>10</v>
      </c>
      <c r="Q89">
        <v>1</v>
      </c>
      <c r="R89" t="s">
        <v>21</v>
      </c>
      <c r="S89" t="s">
        <v>38</v>
      </c>
      <c r="T89">
        <v>5</v>
      </c>
      <c r="U89">
        <v>1500</v>
      </c>
      <c r="V89" t="s">
        <v>39</v>
      </c>
      <c r="W89" t="s">
        <v>1077</v>
      </c>
      <c r="X89" t="s">
        <v>33</v>
      </c>
      <c r="Y89">
        <v>13</v>
      </c>
    </row>
    <row r="90" spans="1:25">
      <c r="A90" t="s">
        <v>225</v>
      </c>
      <c r="B90" t="s">
        <v>226</v>
      </c>
      <c r="C90">
        <v>27</v>
      </c>
      <c r="D90" t="s">
        <v>1077</v>
      </c>
      <c r="E90" t="s">
        <v>47</v>
      </c>
      <c r="F90" t="s">
        <v>36</v>
      </c>
      <c r="G90" t="s">
        <v>51</v>
      </c>
      <c r="H90" t="s">
        <v>1060</v>
      </c>
      <c r="I90">
        <v>47000</v>
      </c>
      <c r="J90">
        <v>12</v>
      </c>
      <c r="K90">
        <v>564000</v>
      </c>
      <c r="L90">
        <v>3</v>
      </c>
      <c r="M90">
        <v>5</v>
      </c>
      <c r="N90">
        <v>14100</v>
      </c>
      <c r="O90">
        <v>85</v>
      </c>
      <c r="P90">
        <v>5</v>
      </c>
      <c r="Q90">
        <v>5</v>
      </c>
      <c r="R90" t="s">
        <v>21</v>
      </c>
      <c r="S90" t="s">
        <v>38</v>
      </c>
      <c r="T90">
        <v>20</v>
      </c>
      <c r="U90">
        <v>6000</v>
      </c>
      <c r="V90" t="s">
        <v>58</v>
      </c>
      <c r="W90" t="s">
        <v>1077</v>
      </c>
      <c r="X90" t="s">
        <v>20</v>
      </c>
      <c r="Y90">
        <v>25</v>
      </c>
    </row>
    <row r="91" spans="1:25">
      <c r="A91" t="s">
        <v>227</v>
      </c>
      <c r="B91" t="s">
        <v>228</v>
      </c>
      <c r="C91">
        <v>27</v>
      </c>
      <c r="D91" t="s">
        <v>1077</v>
      </c>
      <c r="E91" t="s">
        <v>50</v>
      </c>
      <c r="F91" t="s">
        <v>36</v>
      </c>
      <c r="G91" t="s">
        <v>51</v>
      </c>
      <c r="H91" t="s">
        <v>1060</v>
      </c>
      <c r="I91">
        <v>47500</v>
      </c>
      <c r="J91">
        <v>12</v>
      </c>
      <c r="K91">
        <v>570000</v>
      </c>
      <c r="L91">
        <v>4</v>
      </c>
      <c r="M91">
        <v>5</v>
      </c>
      <c r="N91">
        <v>14250</v>
      </c>
      <c r="O91">
        <v>85</v>
      </c>
      <c r="P91">
        <v>5</v>
      </c>
      <c r="Q91">
        <v>5</v>
      </c>
      <c r="S91" t="s">
        <v>38</v>
      </c>
      <c r="T91">
        <v>5</v>
      </c>
      <c r="U91">
        <v>1500</v>
      </c>
      <c r="V91" t="s">
        <v>58</v>
      </c>
      <c r="W91" t="s">
        <v>1077</v>
      </c>
      <c r="X91" t="s">
        <v>20</v>
      </c>
      <c r="Y91">
        <v>25</v>
      </c>
    </row>
    <row r="92" spans="1:25">
      <c r="A92" t="s">
        <v>229</v>
      </c>
      <c r="B92" t="s">
        <v>230</v>
      </c>
      <c r="C92">
        <v>27</v>
      </c>
      <c r="D92" t="s">
        <v>46</v>
      </c>
      <c r="E92" t="s">
        <v>26</v>
      </c>
      <c r="F92" t="s">
        <v>66</v>
      </c>
      <c r="G92" t="s">
        <v>51</v>
      </c>
      <c r="H92" t="s">
        <v>1060</v>
      </c>
      <c r="I92">
        <v>47000</v>
      </c>
      <c r="J92">
        <v>12</v>
      </c>
      <c r="K92">
        <v>564000</v>
      </c>
      <c r="L92">
        <v>3</v>
      </c>
      <c r="M92">
        <v>3</v>
      </c>
      <c r="N92">
        <v>14100</v>
      </c>
      <c r="O92">
        <v>85</v>
      </c>
      <c r="P92">
        <v>7</v>
      </c>
      <c r="Q92">
        <v>1</v>
      </c>
      <c r="R92" t="s">
        <v>37</v>
      </c>
      <c r="S92" t="s">
        <v>38</v>
      </c>
      <c r="T92">
        <v>20</v>
      </c>
      <c r="U92">
        <v>6000</v>
      </c>
      <c r="V92" t="s">
        <v>22</v>
      </c>
      <c r="W92" t="s">
        <v>1077</v>
      </c>
      <c r="X92" t="s">
        <v>33</v>
      </c>
      <c r="Y92">
        <v>20</v>
      </c>
    </row>
    <row r="93" spans="1:25">
      <c r="A93" t="s">
        <v>231</v>
      </c>
      <c r="B93" t="s">
        <v>232</v>
      </c>
      <c r="C93">
        <v>26</v>
      </c>
      <c r="D93" t="s">
        <v>46</v>
      </c>
      <c r="E93" t="s">
        <v>35</v>
      </c>
      <c r="F93" t="s">
        <v>36</v>
      </c>
      <c r="G93" t="s">
        <v>51</v>
      </c>
      <c r="H93" t="s">
        <v>1060</v>
      </c>
      <c r="I93">
        <v>47000</v>
      </c>
      <c r="J93">
        <v>12</v>
      </c>
      <c r="K93">
        <v>564000</v>
      </c>
      <c r="L93">
        <v>3</v>
      </c>
      <c r="M93">
        <v>1</v>
      </c>
      <c r="N93" t="s">
        <v>1077</v>
      </c>
      <c r="O93">
        <v>95</v>
      </c>
      <c r="P93">
        <v>7</v>
      </c>
      <c r="Q93">
        <v>3</v>
      </c>
      <c r="R93" t="s">
        <v>21</v>
      </c>
      <c r="S93" t="s">
        <v>38</v>
      </c>
      <c r="T93">
        <v>20</v>
      </c>
      <c r="U93">
        <v>6000</v>
      </c>
      <c r="V93" t="s">
        <v>39</v>
      </c>
      <c r="W93" t="s">
        <v>1077</v>
      </c>
      <c r="X93" t="s">
        <v>20</v>
      </c>
      <c r="Y93">
        <v>25</v>
      </c>
    </row>
    <row r="94" spans="1:25">
      <c r="A94" t="s">
        <v>233</v>
      </c>
      <c r="B94" t="s">
        <v>234</v>
      </c>
      <c r="C94">
        <v>25</v>
      </c>
      <c r="D94" t="s">
        <v>46</v>
      </c>
      <c r="E94" t="s">
        <v>61</v>
      </c>
      <c r="F94" t="s">
        <v>66</v>
      </c>
      <c r="G94" t="s">
        <v>51</v>
      </c>
      <c r="H94" t="s">
        <v>1060</v>
      </c>
      <c r="I94">
        <v>48000</v>
      </c>
      <c r="J94">
        <v>12</v>
      </c>
      <c r="K94">
        <v>576000</v>
      </c>
      <c r="L94">
        <v>4</v>
      </c>
      <c r="M94">
        <v>4</v>
      </c>
      <c r="N94">
        <v>14400</v>
      </c>
      <c r="O94">
        <v>85</v>
      </c>
      <c r="P94">
        <v>5</v>
      </c>
      <c r="Q94">
        <v>3</v>
      </c>
      <c r="R94" t="s">
        <v>37</v>
      </c>
      <c r="S94" t="s">
        <v>38</v>
      </c>
      <c r="T94">
        <v>20</v>
      </c>
      <c r="U94">
        <v>6000</v>
      </c>
      <c r="V94" t="s">
        <v>58</v>
      </c>
      <c r="W94" t="s">
        <v>1077</v>
      </c>
      <c r="X94" t="s">
        <v>33</v>
      </c>
      <c r="Y94">
        <v>20</v>
      </c>
    </row>
    <row r="95" spans="1:25">
      <c r="A95" t="s">
        <v>235</v>
      </c>
      <c r="B95" t="s">
        <v>236</v>
      </c>
      <c r="C95">
        <v>25</v>
      </c>
      <c r="D95" t="s">
        <v>1077</v>
      </c>
      <c r="E95" t="s">
        <v>64</v>
      </c>
      <c r="F95" t="s">
        <v>42</v>
      </c>
      <c r="G95" t="s">
        <v>51</v>
      </c>
      <c r="H95" t="s">
        <v>1060</v>
      </c>
      <c r="I95">
        <v>48000</v>
      </c>
      <c r="J95">
        <v>12</v>
      </c>
      <c r="K95">
        <v>576000</v>
      </c>
      <c r="L95">
        <v>4</v>
      </c>
      <c r="M95">
        <v>4</v>
      </c>
      <c r="N95">
        <v>14400</v>
      </c>
      <c r="O95">
        <v>80</v>
      </c>
      <c r="P95">
        <v>7</v>
      </c>
      <c r="Q95">
        <v>1</v>
      </c>
      <c r="R95" t="s">
        <v>37</v>
      </c>
      <c r="S95" t="s">
        <v>38</v>
      </c>
      <c r="T95">
        <v>5</v>
      </c>
      <c r="U95">
        <v>1500</v>
      </c>
      <c r="V95" t="s">
        <v>22</v>
      </c>
      <c r="W95" t="s">
        <v>1077</v>
      </c>
      <c r="X95" t="s">
        <v>20</v>
      </c>
      <c r="Y95">
        <v>14</v>
      </c>
    </row>
    <row r="96" spans="1:25">
      <c r="A96" t="s">
        <v>237</v>
      </c>
      <c r="B96" t="s">
        <v>238</v>
      </c>
      <c r="C96">
        <v>25</v>
      </c>
      <c r="D96" t="s">
        <v>1077</v>
      </c>
      <c r="F96" t="s">
        <v>42</v>
      </c>
      <c r="G96" t="s">
        <v>51</v>
      </c>
      <c r="H96" t="s">
        <v>1060</v>
      </c>
      <c r="I96">
        <v>44000</v>
      </c>
      <c r="J96">
        <v>12</v>
      </c>
      <c r="K96">
        <v>528000</v>
      </c>
      <c r="L96">
        <v>3</v>
      </c>
      <c r="M96">
        <v>5</v>
      </c>
      <c r="N96">
        <v>13200</v>
      </c>
      <c r="O96">
        <v>95</v>
      </c>
      <c r="P96">
        <v>5</v>
      </c>
      <c r="Q96">
        <v>2</v>
      </c>
      <c r="R96" t="s">
        <v>21</v>
      </c>
      <c r="S96" t="s">
        <v>19</v>
      </c>
      <c r="T96">
        <v>5</v>
      </c>
      <c r="U96">
        <v>1500</v>
      </c>
      <c r="V96" t="s">
        <v>58</v>
      </c>
      <c r="W96" t="s">
        <v>1077</v>
      </c>
      <c r="X96" t="s">
        <v>20</v>
      </c>
      <c r="Y96">
        <v>14</v>
      </c>
    </row>
    <row r="97" spans="1:25">
      <c r="A97" t="s">
        <v>239</v>
      </c>
      <c r="B97" t="s">
        <v>240</v>
      </c>
      <c r="C97">
        <v>26</v>
      </c>
      <c r="D97" t="s">
        <v>1077</v>
      </c>
      <c r="E97" t="s">
        <v>50</v>
      </c>
      <c r="F97" t="s">
        <v>27</v>
      </c>
      <c r="G97" t="s">
        <v>51</v>
      </c>
      <c r="H97" t="s">
        <v>1060</v>
      </c>
      <c r="I97">
        <v>33000</v>
      </c>
      <c r="J97">
        <v>12</v>
      </c>
      <c r="K97">
        <v>396000</v>
      </c>
      <c r="L97">
        <v>2</v>
      </c>
      <c r="M97">
        <v>4</v>
      </c>
      <c r="N97">
        <v>9900</v>
      </c>
      <c r="O97">
        <v>80</v>
      </c>
      <c r="P97">
        <v>5</v>
      </c>
      <c r="Q97">
        <v>1</v>
      </c>
      <c r="R97" t="s">
        <v>37</v>
      </c>
      <c r="S97" t="s">
        <v>38</v>
      </c>
      <c r="U97">
        <v>0</v>
      </c>
      <c r="V97" t="s">
        <v>58</v>
      </c>
      <c r="W97" t="s">
        <v>1077</v>
      </c>
      <c r="X97" t="s">
        <v>20</v>
      </c>
      <c r="Y97">
        <v>12</v>
      </c>
    </row>
    <row r="98" spans="1:25">
      <c r="A98" t="s">
        <v>241</v>
      </c>
      <c r="B98" t="s">
        <v>242</v>
      </c>
      <c r="C98">
        <v>27</v>
      </c>
      <c r="D98" t="s">
        <v>1077</v>
      </c>
      <c r="E98" t="s">
        <v>26</v>
      </c>
      <c r="F98" t="s">
        <v>18</v>
      </c>
      <c r="G98" t="s">
        <v>51</v>
      </c>
      <c r="H98" t="s">
        <v>1059</v>
      </c>
      <c r="I98">
        <v>48000</v>
      </c>
      <c r="J98">
        <v>12</v>
      </c>
      <c r="K98">
        <v>576000</v>
      </c>
      <c r="L98">
        <v>4</v>
      </c>
      <c r="M98">
        <v>5</v>
      </c>
      <c r="N98">
        <v>14400</v>
      </c>
      <c r="O98">
        <v>95</v>
      </c>
      <c r="P98">
        <v>10</v>
      </c>
      <c r="Q98">
        <v>1</v>
      </c>
      <c r="R98" t="s">
        <v>37</v>
      </c>
      <c r="S98" t="s">
        <v>28</v>
      </c>
      <c r="T98">
        <v>10</v>
      </c>
      <c r="U98">
        <v>3000</v>
      </c>
      <c r="V98" t="s">
        <v>58</v>
      </c>
      <c r="W98" t="s">
        <v>1077</v>
      </c>
      <c r="X98" t="s">
        <v>20</v>
      </c>
      <c r="Y98">
        <v>10</v>
      </c>
    </row>
    <row r="99" spans="1:25">
      <c r="A99" t="s">
        <v>243</v>
      </c>
      <c r="B99" t="s">
        <v>244</v>
      </c>
      <c r="C99">
        <v>26</v>
      </c>
      <c r="D99" t="s">
        <v>46</v>
      </c>
      <c r="E99" t="s">
        <v>73</v>
      </c>
      <c r="F99" t="s">
        <v>18</v>
      </c>
      <c r="G99" t="s">
        <v>51</v>
      </c>
      <c r="H99" t="s">
        <v>1060</v>
      </c>
      <c r="I99">
        <v>37000</v>
      </c>
      <c r="J99">
        <v>12</v>
      </c>
      <c r="K99">
        <v>444000</v>
      </c>
      <c r="L99">
        <v>2</v>
      </c>
      <c r="M99">
        <v>2</v>
      </c>
      <c r="N99" t="s">
        <v>1077</v>
      </c>
      <c r="O99">
        <v>80</v>
      </c>
      <c r="P99">
        <v>5</v>
      </c>
      <c r="Q99">
        <v>1</v>
      </c>
      <c r="R99" t="s">
        <v>21</v>
      </c>
      <c r="S99" t="s">
        <v>38</v>
      </c>
      <c r="T99">
        <v>5</v>
      </c>
      <c r="U99">
        <v>1500</v>
      </c>
      <c r="V99" t="s">
        <v>39</v>
      </c>
      <c r="W99" t="s">
        <v>1077</v>
      </c>
      <c r="X99" t="s">
        <v>20</v>
      </c>
      <c r="Y99">
        <v>10</v>
      </c>
    </row>
    <row r="100" spans="1:25">
      <c r="A100" t="s">
        <v>245</v>
      </c>
      <c r="B100" t="s">
        <v>246</v>
      </c>
      <c r="C100">
        <v>27</v>
      </c>
      <c r="D100" t="s">
        <v>1077</v>
      </c>
      <c r="E100" t="s">
        <v>17</v>
      </c>
      <c r="F100" t="s">
        <v>42</v>
      </c>
      <c r="G100" t="s">
        <v>51</v>
      </c>
      <c r="H100" t="s">
        <v>1060</v>
      </c>
      <c r="I100">
        <v>37000</v>
      </c>
      <c r="J100">
        <v>12</v>
      </c>
      <c r="K100">
        <v>444000</v>
      </c>
      <c r="L100">
        <v>2</v>
      </c>
      <c r="M100">
        <v>1</v>
      </c>
      <c r="N100" t="s">
        <v>1077</v>
      </c>
      <c r="O100">
        <v>90</v>
      </c>
      <c r="P100">
        <v>15</v>
      </c>
      <c r="Q100">
        <v>5</v>
      </c>
      <c r="R100" t="s">
        <v>37</v>
      </c>
      <c r="S100" t="s">
        <v>38</v>
      </c>
      <c r="T100">
        <v>5</v>
      </c>
      <c r="U100">
        <v>1500</v>
      </c>
      <c r="V100" t="s">
        <v>39</v>
      </c>
      <c r="W100" t="s">
        <v>1077</v>
      </c>
      <c r="X100" t="s">
        <v>20</v>
      </c>
      <c r="Y100">
        <v>14</v>
      </c>
    </row>
    <row r="101" spans="1:25">
      <c r="A101" t="s">
        <v>247</v>
      </c>
      <c r="B101" t="s">
        <v>248</v>
      </c>
      <c r="C101">
        <v>25</v>
      </c>
      <c r="D101" t="s">
        <v>46</v>
      </c>
      <c r="E101" t="s">
        <v>26</v>
      </c>
      <c r="F101" t="s">
        <v>31</v>
      </c>
      <c r="G101" t="s">
        <v>51</v>
      </c>
      <c r="H101" t="s">
        <v>1060</v>
      </c>
      <c r="I101">
        <v>37000</v>
      </c>
      <c r="J101">
        <v>12</v>
      </c>
      <c r="K101">
        <v>444000</v>
      </c>
      <c r="L101">
        <v>2</v>
      </c>
      <c r="M101">
        <v>2</v>
      </c>
      <c r="N101" t="s">
        <v>1077</v>
      </c>
      <c r="O101">
        <v>85</v>
      </c>
      <c r="P101">
        <v>15</v>
      </c>
      <c r="Q101">
        <v>3</v>
      </c>
      <c r="S101" t="s">
        <v>38</v>
      </c>
      <c r="U101">
        <v>0</v>
      </c>
      <c r="V101" t="s">
        <v>39</v>
      </c>
      <c r="W101" t="s">
        <v>1077</v>
      </c>
      <c r="X101" t="s">
        <v>33</v>
      </c>
      <c r="Y101">
        <v>13</v>
      </c>
    </row>
    <row r="102" spans="1:25">
      <c r="A102" t="s">
        <v>249</v>
      </c>
      <c r="B102" t="s">
        <v>250</v>
      </c>
      <c r="C102">
        <v>26</v>
      </c>
      <c r="D102" t="s">
        <v>1077</v>
      </c>
      <c r="E102" t="s">
        <v>26</v>
      </c>
      <c r="F102" t="s">
        <v>36</v>
      </c>
      <c r="G102" t="s">
        <v>51</v>
      </c>
      <c r="H102" t="s">
        <v>1060</v>
      </c>
      <c r="I102">
        <v>47000</v>
      </c>
      <c r="J102">
        <v>12</v>
      </c>
      <c r="K102">
        <v>564000</v>
      </c>
      <c r="L102">
        <v>3</v>
      </c>
      <c r="M102">
        <v>2</v>
      </c>
      <c r="N102" t="s">
        <v>1077</v>
      </c>
      <c r="O102">
        <v>95</v>
      </c>
      <c r="P102">
        <v>10</v>
      </c>
      <c r="Q102">
        <v>3</v>
      </c>
      <c r="S102" t="s">
        <v>38</v>
      </c>
      <c r="T102">
        <v>20</v>
      </c>
      <c r="U102">
        <v>6000</v>
      </c>
      <c r="V102" t="s">
        <v>39</v>
      </c>
      <c r="W102" t="s">
        <v>1077</v>
      </c>
      <c r="X102" t="s">
        <v>20</v>
      </c>
      <c r="Y102">
        <v>25</v>
      </c>
    </row>
    <row r="103" spans="1:25">
      <c r="A103" t="s">
        <v>251</v>
      </c>
      <c r="B103" t="s">
        <v>252</v>
      </c>
      <c r="C103">
        <v>26</v>
      </c>
      <c r="D103" t="s">
        <v>46</v>
      </c>
      <c r="F103" t="s">
        <v>31</v>
      </c>
      <c r="G103" t="s">
        <v>51</v>
      </c>
      <c r="H103" t="s">
        <v>1060</v>
      </c>
      <c r="I103">
        <v>35000</v>
      </c>
      <c r="J103">
        <v>12</v>
      </c>
      <c r="K103">
        <v>420000</v>
      </c>
      <c r="L103">
        <v>2</v>
      </c>
      <c r="M103">
        <v>4</v>
      </c>
      <c r="N103">
        <v>10500</v>
      </c>
      <c r="O103">
        <v>80</v>
      </c>
      <c r="P103">
        <v>7</v>
      </c>
      <c r="Q103">
        <v>5</v>
      </c>
      <c r="R103" t="s">
        <v>21</v>
      </c>
      <c r="S103" t="s">
        <v>19</v>
      </c>
      <c r="T103">
        <v>10</v>
      </c>
      <c r="U103">
        <v>3000</v>
      </c>
      <c r="V103" t="s">
        <v>22</v>
      </c>
      <c r="W103" t="s">
        <v>1077</v>
      </c>
      <c r="X103" t="s">
        <v>33</v>
      </c>
      <c r="Y103">
        <v>13</v>
      </c>
    </row>
    <row r="104" spans="1:25">
      <c r="A104" t="s">
        <v>253</v>
      </c>
      <c r="B104" t="s">
        <v>254</v>
      </c>
      <c r="C104">
        <v>27</v>
      </c>
      <c r="D104" t="s">
        <v>46</v>
      </c>
      <c r="E104" t="s">
        <v>73</v>
      </c>
      <c r="F104" t="s">
        <v>42</v>
      </c>
      <c r="G104" t="s">
        <v>51</v>
      </c>
      <c r="H104" t="s">
        <v>1060</v>
      </c>
      <c r="J104">
        <v>12</v>
      </c>
      <c r="K104" t="s">
        <v>1077</v>
      </c>
      <c r="L104">
        <v>4</v>
      </c>
      <c r="M104">
        <v>2</v>
      </c>
      <c r="N104" t="s">
        <v>1077</v>
      </c>
      <c r="O104">
        <v>85</v>
      </c>
      <c r="P104">
        <v>10</v>
      </c>
      <c r="Q104">
        <v>1</v>
      </c>
      <c r="R104" t="s">
        <v>37</v>
      </c>
      <c r="S104" t="s">
        <v>19</v>
      </c>
      <c r="T104">
        <v>20</v>
      </c>
      <c r="U104">
        <v>6000</v>
      </c>
      <c r="V104" t="s">
        <v>39</v>
      </c>
      <c r="W104" t="s">
        <v>1078</v>
      </c>
      <c r="X104" t="s">
        <v>20</v>
      </c>
      <c r="Y104">
        <v>14</v>
      </c>
    </row>
    <row r="105" spans="1:25">
      <c r="A105" t="s">
        <v>255</v>
      </c>
      <c r="B105" t="s">
        <v>256</v>
      </c>
      <c r="C105">
        <v>27</v>
      </c>
      <c r="D105" t="s">
        <v>1077</v>
      </c>
      <c r="E105" t="s">
        <v>26</v>
      </c>
      <c r="F105" t="s">
        <v>31</v>
      </c>
      <c r="G105" t="s">
        <v>1045</v>
      </c>
      <c r="H105" t="s">
        <v>1059</v>
      </c>
      <c r="I105">
        <v>81000</v>
      </c>
      <c r="J105">
        <v>12</v>
      </c>
      <c r="K105">
        <v>972000</v>
      </c>
      <c r="L105">
        <v>6</v>
      </c>
      <c r="M105">
        <v>1</v>
      </c>
      <c r="N105" t="s">
        <v>1077</v>
      </c>
      <c r="O105">
        <v>80</v>
      </c>
      <c r="P105">
        <v>15</v>
      </c>
      <c r="Q105">
        <v>11</v>
      </c>
      <c r="R105" t="s">
        <v>37</v>
      </c>
      <c r="S105" t="s">
        <v>28</v>
      </c>
      <c r="T105">
        <v>10</v>
      </c>
      <c r="U105">
        <v>3000</v>
      </c>
      <c r="V105" t="s">
        <v>39</v>
      </c>
      <c r="W105" t="s">
        <v>1077</v>
      </c>
      <c r="X105" t="s">
        <v>33</v>
      </c>
      <c r="Y105">
        <v>13</v>
      </c>
    </row>
    <row r="106" spans="1:25">
      <c r="A106" t="s">
        <v>257</v>
      </c>
      <c r="B106" t="s">
        <v>258</v>
      </c>
      <c r="C106">
        <v>29</v>
      </c>
      <c r="D106" t="s">
        <v>1077</v>
      </c>
      <c r="E106" t="s">
        <v>50</v>
      </c>
      <c r="F106" t="s">
        <v>42</v>
      </c>
      <c r="G106" t="s">
        <v>1045</v>
      </c>
      <c r="H106" t="s">
        <v>1060</v>
      </c>
      <c r="I106">
        <v>78000</v>
      </c>
      <c r="J106">
        <v>12</v>
      </c>
      <c r="K106">
        <v>936000</v>
      </c>
      <c r="L106">
        <v>5</v>
      </c>
      <c r="M106">
        <v>5</v>
      </c>
      <c r="N106">
        <v>23400</v>
      </c>
      <c r="O106">
        <v>85</v>
      </c>
      <c r="P106">
        <v>10</v>
      </c>
      <c r="Q106">
        <v>1</v>
      </c>
      <c r="S106" t="s">
        <v>19</v>
      </c>
      <c r="T106">
        <v>20</v>
      </c>
      <c r="U106">
        <v>6000</v>
      </c>
      <c r="V106" t="s">
        <v>58</v>
      </c>
      <c r="W106" t="s">
        <v>1077</v>
      </c>
      <c r="X106" t="s">
        <v>20</v>
      </c>
      <c r="Y106">
        <v>14</v>
      </c>
    </row>
    <row r="107" spans="1:25">
      <c r="A107" t="s">
        <v>259</v>
      </c>
      <c r="B107" t="s">
        <v>260</v>
      </c>
      <c r="C107">
        <v>34</v>
      </c>
      <c r="D107" t="s">
        <v>25</v>
      </c>
      <c r="E107" t="s">
        <v>17</v>
      </c>
      <c r="F107" t="s">
        <v>27</v>
      </c>
      <c r="G107" t="s">
        <v>32</v>
      </c>
      <c r="H107" t="s">
        <v>1060</v>
      </c>
      <c r="I107">
        <v>90000</v>
      </c>
      <c r="J107">
        <v>12</v>
      </c>
      <c r="K107">
        <v>1080000</v>
      </c>
      <c r="L107">
        <v>9</v>
      </c>
      <c r="M107">
        <v>1</v>
      </c>
      <c r="N107" t="s">
        <v>1077</v>
      </c>
      <c r="O107">
        <v>85</v>
      </c>
      <c r="P107">
        <v>10</v>
      </c>
      <c r="Q107">
        <v>3</v>
      </c>
      <c r="S107" t="s">
        <v>38</v>
      </c>
      <c r="U107">
        <v>0</v>
      </c>
      <c r="V107" t="s">
        <v>39</v>
      </c>
      <c r="W107" t="s">
        <v>1077</v>
      </c>
      <c r="X107" t="s">
        <v>20</v>
      </c>
      <c r="Y107">
        <v>12</v>
      </c>
    </row>
    <row r="108" spans="1:25">
      <c r="A108" t="s">
        <v>261</v>
      </c>
      <c r="B108" t="s">
        <v>262</v>
      </c>
      <c r="C108">
        <v>43</v>
      </c>
      <c r="D108" t="s">
        <v>1077</v>
      </c>
      <c r="E108" t="s">
        <v>65</v>
      </c>
      <c r="F108" t="s">
        <v>66</v>
      </c>
      <c r="G108" t="s">
        <v>1049</v>
      </c>
      <c r="H108" t="s">
        <v>1060</v>
      </c>
      <c r="I108">
        <v>120000</v>
      </c>
      <c r="J108">
        <v>12</v>
      </c>
      <c r="K108">
        <v>1440000</v>
      </c>
      <c r="L108">
        <v>13</v>
      </c>
      <c r="M108">
        <v>3</v>
      </c>
      <c r="N108">
        <v>36000</v>
      </c>
      <c r="O108">
        <v>95</v>
      </c>
      <c r="P108">
        <v>5</v>
      </c>
      <c r="Q108">
        <v>1</v>
      </c>
      <c r="S108" t="s">
        <v>38</v>
      </c>
      <c r="U108" t="s">
        <v>1077</v>
      </c>
      <c r="V108" t="s">
        <v>22</v>
      </c>
      <c r="W108" t="s">
        <v>1077</v>
      </c>
      <c r="X108" t="s">
        <v>33</v>
      </c>
      <c r="Y108">
        <v>20</v>
      </c>
    </row>
    <row r="109" spans="1:25">
      <c r="A109" t="s">
        <v>263</v>
      </c>
      <c r="B109" t="s">
        <v>264</v>
      </c>
      <c r="C109">
        <v>38</v>
      </c>
      <c r="D109" t="s">
        <v>46</v>
      </c>
      <c r="E109" t="s">
        <v>47</v>
      </c>
      <c r="F109" t="s">
        <v>27</v>
      </c>
      <c r="G109" t="s">
        <v>32</v>
      </c>
      <c r="H109" t="s">
        <v>1060</v>
      </c>
      <c r="I109">
        <v>93500</v>
      </c>
      <c r="J109">
        <v>12</v>
      </c>
      <c r="K109">
        <v>1122000</v>
      </c>
      <c r="L109">
        <v>12</v>
      </c>
      <c r="M109">
        <v>2</v>
      </c>
      <c r="N109" t="s">
        <v>1077</v>
      </c>
      <c r="O109">
        <v>90</v>
      </c>
      <c r="P109">
        <v>10</v>
      </c>
      <c r="Q109">
        <v>5</v>
      </c>
      <c r="R109" t="s">
        <v>37</v>
      </c>
      <c r="S109" t="s">
        <v>19</v>
      </c>
      <c r="T109">
        <v>5</v>
      </c>
      <c r="U109">
        <v>1750</v>
      </c>
      <c r="V109" t="s">
        <v>39</v>
      </c>
      <c r="W109" t="s">
        <v>1077</v>
      </c>
      <c r="X109" t="s">
        <v>20</v>
      </c>
      <c r="Y109">
        <v>12</v>
      </c>
    </row>
    <row r="110" spans="1:25">
      <c r="A110" t="s">
        <v>265</v>
      </c>
      <c r="B110" t="s">
        <v>266</v>
      </c>
      <c r="C110">
        <v>24</v>
      </c>
      <c r="D110" t="s">
        <v>46</v>
      </c>
      <c r="E110" t="s">
        <v>17</v>
      </c>
      <c r="F110" t="s">
        <v>42</v>
      </c>
      <c r="G110" t="s">
        <v>1045</v>
      </c>
      <c r="H110" t="s">
        <v>1059</v>
      </c>
      <c r="I110">
        <v>78000</v>
      </c>
      <c r="J110">
        <v>12</v>
      </c>
      <c r="K110">
        <v>936000</v>
      </c>
      <c r="L110">
        <v>5</v>
      </c>
      <c r="M110">
        <v>4</v>
      </c>
      <c r="N110">
        <v>23400</v>
      </c>
      <c r="O110">
        <v>85</v>
      </c>
      <c r="P110">
        <v>7</v>
      </c>
      <c r="Q110">
        <v>4</v>
      </c>
      <c r="R110" t="s">
        <v>21</v>
      </c>
      <c r="S110" t="s">
        <v>28</v>
      </c>
      <c r="T110">
        <v>5</v>
      </c>
      <c r="U110">
        <v>1500</v>
      </c>
      <c r="V110" t="s">
        <v>22</v>
      </c>
      <c r="W110" t="s">
        <v>1077</v>
      </c>
      <c r="X110" t="s">
        <v>20</v>
      </c>
      <c r="Y110">
        <v>14</v>
      </c>
    </row>
    <row r="111" spans="1:25">
      <c r="A111" t="s">
        <v>267</v>
      </c>
      <c r="B111" t="s">
        <v>268</v>
      </c>
      <c r="C111">
        <v>26</v>
      </c>
      <c r="D111" t="s">
        <v>1077</v>
      </c>
      <c r="E111" t="s">
        <v>26</v>
      </c>
      <c r="F111" t="s">
        <v>27</v>
      </c>
      <c r="G111" t="s">
        <v>51</v>
      </c>
      <c r="H111" t="s">
        <v>1060</v>
      </c>
      <c r="I111">
        <v>48000</v>
      </c>
      <c r="J111">
        <v>12</v>
      </c>
      <c r="K111">
        <v>576000</v>
      </c>
      <c r="L111">
        <v>4</v>
      </c>
      <c r="M111">
        <v>2</v>
      </c>
      <c r="N111" t="s">
        <v>1077</v>
      </c>
      <c r="O111">
        <v>95</v>
      </c>
      <c r="P111">
        <v>7</v>
      </c>
      <c r="Q111">
        <v>3</v>
      </c>
      <c r="S111" t="s">
        <v>19</v>
      </c>
      <c r="T111">
        <v>5</v>
      </c>
      <c r="U111">
        <v>1500</v>
      </c>
      <c r="V111" t="s">
        <v>39</v>
      </c>
      <c r="W111" t="s">
        <v>1077</v>
      </c>
      <c r="X111" t="s">
        <v>20</v>
      </c>
      <c r="Y111">
        <v>12</v>
      </c>
    </row>
    <row r="112" spans="1:25">
      <c r="A112" t="s">
        <v>269</v>
      </c>
      <c r="B112" t="s">
        <v>270</v>
      </c>
      <c r="C112">
        <v>27</v>
      </c>
      <c r="D112" t="s">
        <v>46</v>
      </c>
      <c r="E112" t="s">
        <v>50</v>
      </c>
      <c r="F112" t="s">
        <v>42</v>
      </c>
      <c r="G112" t="s">
        <v>1045</v>
      </c>
      <c r="H112" t="s">
        <v>1060</v>
      </c>
      <c r="I112">
        <v>78000</v>
      </c>
      <c r="J112">
        <v>12</v>
      </c>
      <c r="K112">
        <v>936000</v>
      </c>
      <c r="L112">
        <v>7</v>
      </c>
      <c r="M112">
        <v>4</v>
      </c>
      <c r="N112">
        <v>23400</v>
      </c>
      <c r="O112">
        <v>90</v>
      </c>
      <c r="P112">
        <v>5</v>
      </c>
      <c r="Q112">
        <v>1</v>
      </c>
      <c r="R112" t="s">
        <v>37</v>
      </c>
      <c r="S112" t="s">
        <v>19</v>
      </c>
      <c r="T112">
        <v>20</v>
      </c>
      <c r="U112">
        <v>6000</v>
      </c>
      <c r="V112" t="s">
        <v>58</v>
      </c>
      <c r="W112" t="s">
        <v>1077</v>
      </c>
      <c r="X112" t="s">
        <v>20</v>
      </c>
      <c r="Y112">
        <v>14</v>
      </c>
    </row>
    <row r="113" spans="1:25">
      <c r="A113" t="s">
        <v>271</v>
      </c>
      <c r="B113" t="s">
        <v>272</v>
      </c>
      <c r="C113">
        <v>25</v>
      </c>
      <c r="D113" t="s">
        <v>46</v>
      </c>
      <c r="E113" t="s">
        <v>61</v>
      </c>
      <c r="F113" t="s">
        <v>31</v>
      </c>
      <c r="G113" t="s">
        <v>51</v>
      </c>
      <c r="H113" t="s">
        <v>1060</v>
      </c>
      <c r="I113">
        <v>37000</v>
      </c>
      <c r="J113">
        <v>12</v>
      </c>
      <c r="K113">
        <v>444000</v>
      </c>
      <c r="L113">
        <v>2</v>
      </c>
      <c r="M113">
        <v>2</v>
      </c>
      <c r="N113" t="s">
        <v>1077</v>
      </c>
      <c r="O113">
        <v>80</v>
      </c>
      <c r="P113">
        <v>15</v>
      </c>
      <c r="Q113">
        <v>5</v>
      </c>
      <c r="S113" t="s">
        <v>19</v>
      </c>
      <c r="U113">
        <v>0</v>
      </c>
      <c r="V113" t="s">
        <v>39</v>
      </c>
      <c r="W113" t="s">
        <v>1077</v>
      </c>
      <c r="X113" t="s">
        <v>33</v>
      </c>
      <c r="Y113">
        <v>13</v>
      </c>
    </row>
    <row r="114" spans="1:25">
      <c r="A114" t="s">
        <v>273</v>
      </c>
      <c r="B114" t="s">
        <v>274</v>
      </c>
      <c r="C114">
        <v>27</v>
      </c>
      <c r="D114" t="s">
        <v>46</v>
      </c>
      <c r="E114" t="s">
        <v>47</v>
      </c>
      <c r="F114" t="s">
        <v>18</v>
      </c>
      <c r="G114" t="s">
        <v>51</v>
      </c>
      <c r="H114" t="s">
        <v>1060</v>
      </c>
      <c r="I114">
        <v>47000</v>
      </c>
      <c r="J114">
        <v>12</v>
      </c>
      <c r="K114">
        <v>564000</v>
      </c>
      <c r="L114">
        <v>3</v>
      </c>
      <c r="M114">
        <v>5</v>
      </c>
      <c r="N114">
        <v>14100</v>
      </c>
      <c r="O114">
        <v>85</v>
      </c>
      <c r="P114">
        <v>5</v>
      </c>
      <c r="Q114">
        <v>10</v>
      </c>
      <c r="R114" t="s">
        <v>37</v>
      </c>
      <c r="S114" t="s">
        <v>38</v>
      </c>
      <c r="U114">
        <v>0</v>
      </c>
      <c r="V114" t="s">
        <v>58</v>
      </c>
      <c r="W114" t="s">
        <v>1077</v>
      </c>
      <c r="X114" t="s">
        <v>20</v>
      </c>
      <c r="Y114">
        <v>10</v>
      </c>
    </row>
    <row r="115" spans="1:25">
      <c r="A115" t="s">
        <v>275</v>
      </c>
      <c r="B115" t="s">
        <v>276</v>
      </c>
      <c r="C115">
        <v>27</v>
      </c>
      <c r="D115" t="s">
        <v>25</v>
      </c>
      <c r="E115" t="s">
        <v>57</v>
      </c>
      <c r="F115" t="s">
        <v>42</v>
      </c>
      <c r="G115" t="s">
        <v>51</v>
      </c>
      <c r="H115" t="s">
        <v>1060</v>
      </c>
      <c r="I115">
        <v>47000</v>
      </c>
      <c r="J115">
        <v>12</v>
      </c>
      <c r="K115">
        <v>564000</v>
      </c>
      <c r="L115">
        <v>3</v>
      </c>
      <c r="M115">
        <v>2</v>
      </c>
      <c r="N115" t="s">
        <v>1077</v>
      </c>
      <c r="O115">
        <v>80</v>
      </c>
      <c r="P115">
        <v>5</v>
      </c>
      <c r="Q115">
        <v>3</v>
      </c>
      <c r="R115" t="s">
        <v>37</v>
      </c>
      <c r="S115" t="s">
        <v>38</v>
      </c>
      <c r="T115">
        <v>10</v>
      </c>
      <c r="U115">
        <v>3000</v>
      </c>
      <c r="V115" t="s">
        <v>39</v>
      </c>
      <c r="W115" t="s">
        <v>1077</v>
      </c>
      <c r="X115" t="s">
        <v>20</v>
      </c>
      <c r="Y115">
        <v>14</v>
      </c>
    </row>
    <row r="116" spans="1:25">
      <c r="A116" t="s">
        <v>277</v>
      </c>
      <c r="B116" t="s">
        <v>278</v>
      </c>
      <c r="C116">
        <v>25</v>
      </c>
      <c r="D116" t="s">
        <v>25</v>
      </c>
      <c r="E116" t="s">
        <v>50</v>
      </c>
      <c r="F116" t="s">
        <v>42</v>
      </c>
      <c r="G116" t="s">
        <v>51</v>
      </c>
      <c r="H116" t="s">
        <v>1060</v>
      </c>
      <c r="I116">
        <v>35500</v>
      </c>
      <c r="J116">
        <v>12</v>
      </c>
      <c r="K116">
        <v>426000</v>
      </c>
      <c r="L116">
        <v>2</v>
      </c>
      <c r="M116">
        <v>1</v>
      </c>
      <c r="N116" t="s">
        <v>1077</v>
      </c>
      <c r="O116">
        <v>90</v>
      </c>
      <c r="P116">
        <v>5</v>
      </c>
      <c r="Q116">
        <v>5</v>
      </c>
      <c r="R116" t="s">
        <v>37</v>
      </c>
      <c r="S116" t="s">
        <v>38</v>
      </c>
      <c r="U116">
        <v>0</v>
      </c>
      <c r="V116" t="s">
        <v>39</v>
      </c>
      <c r="W116" t="s">
        <v>1077</v>
      </c>
      <c r="X116" t="s">
        <v>20</v>
      </c>
      <c r="Y116">
        <v>14</v>
      </c>
    </row>
    <row r="117" spans="1:25">
      <c r="A117" t="s">
        <v>279</v>
      </c>
      <c r="B117" t="s">
        <v>280</v>
      </c>
      <c r="C117">
        <v>26</v>
      </c>
      <c r="D117" t="s">
        <v>1077</v>
      </c>
      <c r="F117" t="s">
        <v>36</v>
      </c>
      <c r="G117" t="s">
        <v>51</v>
      </c>
      <c r="H117" t="s">
        <v>1060</v>
      </c>
      <c r="I117">
        <v>48000</v>
      </c>
      <c r="J117">
        <v>12</v>
      </c>
      <c r="K117">
        <v>576000</v>
      </c>
      <c r="L117">
        <v>4</v>
      </c>
      <c r="M117">
        <v>1</v>
      </c>
      <c r="N117" t="s">
        <v>1077</v>
      </c>
      <c r="O117">
        <v>85</v>
      </c>
      <c r="P117">
        <v>5</v>
      </c>
      <c r="Q117">
        <v>5</v>
      </c>
      <c r="R117" t="s">
        <v>37</v>
      </c>
      <c r="S117" t="s">
        <v>38</v>
      </c>
      <c r="T117">
        <v>20</v>
      </c>
      <c r="U117">
        <v>6000</v>
      </c>
      <c r="V117" t="s">
        <v>39</v>
      </c>
      <c r="W117" t="s">
        <v>1077</v>
      </c>
      <c r="X117" t="s">
        <v>20</v>
      </c>
      <c r="Y117">
        <v>25</v>
      </c>
    </row>
    <row r="118" spans="1:25">
      <c r="A118" t="s">
        <v>281</v>
      </c>
      <c r="B118" t="s">
        <v>282</v>
      </c>
      <c r="C118">
        <v>25</v>
      </c>
      <c r="D118" t="s">
        <v>46</v>
      </c>
      <c r="E118" t="s">
        <v>35</v>
      </c>
      <c r="F118" t="s">
        <v>66</v>
      </c>
      <c r="G118" t="s">
        <v>51</v>
      </c>
      <c r="H118" t="s">
        <v>1060</v>
      </c>
      <c r="I118">
        <v>43000</v>
      </c>
      <c r="J118">
        <v>12</v>
      </c>
      <c r="K118">
        <v>516000</v>
      </c>
      <c r="L118">
        <v>3</v>
      </c>
      <c r="M118">
        <v>2</v>
      </c>
      <c r="N118" t="s">
        <v>1077</v>
      </c>
      <c r="O118">
        <v>80</v>
      </c>
      <c r="P118">
        <v>23</v>
      </c>
      <c r="Q118">
        <v>9</v>
      </c>
      <c r="S118" t="s">
        <v>38</v>
      </c>
      <c r="U118">
        <v>0</v>
      </c>
      <c r="V118" t="s">
        <v>39</v>
      </c>
      <c r="W118" t="s">
        <v>1077</v>
      </c>
      <c r="X118" t="s">
        <v>33</v>
      </c>
      <c r="Y118">
        <v>20</v>
      </c>
    </row>
    <row r="119" spans="1:25">
      <c r="A119" t="s">
        <v>283</v>
      </c>
      <c r="B119" t="s">
        <v>284</v>
      </c>
      <c r="C119">
        <v>26</v>
      </c>
      <c r="D119" t="s">
        <v>25</v>
      </c>
      <c r="E119" t="s">
        <v>26</v>
      </c>
      <c r="F119" t="s">
        <v>66</v>
      </c>
      <c r="G119" t="s">
        <v>51</v>
      </c>
      <c r="H119" t="s">
        <v>1060</v>
      </c>
      <c r="I119">
        <v>48000</v>
      </c>
      <c r="J119">
        <v>12</v>
      </c>
      <c r="K119">
        <v>576000</v>
      </c>
      <c r="L119">
        <v>4</v>
      </c>
      <c r="M119">
        <v>2</v>
      </c>
      <c r="N119" t="s">
        <v>1077</v>
      </c>
      <c r="O119">
        <v>80</v>
      </c>
      <c r="P119">
        <v>10</v>
      </c>
      <c r="Q119">
        <v>3</v>
      </c>
      <c r="R119" t="s">
        <v>21</v>
      </c>
      <c r="S119" t="s">
        <v>19</v>
      </c>
      <c r="T119">
        <v>20</v>
      </c>
      <c r="U119">
        <v>6000</v>
      </c>
      <c r="V119" t="s">
        <v>39</v>
      </c>
      <c r="W119" t="s">
        <v>1077</v>
      </c>
      <c r="X119" t="s">
        <v>33</v>
      </c>
      <c r="Y119">
        <v>20</v>
      </c>
    </row>
    <row r="120" spans="1:25">
      <c r="A120" t="s">
        <v>285</v>
      </c>
      <c r="B120" t="s">
        <v>286</v>
      </c>
      <c r="C120">
        <v>27</v>
      </c>
      <c r="D120" t="s">
        <v>25</v>
      </c>
      <c r="E120" t="s">
        <v>73</v>
      </c>
      <c r="F120" t="s">
        <v>31</v>
      </c>
      <c r="G120" t="s">
        <v>51</v>
      </c>
      <c r="H120" t="s">
        <v>1060</v>
      </c>
      <c r="I120">
        <v>43000</v>
      </c>
      <c r="J120">
        <v>12</v>
      </c>
      <c r="K120">
        <v>516000</v>
      </c>
      <c r="L120">
        <v>3</v>
      </c>
      <c r="M120">
        <v>5</v>
      </c>
      <c r="N120">
        <v>12900</v>
      </c>
      <c r="O120">
        <v>90</v>
      </c>
      <c r="P120">
        <v>15</v>
      </c>
      <c r="Q120">
        <v>3</v>
      </c>
      <c r="R120" t="s">
        <v>37</v>
      </c>
      <c r="S120" t="s">
        <v>19</v>
      </c>
      <c r="T120">
        <v>10</v>
      </c>
      <c r="U120">
        <v>3000</v>
      </c>
      <c r="V120" t="s">
        <v>58</v>
      </c>
      <c r="W120" t="s">
        <v>1077</v>
      </c>
      <c r="X120" t="s">
        <v>33</v>
      </c>
      <c r="Y120">
        <v>13</v>
      </c>
    </row>
    <row r="121" spans="1:25">
      <c r="A121" t="s">
        <v>287</v>
      </c>
      <c r="B121" t="s">
        <v>288</v>
      </c>
      <c r="C121">
        <v>26</v>
      </c>
      <c r="D121" t="s">
        <v>25</v>
      </c>
      <c r="E121" t="s">
        <v>26</v>
      </c>
      <c r="F121" t="s">
        <v>31</v>
      </c>
      <c r="G121" t="s">
        <v>51</v>
      </c>
      <c r="H121" t="s">
        <v>1060</v>
      </c>
      <c r="I121">
        <v>37000</v>
      </c>
      <c r="J121">
        <v>12</v>
      </c>
      <c r="K121">
        <v>444000</v>
      </c>
      <c r="L121">
        <v>2</v>
      </c>
      <c r="M121">
        <v>2</v>
      </c>
      <c r="N121" t="s">
        <v>1077</v>
      </c>
      <c r="O121">
        <v>85</v>
      </c>
      <c r="P121">
        <v>5</v>
      </c>
      <c r="Q121">
        <v>1</v>
      </c>
      <c r="R121" t="s">
        <v>37</v>
      </c>
      <c r="S121" t="s">
        <v>38</v>
      </c>
      <c r="T121">
        <v>20</v>
      </c>
      <c r="U121">
        <v>6000</v>
      </c>
      <c r="V121" t="s">
        <v>39</v>
      </c>
      <c r="W121" t="s">
        <v>1077</v>
      </c>
      <c r="X121" t="s">
        <v>33</v>
      </c>
      <c r="Y121">
        <v>13</v>
      </c>
    </row>
    <row r="122" spans="1:25">
      <c r="A122" t="s">
        <v>289</v>
      </c>
      <c r="B122" t="s">
        <v>290</v>
      </c>
      <c r="C122">
        <v>26</v>
      </c>
      <c r="D122" t="s">
        <v>46</v>
      </c>
      <c r="E122" t="s">
        <v>73</v>
      </c>
      <c r="F122" t="s">
        <v>27</v>
      </c>
      <c r="G122" t="s">
        <v>51</v>
      </c>
      <c r="H122" t="s">
        <v>1060</v>
      </c>
      <c r="I122">
        <v>43000</v>
      </c>
      <c r="J122">
        <v>12</v>
      </c>
      <c r="K122">
        <v>516000</v>
      </c>
      <c r="L122">
        <v>3</v>
      </c>
      <c r="M122">
        <v>4</v>
      </c>
      <c r="N122">
        <v>12900</v>
      </c>
      <c r="O122">
        <v>85</v>
      </c>
      <c r="P122">
        <v>15</v>
      </c>
      <c r="Q122">
        <v>2</v>
      </c>
      <c r="S122" t="s">
        <v>38</v>
      </c>
      <c r="T122">
        <v>10</v>
      </c>
      <c r="U122">
        <v>3000</v>
      </c>
      <c r="V122" t="s">
        <v>22</v>
      </c>
      <c r="W122" t="s">
        <v>1077</v>
      </c>
      <c r="X122" t="s">
        <v>20</v>
      </c>
      <c r="Y122">
        <v>12</v>
      </c>
    </row>
    <row r="123" spans="1:25">
      <c r="A123" t="s">
        <v>291</v>
      </c>
      <c r="B123" t="s">
        <v>292</v>
      </c>
      <c r="C123">
        <v>25</v>
      </c>
      <c r="D123" t="s">
        <v>46</v>
      </c>
      <c r="E123" t="s">
        <v>35</v>
      </c>
      <c r="F123" t="s">
        <v>42</v>
      </c>
      <c r="G123" t="s">
        <v>51</v>
      </c>
      <c r="H123" t="s">
        <v>1060</v>
      </c>
      <c r="I123">
        <v>43000</v>
      </c>
      <c r="J123">
        <v>12</v>
      </c>
      <c r="K123">
        <v>516000</v>
      </c>
      <c r="L123">
        <v>3</v>
      </c>
      <c r="M123">
        <v>1</v>
      </c>
      <c r="N123" t="s">
        <v>1077</v>
      </c>
      <c r="O123">
        <v>85</v>
      </c>
      <c r="P123">
        <v>15</v>
      </c>
      <c r="Q123">
        <v>5</v>
      </c>
      <c r="R123" t="s">
        <v>21</v>
      </c>
      <c r="S123" t="s">
        <v>38</v>
      </c>
      <c r="T123">
        <v>20</v>
      </c>
      <c r="U123">
        <v>6000</v>
      </c>
      <c r="V123" t="s">
        <v>39</v>
      </c>
      <c r="W123" t="s">
        <v>1077</v>
      </c>
      <c r="X123" t="s">
        <v>20</v>
      </c>
      <c r="Y123">
        <v>14</v>
      </c>
    </row>
    <row r="124" spans="1:25">
      <c r="A124" t="s">
        <v>293</v>
      </c>
      <c r="B124" t="s">
        <v>294</v>
      </c>
      <c r="C124">
        <v>25</v>
      </c>
      <c r="D124" t="s">
        <v>46</v>
      </c>
      <c r="E124" t="s">
        <v>17</v>
      </c>
      <c r="F124" t="s">
        <v>31</v>
      </c>
      <c r="G124" t="s">
        <v>51</v>
      </c>
      <c r="H124" t="s">
        <v>1060</v>
      </c>
      <c r="I124">
        <v>48000</v>
      </c>
      <c r="J124">
        <v>12</v>
      </c>
      <c r="K124">
        <v>576000</v>
      </c>
      <c r="L124">
        <v>4</v>
      </c>
      <c r="M124">
        <v>4</v>
      </c>
      <c r="N124">
        <v>14400</v>
      </c>
      <c r="O124">
        <v>85</v>
      </c>
      <c r="P124">
        <v>15</v>
      </c>
      <c r="Q124">
        <v>3</v>
      </c>
      <c r="S124" t="s">
        <v>38</v>
      </c>
      <c r="T124">
        <v>20</v>
      </c>
      <c r="U124">
        <v>6000</v>
      </c>
      <c r="V124" t="s">
        <v>58</v>
      </c>
      <c r="W124" t="s">
        <v>1077</v>
      </c>
      <c r="X124" t="s">
        <v>33</v>
      </c>
      <c r="Y124">
        <v>13</v>
      </c>
    </row>
    <row r="125" spans="1:25">
      <c r="A125" t="s">
        <v>295</v>
      </c>
      <c r="B125" t="s">
        <v>296</v>
      </c>
      <c r="C125">
        <v>25</v>
      </c>
      <c r="D125" t="s">
        <v>1077</v>
      </c>
      <c r="E125" t="s">
        <v>26</v>
      </c>
      <c r="F125" t="s">
        <v>36</v>
      </c>
      <c r="G125" t="s">
        <v>51</v>
      </c>
      <c r="H125" t="s">
        <v>1059</v>
      </c>
      <c r="I125">
        <v>43000</v>
      </c>
      <c r="J125">
        <v>12</v>
      </c>
      <c r="K125">
        <v>516000</v>
      </c>
      <c r="L125">
        <v>3</v>
      </c>
      <c r="M125">
        <v>4</v>
      </c>
      <c r="N125">
        <v>12900</v>
      </c>
      <c r="O125">
        <v>90</v>
      </c>
      <c r="P125">
        <v>10</v>
      </c>
      <c r="Q125">
        <v>2</v>
      </c>
      <c r="R125" t="s">
        <v>21</v>
      </c>
      <c r="S125" t="s">
        <v>28</v>
      </c>
      <c r="T125">
        <v>5</v>
      </c>
      <c r="U125">
        <v>1500</v>
      </c>
      <c r="V125" t="s">
        <v>22</v>
      </c>
      <c r="W125" t="s">
        <v>1077</v>
      </c>
      <c r="X125" t="s">
        <v>20</v>
      </c>
      <c r="Y125">
        <v>25</v>
      </c>
    </row>
    <row r="126" spans="1:25">
      <c r="A126" t="s">
        <v>297</v>
      </c>
      <c r="B126" t="s">
        <v>298</v>
      </c>
      <c r="C126">
        <v>40</v>
      </c>
      <c r="D126" t="s">
        <v>25</v>
      </c>
      <c r="E126" t="s">
        <v>17</v>
      </c>
      <c r="F126" t="s">
        <v>27</v>
      </c>
      <c r="G126" t="s">
        <v>32</v>
      </c>
      <c r="H126" t="s">
        <v>1060</v>
      </c>
      <c r="I126">
        <v>89000</v>
      </c>
      <c r="J126">
        <v>12</v>
      </c>
      <c r="K126">
        <v>1068000</v>
      </c>
      <c r="L126">
        <v>11</v>
      </c>
      <c r="M126">
        <v>1</v>
      </c>
      <c r="N126" t="s">
        <v>1077</v>
      </c>
      <c r="O126">
        <v>80</v>
      </c>
      <c r="P126">
        <v>5</v>
      </c>
      <c r="Q126">
        <v>3</v>
      </c>
      <c r="S126" t="s">
        <v>19</v>
      </c>
      <c r="T126">
        <v>20</v>
      </c>
      <c r="U126">
        <v>7000</v>
      </c>
      <c r="V126" t="s">
        <v>39</v>
      </c>
      <c r="W126" t="s">
        <v>1077</v>
      </c>
      <c r="X126" t="s">
        <v>20</v>
      </c>
      <c r="Y126">
        <v>12</v>
      </c>
    </row>
    <row r="127" spans="1:25">
      <c r="A127" t="s">
        <v>299</v>
      </c>
      <c r="B127" t="s">
        <v>300</v>
      </c>
      <c r="C127">
        <v>25</v>
      </c>
      <c r="D127" t="s">
        <v>46</v>
      </c>
      <c r="E127" t="s">
        <v>64</v>
      </c>
      <c r="F127" t="s">
        <v>66</v>
      </c>
      <c r="G127" t="s">
        <v>51</v>
      </c>
      <c r="H127" t="s">
        <v>1060</v>
      </c>
      <c r="I127">
        <v>35000</v>
      </c>
      <c r="J127">
        <v>12</v>
      </c>
      <c r="K127">
        <v>420000</v>
      </c>
      <c r="L127">
        <v>3</v>
      </c>
      <c r="M127">
        <v>2</v>
      </c>
      <c r="N127" t="s">
        <v>1077</v>
      </c>
      <c r="O127">
        <v>85</v>
      </c>
      <c r="P127">
        <v>23</v>
      </c>
      <c r="Q127">
        <v>1</v>
      </c>
      <c r="S127" t="s">
        <v>38</v>
      </c>
      <c r="T127">
        <v>20</v>
      </c>
      <c r="U127">
        <v>6000</v>
      </c>
      <c r="V127" t="s">
        <v>39</v>
      </c>
      <c r="W127" t="s">
        <v>1077</v>
      </c>
      <c r="X127" t="s">
        <v>33</v>
      </c>
      <c r="Y127">
        <v>20</v>
      </c>
    </row>
    <row r="128" spans="1:25">
      <c r="A128" t="s">
        <v>301</v>
      </c>
      <c r="B128" t="s">
        <v>302</v>
      </c>
      <c r="C128">
        <v>25</v>
      </c>
      <c r="D128" t="s">
        <v>46</v>
      </c>
      <c r="E128" t="s">
        <v>64</v>
      </c>
      <c r="F128" t="s">
        <v>42</v>
      </c>
      <c r="G128" t="s">
        <v>51</v>
      </c>
      <c r="H128" t="s">
        <v>1060</v>
      </c>
      <c r="I128">
        <v>48000</v>
      </c>
      <c r="J128">
        <v>12</v>
      </c>
      <c r="K128">
        <v>576000</v>
      </c>
      <c r="L128">
        <v>4</v>
      </c>
      <c r="M128">
        <v>2</v>
      </c>
      <c r="N128" t="s">
        <v>1077</v>
      </c>
      <c r="O128">
        <v>90</v>
      </c>
      <c r="P128">
        <v>15</v>
      </c>
      <c r="Q128">
        <v>2</v>
      </c>
      <c r="R128" t="s">
        <v>21</v>
      </c>
      <c r="S128" t="s">
        <v>19</v>
      </c>
      <c r="T128">
        <v>10</v>
      </c>
      <c r="U128">
        <v>3000</v>
      </c>
      <c r="V128" t="s">
        <v>39</v>
      </c>
      <c r="W128" t="s">
        <v>1077</v>
      </c>
      <c r="X128" t="s">
        <v>20</v>
      </c>
      <c r="Y128">
        <v>14</v>
      </c>
    </row>
    <row r="129" spans="1:25">
      <c r="A129" t="s">
        <v>303</v>
      </c>
      <c r="B129" t="s">
        <v>304</v>
      </c>
      <c r="C129">
        <v>39</v>
      </c>
      <c r="D129" t="s">
        <v>1077</v>
      </c>
      <c r="E129" t="s">
        <v>57</v>
      </c>
      <c r="F129" t="s">
        <v>42</v>
      </c>
      <c r="G129" t="s">
        <v>1049</v>
      </c>
      <c r="H129" t="s">
        <v>1060</v>
      </c>
      <c r="I129">
        <v>123000</v>
      </c>
      <c r="J129">
        <v>12</v>
      </c>
      <c r="K129">
        <v>1476000</v>
      </c>
      <c r="L129">
        <v>13</v>
      </c>
      <c r="M129">
        <v>1</v>
      </c>
      <c r="N129" t="s">
        <v>1077</v>
      </c>
      <c r="O129">
        <v>85</v>
      </c>
      <c r="P129">
        <v>31</v>
      </c>
      <c r="Q129">
        <v>5</v>
      </c>
      <c r="R129" t="s">
        <v>21</v>
      </c>
      <c r="S129" t="s">
        <v>38</v>
      </c>
      <c r="U129" t="s">
        <v>1077</v>
      </c>
      <c r="V129" t="s">
        <v>39</v>
      </c>
      <c r="W129" t="s">
        <v>1077</v>
      </c>
      <c r="X129" t="s">
        <v>20</v>
      </c>
      <c r="Y129">
        <v>14</v>
      </c>
    </row>
    <row r="130" spans="1:25">
      <c r="A130" t="s">
        <v>305</v>
      </c>
      <c r="B130" t="s">
        <v>306</v>
      </c>
      <c r="C130">
        <v>26</v>
      </c>
      <c r="D130" t="s">
        <v>46</v>
      </c>
      <c r="E130" t="s">
        <v>65</v>
      </c>
      <c r="F130" t="s">
        <v>42</v>
      </c>
      <c r="G130" t="s">
        <v>51</v>
      </c>
      <c r="H130" t="s">
        <v>1060</v>
      </c>
      <c r="I130">
        <v>48000</v>
      </c>
      <c r="J130">
        <v>12</v>
      </c>
      <c r="K130">
        <v>576000</v>
      </c>
      <c r="L130">
        <v>4</v>
      </c>
      <c r="M130">
        <v>1</v>
      </c>
      <c r="N130" t="s">
        <v>1077</v>
      </c>
      <c r="O130">
        <v>95</v>
      </c>
      <c r="P130">
        <v>10</v>
      </c>
      <c r="Q130">
        <v>1</v>
      </c>
      <c r="R130" t="s">
        <v>37</v>
      </c>
      <c r="S130" t="s">
        <v>19</v>
      </c>
      <c r="T130">
        <v>5</v>
      </c>
      <c r="U130">
        <v>1500</v>
      </c>
      <c r="V130" t="s">
        <v>39</v>
      </c>
      <c r="W130" t="s">
        <v>1077</v>
      </c>
      <c r="X130" t="s">
        <v>20</v>
      </c>
      <c r="Y130">
        <v>14</v>
      </c>
    </row>
    <row r="131" spans="1:25">
      <c r="A131" t="s">
        <v>307</v>
      </c>
      <c r="B131" t="s">
        <v>308</v>
      </c>
      <c r="C131">
        <v>27</v>
      </c>
      <c r="D131" t="s">
        <v>25</v>
      </c>
      <c r="E131" t="s">
        <v>65</v>
      </c>
      <c r="F131" t="s">
        <v>42</v>
      </c>
      <c r="G131" t="s">
        <v>51</v>
      </c>
      <c r="H131" t="s">
        <v>1059</v>
      </c>
      <c r="I131">
        <v>49500</v>
      </c>
      <c r="J131">
        <v>12</v>
      </c>
      <c r="K131">
        <v>594000</v>
      </c>
      <c r="L131">
        <v>4</v>
      </c>
      <c r="M131">
        <v>5</v>
      </c>
      <c r="N131">
        <v>14850</v>
      </c>
      <c r="O131">
        <v>80</v>
      </c>
      <c r="P131">
        <v>23</v>
      </c>
      <c r="Q131">
        <v>1</v>
      </c>
      <c r="S131" t="s">
        <v>28</v>
      </c>
      <c r="T131">
        <v>20</v>
      </c>
      <c r="U131">
        <v>6000</v>
      </c>
      <c r="V131" t="s">
        <v>58</v>
      </c>
      <c r="W131" t="s">
        <v>1077</v>
      </c>
      <c r="X131" t="s">
        <v>20</v>
      </c>
      <c r="Y131">
        <v>14</v>
      </c>
    </row>
    <row r="132" spans="1:25">
      <c r="A132" t="s">
        <v>309</v>
      </c>
      <c r="B132" t="s">
        <v>310</v>
      </c>
      <c r="C132">
        <v>27</v>
      </c>
      <c r="D132" t="s">
        <v>1077</v>
      </c>
      <c r="E132" t="s">
        <v>65</v>
      </c>
      <c r="F132" t="s">
        <v>27</v>
      </c>
      <c r="G132" t="s">
        <v>51</v>
      </c>
      <c r="H132" t="s">
        <v>1060</v>
      </c>
      <c r="I132">
        <v>48000</v>
      </c>
      <c r="J132">
        <v>12</v>
      </c>
      <c r="K132">
        <v>576000</v>
      </c>
      <c r="L132">
        <v>4</v>
      </c>
      <c r="M132">
        <v>1</v>
      </c>
      <c r="N132" t="s">
        <v>1077</v>
      </c>
      <c r="O132">
        <v>85</v>
      </c>
      <c r="P132">
        <v>15</v>
      </c>
      <c r="Q132">
        <v>5</v>
      </c>
      <c r="S132" t="s">
        <v>19</v>
      </c>
      <c r="U132">
        <v>0</v>
      </c>
      <c r="V132" t="s">
        <v>39</v>
      </c>
      <c r="W132" t="s">
        <v>1077</v>
      </c>
      <c r="X132" t="s">
        <v>20</v>
      </c>
      <c r="Y132">
        <v>12</v>
      </c>
    </row>
    <row r="133" spans="1:25">
      <c r="A133" t="s">
        <v>311</v>
      </c>
      <c r="B133" t="s">
        <v>312</v>
      </c>
      <c r="C133">
        <v>25</v>
      </c>
      <c r="D133" t="s">
        <v>25</v>
      </c>
      <c r="E133" t="s">
        <v>73</v>
      </c>
      <c r="F133" t="s">
        <v>42</v>
      </c>
      <c r="G133" t="s">
        <v>51</v>
      </c>
      <c r="H133" t="s">
        <v>1060</v>
      </c>
      <c r="I133">
        <v>35000</v>
      </c>
      <c r="J133">
        <v>12</v>
      </c>
      <c r="K133">
        <v>420000</v>
      </c>
      <c r="L133">
        <v>3</v>
      </c>
      <c r="M133">
        <v>5</v>
      </c>
      <c r="N133">
        <v>10500</v>
      </c>
      <c r="O133">
        <v>85</v>
      </c>
      <c r="P133">
        <v>5</v>
      </c>
      <c r="Q133">
        <v>4</v>
      </c>
      <c r="R133" t="s">
        <v>21</v>
      </c>
      <c r="S133" t="s">
        <v>38</v>
      </c>
      <c r="T133">
        <v>10</v>
      </c>
      <c r="U133">
        <v>3000</v>
      </c>
      <c r="V133" t="s">
        <v>58</v>
      </c>
      <c r="W133" t="s">
        <v>1077</v>
      </c>
      <c r="X133" t="s">
        <v>20</v>
      </c>
      <c r="Y133">
        <v>14</v>
      </c>
    </row>
    <row r="134" spans="1:25">
      <c r="A134" t="s">
        <v>313</v>
      </c>
      <c r="B134" t="s">
        <v>314</v>
      </c>
      <c r="C134">
        <v>25</v>
      </c>
      <c r="D134" t="s">
        <v>46</v>
      </c>
      <c r="E134" t="s">
        <v>61</v>
      </c>
      <c r="F134" t="s">
        <v>42</v>
      </c>
      <c r="G134" t="s">
        <v>51</v>
      </c>
      <c r="H134" t="s">
        <v>1060</v>
      </c>
      <c r="I134">
        <v>37000</v>
      </c>
      <c r="J134">
        <v>12</v>
      </c>
      <c r="K134">
        <v>444000</v>
      </c>
      <c r="L134">
        <v>2</v>
      </c>
      <c r="M134">
        <v>1</v>
      </c>
      <c r="N134" t="s">
        <v>1077</v>
      </c>
      <c r="O134">
        <v>87</v>
      </c>
      <c r="P134">
        <v>5</v>
      </c>
      <c r="Q134">
        <v>12</v>
      </c>
      <c r="R134" t="s">
        <v>37</v>
      </c>
      <c r="S134" t="s">
        <v>38</v>
      </c>
      <c r="T134">
        <v>5</v>
      </c>
      <c r="U134">
        <v>1500</v>
      </c>
      <c r="V134" t="s">
        <v>39</v>
      </c>
      <c r="W134" t="s">
        <v>1077</v>
      </c>
      <c r="X134" t="s">
        <v>20</v>
      </c>
      <c r="Y134">
        <v>14</v>
      </c>
    </row>
    <row r="135" spans="1:25">
      <c r="A135" t="s">
        <v>315</v>
      </c>
      <c r="B135" t="s">
        <v>316</v>
      </c>
      <c r="C135">
        <v>25</v>
      </c>
      <c r="D135" t="s">
        <v>1077</v>
      </c>
      <c r="E135" t="s">
        <v>47</v>
      </c>
      <c r="F135" t="s">
        <v>42</v>
      </c>
      <c r="G135" t="s">
        <v>1045</v>
      </c>
      <c r="H135" t="s">
        <v>1060</v>
      </c>
      <c r="I135">
        <v>78000</v>
      </c>
      <c r="J135">
        <v>12</v>
      </c>
      <c r="K135">
        <v>936000</v>
      </c>
      <c r="L135">
        <v>7</v>
      </c>
      <c r="M135">
        <v>3</v>
      </c>
      <c r="N135">
        <v>23400</v>
      </c>
      <c r="O135">
        <v>90</v>
      </c>
      <c r="P135">
        <v>23</v>
      </c>
      <c r="Q135">
        <v>1</v>
      </c>
      <c r="R135" t="s">
        <v>37</v>
      </c>
      <c r="S135" t="s">
        <v>19</v>
      </c>
      <c r="T135">
        <v>20</v>
      </c>
      <c r="U135">
        <v>6000</v>
      </c>
      <c r="V135" t="s">
        <v>22</v>
      </c>
      <c r="W135" t="s">
        <v>1077</v>
      </c>
      <c r="X135" t="s">
        <v>20</v>
      </c>
      <c r="Y135">
        <v>14</v>
      </c>
    </row>
    <row r="136" spans="1:25">
      <c r="A136" t="s">
        <v>317</v>
      </c>
      <c r="B136" t="s">
        <v>318</v>
      </c>
      <c r="C136">
        <v>33</v>
      </c>
      <c r="D136" t="s">
        <v>46</v>
      </c>
      <c r="E136" t="s">
        <v>73</v>
      </c>
      <c r="F136" t="s">
        <v>36</v>
      </c>
      <c r="G136" t="s">
        <v>32</v>
      </c>
      <c r="H136" t="s">
        <v>1060</v>
      </c>
      <c r="I136">
        <v>90000</v>
      </c>
      <c r="J136">
        <v>12</v>
      </c>
      <c r="K136">
        <v>1080000</v>
      </c>
      <c r="L136">
        <v>9</v>
      </c>
      <c r="M136">
        <v>1</v>
      </c>
      <c r="N136" t="s">
        <v>1077</v>
      </c>
      <c r="O136">
        <v>90</v>
      </c>
      <c r="P136">
        <v>5</v>
      </c>
      <c r="Q136">
        <v>1</v>
      </c>
      <c r="S136" t="s">
        <v>19</v>
      </c>
      <c r="U136">
        <v>0</v>
      </c>
      <c r="V136" t="s">
        <v>39</v>
      </c>
      <c r="W136" t="s">
        <v>1077</v>
      </c>
      <c r="X136" t="s">
        <v>20</v>
      </c>
      <c r="Y136">
        <v>25</v>
      </c>
    </row>
    <row r="137" spans="1:25">
      <c r="A137" t="s">
        <v>319</v>
      </c>
      <c r="B137" t="s">
        <v>320</v>
      </c>
      <c r="C137">
        <v>26</v>
      </c>
      <c r="D137" t="s">
        <v>25</v>
      </c>
      <c r="E137" t="s">
        <v>73</v>
      </c>
      <c r="F137" t="s">
        <v>27</v>
      </c>
      <c r="G137" t="s">
        <v>51</v>
      </c>
      <c r="H137" t="s">
        <v>1060</v>
      </c>
      <c r="I137">
        <v>37000</v>
      </c>
      <c r="J137">
        <v>12</v>
      </c>
      <c r="K137">
        <v>444000</v>
      </c>
      <c r="L137">
        <v>2</v>
      </c>
      <c r="M137">
        <v>4</v>
      </c>
      <c r="N137">
        <v>11100</v>
      </c>
      <c r="O137">
        <v>90</v>
      </c>
      <c r="P137">
        <v>5</v>
      </c>
      <c r="Q137">
        <v>1</v>
      </c>
      <c r="R137" t="s">
        <v>21</v>
      </c>
      <c r="S137" t="s">
        <v>38</v>
      </c>
      <c r="U137">
        <v>0</v>
      </c>
      <c r="V137" t="s">
        <v>22</v>
      </c>
      <c r="W137" t="s">
        <v>1077</v>
      </c>
      <c r="X137" t="s">
        <v>20</v>
      </c>
      <c r="Y137">
        <v>12</v>
      </c>
    </row>
    <row r="138" spans="1:25">
      <c r="A138" t="s">
        <v>321</v>
      </c>
      <c r="B138" t="s">
        <v>322</v>
      </c>
      <c r="C138">
        <v>25</v>
      </c>
      <c r="D138" t="s">
        <v>25</v>
      </c>
      <c r="E138" t="s">
        <v>26</v>
      </c>
      <c r="F138" t="s">
        <v>66</v>
      </c>
      <c r="G138" t="s">
        <v>51</v>
      </c>
      <c r="H138" t="s">
        <v>1060</v>
      </c>
      <c r="I138">
        <v>31500</v>
      </c>
      <c r="J138">
        <v>12</v>
      </c>
      <c r="K138">
        <v>378000</v>
      </c>
      <c r="L138">
        <v>2</v>
      </c>
      <c r="M138">
        <v>2</v>
      </c>
      <c r="N138" t="s">
        <v>1077</v>
      </c>
      <c r="O138">
        <v>87</v>
      </c>
      <c r="P138">
        <v>15</v>
      </c>
      <c r="Q138">
        <v>1</v>
      </c>
      <c r="R138" t="s">
        <v>37</v>
      </c>
      <c r="S138" t="s">
        <v>38</v>
      </c>
      <c r="T138">
        <v>5</v>
      </c>
      <c r="U138">
        <v>1500</v>
      </c>
      <c r="V138" t="s">
        <v>39</v>
      </c>
      <c r="W138" t="s">
        <v>1077</v>
      </c>
      <c r="X138" t="s">
        <v>33</v>
      </c>
      <c r="Y138">
        <v>20</v>
      </c>
    </row>
    <row r="139" spans="1:25">
      <c r="A139" t="s">
        <v>323</v>
      </c>
      <c r="B139" t="s">
        <v>324</v>
      </c>
      <c r="C139">
        <v>40</v>
      </c>
      <c r="D139" t="s">
        <v>46</v>
      </c>
      <c r="E139" t="s">
        <v>64</v>
      </c>
      <c r="F139" t="s">
        <v>27</v>
      </c>
      <c r="G139" t="s">
        <v>32</v>
      </c>
      <c r="H139" t="s">
        <v>1060</v>
      </c>
      <c r="I139">
        <v>90000</v>
      </c>
      <c r="J139">
        <v>12</v>
      </c>
      <c r="K139">
        <v>1080000</v>
      </c>
      <c r="L139">
        <v>10</v>
      </c>
      <c r="M139">
        <v>2</v>
      </c>
      <c r="N139" t="s">
        <v>1077</v>
      </c>
      <c r="O139">
        <v>90</v>
      </c>
      <c r="P139">
        <v>10</v>
      </c>
      <c r="Q139">
        <v>5</v>
      </c>
      <c r="S139" t="s">
        <v>19</v>
      </c>
      <c r="T139">
        <v>5</v>
      </c>
      <c r="U139">
        <v>1750</v>
      </c>
      <c r="V139" t="s">
        <v>39</v>
      </c>
      <c r="W139" t="s">
        <v>1077</v>
      </c>
      <c r="X139" t="s">
        <v>20</v>
      </c>
      <c r="Y139">
        <v>12</v>
      </c>
    </row>
    <row r="140" spans="1:25">
      <c r="A140" t="s">
        <v>325</v>
      </c>
      <c r="B140" t="s">
        <v>326</v>
      </c>
      <c r="C140">
        <v>25</v>
      </c>
      <c r="D140" t="s">
        <v>1077</v>
      </c>
      <c r="E140" t="s">
        <v>35</v>
      </c>
      <c r="F140" t="s">
        <v>42</v>
      </c>
      <c r="G140" t="s">
        <v>51</v>
      </c>
      <c r="H140" t="s">
        <v>1060</v>
      </c>
      <c r="I140">
        <v>35000</v>
      </c>
      <c r="J140">
        <v>12</v>
      </c>
      <c r="K140">
        <v>420000</v>
      </c>
      <c r="L140">
        <v>3</v>
      </c>
      <c r="M140">
        <v>3</v>
      </c>
      <c r="N140">
        <v>10500</v>
      </c>
      <c r="O140">
        <v>95</v>
      </c>
      <c r="P140">
        <v>22</v>
      </c>
      <c r="Q140">
        <v>10</v>
      </c>
      <c r="R140" t="s">
        <v>21</v>
      </c>
      <c r="S140" t="s">
        <v>19</v>
      </c>
      <c r="T140">
        <v>5</v>
      </c>
      <c r="U140">
        <v>1500</v>
      </c>
      <c r="V140" t="s">
        <v>22</v>
      </c>
      <c r="W140" t="s">
        <v>1077</v>
      </c>
      <c r="X140" t="s">
        <v>20</v>
      </c>
      <c r="Y140">
        <v>14</v>
      </c>
    </row>
    <row r="141" spans="1:25">
      <c r="A141" t="s">
        <v>327</v>
      </c>
      <c r="B141" t="s">
        <v>328</v>
      </c>
      <c r="C141">
        <v>40</v>
      </c>
      <c r="D141" t="s">
        <v>46</v>
      </c>
      <c r="E141" t="s">
        <v>64</v>
      </c>
      <c r="F141" t="s">
        <v>31</v>
      </c>
      <c r="G141" t="s">
        <v>1045</v>
      </c>
      <c r="H141" t="s">
        <v>1060</v>
      </c>
      <c r="I141">
        <v>78000</v>
      </c>
      <c r="J141">
        <v>12</v>
      </c>
      <c r="K141">
        <v>936000</v>
      </c>
      <c r="L141">
        <v>7</v>
      </c>
      <c r="M141">
        <v>4</v>
      </c>
      <c r="N141">
        <v>23400</v>
      </c>
      <c r="O141">
        <v>95</v>
      </c>
      <c r="P141">
        <v>15</v>
      </c>
      <c r="Q141">
        <v>1</v>
      </c>
      <c r="S141" t="s">
        <v>38</v>
      </c>
      <c r="T141">
        <v>5</v>
      </c>
      <c r="U141">
        <v>1500</v>
      </c>
      <c r="V141" t="s">
        <v>58</v>
      </c>
      <c r="W141" t="s">
        <v>1077</v>
      </c>
      <c r="X141" t="s">
        <v>33</v>
      </c>
      <c r="Y141">
        <v>13</v>
      </c>
    </row>
    <row r="142" spans="1:25">
      <c r="A142" t="s">
        <v>329</v>
      </c>
      <c r="B142" t="s">
        <v>330</v>
      </c>
      <c r="C142">
        <v>43</v>
      </c>
      <c r="D142" t="s">
        <v>46</v>
      </c>
      <c r="E142" t="s">
        <v>65</v>
      </c>
      <c r="F142" t="s">
        <v>31</v>
      </c>
      <c r="G142" t="s">
        <v>1049</v>
      </c>
      <c r="H142" t="s">
        <v>1060</v>
      </c>
      <c r="I142">
        <v>124500</v>
      </c>
      <c r="J142">
        <v>12</v>
      </c>
      <c r="K142">
        <v>1494000</v>
      </c>
      <c r="L142">
        <v>12</v>
      </c>
      <c r="M142">
        <v>3</v>
      </c>
      <c r="N142">
        <v>37350</v>
      </c>
      <c r="O142">
        <v>80</v>
      </c>
      <c r="P142">
        <v>5</v>
      </c>
      <c r="Q142">
        <v>10</v>
      </c>
      <c r="S142" t="s">
        <v>38</v>
      </c>
      <c r="U142" t="s">
        <v>1077</v>
      </c>
      <c r="V142" t="s">
        <v>22</v>
      </c>
      <c r="W142" t="s">
        <v>1077</v>
      </c>
      <c r="X142" t="s">
        <v>33</v>
      </c>
      <c r="Y142">
        <v>13</v>
      </c>
    </row>
    <row r="143" spans="1:25">
      <c r="A143" t="s">
        <v>331</v>
      </c>
      <c r="B143" t="s">
        <v>332</v>
      </c>
      <c r="C143">
        <v>27</v>
      </c>
      <c r="D143" t="s">
        <v>1077</v>
      </c>
      <c r="E143" t="s">
        <v>64</v>
      </c>
      <c r="F143" t="s">
        <v>27</v>
      </c>
      <c r="G143" t="s">
        <v>51</v>
      </c>
      <c r="H143" t="s">
        <v>1060</v>
      </c>
      <c r="I143">
        <v>48000</v>
      </c>
      <c r="J143">
        <v>12</v>
      </c>
      <c r="K143">
        <v>576000</v>
      </c>
      <c r="L143">
        <v>4</v>
      </c>
      <c r="M143">
        <v>3</v>
      </c>
      <c r="N143">
        <v>14400</v>
      </c>
      <c r="O143">
        <v>95</v>
      </c>
      <c r="P143">
        <v>5</v>
      </c>
      <c r="Q143">
        <v>12</v>
      </c>
      <c r="R143" t="s">
        <v>21</v>
      </c>
      <c r="S143" t="s">
        <v>19</v>
      </c>
      <c r="T143">
        <v>20</v>
      </c>
      <c r="U143">
        <v>6000</v>
      </c>
      <c r="V143" t="s">
        <v>22</v>
      </c>
      <c r="W143" t="s">
        <v>1077</v>
      </c>
      <c r="X143" t="s">
        <v>20</v>
      </c>
      <c r="Y143">
        <v>12</v>
      </c>
    </row>
    <row r="144" spans="1:25">
      <c r="A144" t="s">
        <v>333</v>
      </c>
      <c r="B144" t="s">
        <v>334</v>
      </c>
      <c r="C144">
        <v>27</v>
      </c>
      <c r="D144" t="s">
        <v>46</v>
      </c>
      <c r="E144" t="s">
        <v>64</v>
      </c>
      <c r="F144" t="s">
        <v>42</v>
      </c>
      <c r="G144" t="s">
        <v>51</v>
      </c>
      <c r="H144" t="s">
        <v>1060</v>
      </c>
      <c r="I144">
        <v>51000</v>
      </c>
      <c r="J144">
        <v>12</v>
      </c>
      <c r="K144">
        <v>612000</v>
      </c>
      <c r="L144">
        <v>4</v>
      </c>
      <c r="M144">
        <v>4</v>
      </c>
      <c r="N144">
        <v>15300</v>
      </c>
      <c r="O144">
        <v>95</v>
      </c>
      <c r="P144">
        <v>15</v>
      </c>
      <c r="Q144">
        <v>2</v>
      </c>
      <c r="R144" t="s">
        <v>37</v>
      </c>
      <c r="S144" t="s">
        <v>19</v>
      </c>
      <c r="T144">
        <v>10</v>
      </c>
      <c r="U144">
        <v>3000</v>
      </c>
      <c r="V144" t="s">
        <v>22</v>
      </c>
      <c r="W144" t="s">
        <v>1077</v>
      </c>
      <c r="X144" t="s">
        <v>20</v>
      </c>
      <c r="Y144">
        <v>14</v>
      </c>
    </row>
    <row r="145" spans="1:25">
      <c r="A145" t="s">
        <v>335</v>
      </c>
      <c r="B145" t="s">
        <v>336</v>
      </c>
      <c r="C145">
        <v>41</v>
      </c>
      <c r="D145" t="s">
        <v>25</v>
      </c>
      <c r="E145" t="s">
        <v>47</v>
      </c>
      <c r="F145" t="s">
        <v>36</v>
      </c>
      <c r="G145" t="s">
        <v>1050</v>
      </c>
      <c r="H145" t="s">
        <v>1060</v>
      </c>
      <c r="I145">
        <v>125000</v>
      </c>
      <c r="J145">
        <v>12</v>
      </c>
      <c r="K145">
        <v>1500000</v>
      </c>
      <c r="L145">
        <v>16</v>
      </c>
      <c r="M145">
        <v>4</v>
      </c>
      <c r="N145">
        <v>37500</v>
      </c>
      <c r="O145">
        <v>80</v>
      </c>
      <c r="P145">
        <v>23</v>
      </c>
      <c r="Q145">
        <v>5</v>
      </c>
      <c r="R145" t="s">
        <v>37</v>
      </c>
      <c r="S145" t="s">
        <v>19</v>
      </c>
      <c r="U145" t="s">
        <v>1077</v>
      </c>
      <c r="V145" t="s">
        <v>22</v>
      </c>
      <c r="W145" t="s">
        <v>1077</v>
      </c>
      <c r="X145" t="s">
        <v>20</v>
      </c>
      <c r="Y145">
        <v>25</v>
      </c>
    </row>
    <row r="146" spans="1:25">
      <c r="A146" t="s">
        <v>337</v>
      </c>
      <c r="B146" t="s">
        <v>338</v>
      </c>
      <c r="C146">
        <v>25</v>
      </c>
      <c r="D146" t="s">
        <v>46</v>
      </c>
      <c r="E146" t="s">
        <v>17</v>
      </c>
      <c r="F146" t="s">
        <v>66</v>
      </c>
      <c r="G146" t="s">
        <v>51</v>
      </c>
      <c r="H146" t="s">
        <v>1060</v>
      </c>
      <c r="I146">
        <v>48000</v>
      </c>
      <c r="J146">
        <v>12</v>
      </c>
      <c r="K146">
        <v>576000</v>
      </c>
      <c r="L146">
        <v>4</v>
      </c>
      <c r="M146">
        <v>3</v>
      </c>
      <c r="N146">
        <v>14400</v>
      </c>
      <c r="O146">
        <v>85</v>
      </c>
      <c r="P146">
        <v>22</v>
      </c>
      <c r="Q146">
        <v>5</v>
      </c>
      <c r="R146" t="s">
        <v>37</v>
      </c>
      <c r="S146" t="s">
        <v>38</v>
      </c>
      <c r="U146">
        <v>0</v>
      </c>
      <c r="V146" t="s">
        <v>22</v>
      </c>
      <c r="W146" t="s">
        <v>1077</v>
      </c>
      <c r="X146" t="s">
        <v>33</v>
      </c>
      <c r="Y146">
        <v>20</v>
      </c>
    </row>
    <row r="147" spans="1:25">
      <c r="A147" t="s">
        <v>339</v>
      </c>
      <c r="B147" t="s">
        <v>340</v>
      </c>
      <c r="C147">
        <v>32</v>
      </c>
      <c r="D147" t="s">
        <v>1077</v>
      </c>
      <c r="E147" t="s">
        <v>64</v>
      </c>
      <c r="F147" t="s">
        <v>42</v>
      </c>
      <c r="G147" t="s">
        <v>82</v>
      </c>
      <c r="H147" t="s">
        <v>1059</v>
      </c>
      <c r="I147">
        <v>88000</v>
      </c>
      <c r="J147">
        <v>12</v>
      </c>
      <c r="K147">
        <v>1056000</v>
      </c>
      <c r="L147">
        <v>8</v>
      </c>
      <c r="M147">
        <v>3</v>
      </c>
      <c r="N147">
        <v>26400</v>
      </c>
      <c r="O147">
        <v>87</v>
      </c>
      <c r="P147">
        <v>5</v>
      </c>
      <c r="Q147">
        <v>8</v>
      </c>
      <c r="R147" t="s">
        <v>37</v>
      </c>
      <c r="S147" t="s">
        <v>28</v>
      </c>
      <c r="U147">
        <v>0</v>
      </c>
      <c r="V147" t="s">
        <v>22</v>
      </c>
      <c r="W147" t="s">
        <v>1077</v>
      </c>
      <c r="X147" t="s">
        <v>20</v>
      </c>
      <c r="Y147">
        <v>14</v>
      </c>
    </row>
    <row r="148" spans="1:25">
      <c r="A148" t="s">
        <v>341</v>
      </c>
      <c r="B148" t="s">
        <v>342</v>
      </c>
      <c r="C148">
        <v>42</v>
      </c>
      <c r="D148" t="s">
        <v>25</v>
      </c>
      <c r="E148" t="s">
        <v>17</v>
      </c>
      <c r="F148" t="s">
        <v>66</v>
      </c>
      <c r="G148" t="s">
        <v>1050</v>
      </c>
      <c r="H148" t="s">
        <v>1060</v>
      </c>
      <c r="I148">
        <v>135000</v>
      </c>
      <c r="J148">
        <v>12</v>
      </c>
      <c r="K148">
        <v>1620000</v>
      </c>
      <c r="L148">
        <v>19</v>
      </c>
      <c r="M148">
        <v>1</v>
      </c>
      <c r="N148" t="s">
        <v>1077</v>
      </c>
      <c r="O148">
        <v>90</v>
      </c>
      <c r="P148">
        <v>5</v>
      </c>
      <c r="Q148">
        <v>5</v>
      </c>
      <c r="R148" t="s">
        <v>37</v>
      </c>
      <c r="S148" t="s">
        <v>38</v>
      </c>
      <c r="U148" t="s">
        <v>1077</v>
      </c>
      <c r="V148" t="s">
        <v>39</v>
      </c>
      <c r="W148" t="s">
        <v>1077</v>
      </c>
      <c r="X148" t="s">
        <v>33</v>
      </c>
      <c r="Y148">
        <v>20</v>
      </c>
    </row>
    <row r="149" spans="1:25">
      <c r="A149" t="s">
        <v>343</v>
      </c>
      <c r="B149" t="s">
        <v>344</v>
      </c>
      <c r="C149">
        <v>27</v>
      </c>
      <c r="D149" t="s">
        <v>46</v>
      </c>
      <c r="E149" t="s">
        <v>26</v>
      </c>
      <c r="F149" t="s">
        <v>66</v>
      </c>
      <c r="G149" t="s">
        <v>51</v>
      </c>
      <c r="H149" t="s">
        <v>1060</v>
      </c>
      <c r="I149">
        <v>40000</v>
      </c>
      <c r="J149">
        <v>12</v>
      </c>
      <c r="K149">
        <v>480000</v>
      </c>
      <c r="L149">
        <v>2</v>
      </c>
      <c r="M149">
        <v>4</v>
      </c>
      <c r="N149">
        <v>12000</v>
      </c>
      <c r="O149">
        <v>80</v>
      </c>
      <c r="P149">
        <v>5</v>
      </c>
      <c r="Q149">
        <v>7</v>
      </c>
      <c r="S149" t="s">
        <v>38</v>
      </c>
      <c r="T149">
        <v>10</v>
      </c>
      <c r="U149">
        <v>3000</v>
      </c>
      <c r="V149" t="s">
        <v>22</v>
      </c>
      <c r="W149" t="s">
        <v>1077</v>
      </c>
      <c r="X149" t="s">
        <v>33</v>
      </c>
      <c r="Y149">
        <v>20</v>
      </c>
    </row>
    <row r="150" spans="1:25">
      <c r="A150" t="s">
        <v>345</v>
      </c>
      <c r="B150" t="s">
        <v>346</v>
      </c>
      <c r="C150">
        <v>27</v>
      </c>
      <c r="D150" t="s">
        <v>46</v>
      </c>
      <c r="E150" t="s">
        <v>61</v>
      </c>
      <c r="F150" t="s">
        <v>66</v>
      </c>
      <c r="G150" t="s">
        <v>51</v>
      </c>
      <c r="H150" t="s">
        <v>1059</v>
      </c>
      <c r="I150">
        <v>36000</v>
      </c>
      <c r="J150">
        <v>12</v>
      </c>
      <c r="K150">
        <v>432000</v>
      </c>
      <c r="L150">
        <v>3</v>
      </c>
      <c r="M150">
        <v>4</v>
      </c>
      <c r="N150">
        <v>10800</v>
      </c>
      <c r="O150">
        <v>95</v>
      </c>
      <c r="P150">
        <v>23</v>
      </c>
      <c r="Q150">
        <v>2</v>
      </c>
      <c r="S150" t="s">
        <v>28</v>
      </c>
      <c r="T150">
        <v>10</v>
      </c>
      <c r="U150">
        <v>3000</v>
      </c>
      <c r="V150" t="s">
        <v>58</v>
      </c>
      <c r="W150" t="s">
        <v>1077</v>
      </c>
      <c r="X150" t="s">
        <v>33</v>
      </c>
      <c r="Y150">
        <v>20</v>
      </c>
    </row>
    <row r="151" spans="1:25">
      <c r="A151" t="s">
        <v>347</v>
      </c>
      <c r="B151" t="s">
        <v>348</v>
      </c>
      <c r="C151">
        <v>25</v>
      </c>
      <c r="D151" t="s">
        <v>1077</v>
      </c>
      <c r="E151" t="s">
        <v>50</v>
      </c>
      <c r="F151" t="s">
        <v>31</v>
      </c>
      <c r="G151" t="s">
        <v>51</v>
      </c>
      <c r="H151" t="s">
        <v>1060</v>
      </c>
      <c r="I151">
        <v>48000</v>
      </c>
      <c r="J151">
        <v>12</v>
      </c>
      <c r="K151">
        <v>576000</v>
      </c>
      <c r="L151">
        <v>4</v>
      </c>
      <c r="M151">
        <v>4</v>
      </c>
      <c r="N151">
        <v>14400</v>
      </c>
      <c r="O151">
        <v>95</v>
      </c>
      <c r="P151">
        <v>10</v>
      </c>
      <c r="Q151">
        <v>3</v>
      </c>
      <c r="R151" t="s">
        <v>37</v>
      </c>
      <c r="S151" t="s">
        <v>38</v>
      </c>
      <c r="U151">
        <v>0</v>
      </c>
      <c r="V151" t="s">
        <v>22</v>
      </c>
      <c r="W151" t="s">
        <v>1077</v>
      </c>
      <c r="X151" t="s">
        <v>33</v>
      </c>
      <c r="Y151">
        <v>13</v>
      </c>
    </row>
    <row r="152" spans="1:25">
      <c r="A152" t="s">
        <v>349</v>
      </c>
      <c r="B152" t="s">
        <v>350</v>
      </c>
      <c r="C152">
        <v>26</v>
      </c>
      <c r="D152" t="s">
        <v>46</v>
      </c>
      <c r="E152" t="s">
        <v>65</v>
      </c>
      <c r="F152" t="s">
        <v>42</v>
      </c>
      <c r="G152" t="s">
        <v>51</v>
      </c>
      <c r="H152" t="s">
        <v>1060</v>
      </c>
      <c r="I152">
        <v>37000</v>
      </c>
      <c r="J152">
        <v>12</v>
      </c>
      <c r="K152">
        <v>444000</v>
      </c>
      <c r="L152">
        <v>2</v>
      </c>
      <c r="M152">
        <v>2</v>
      </c>
      <c r="N152" t="s">
        <v>1077</v>
      </c>
      <c r="O152">
        <v>90</v>
      </c>
      <c r="P152">
        <v>5</v>
      </c>
      <c r="Q152">
        <v>1</v>
      </c>
      <c r="R152" t="s">
        <v>37</v>
      </c>
      <c r="S152" t="s">
        <v>38</v>
      </c>
      <c r="T152">
        <v>10</v>
      </c>
      <c r="U152">
        <v>3000</v>
      </c>
      <c r="V152" t="s">
        <v>39</v>
      </c>
      <c r="W152" t="s">
        <v>1077</v>
      </c>
      <c r="X152" t="s">
        <v>20</v>
      </c>
      <c r="Y152">
        <v>14</v>
      </c>
    </row>
    <row r="153" spans="1:25">
      <c r="A153" t="s">
        <v>351</v>
      </c>
      <c r="B153" t="s">
        <v>352</v>
      </c>
      <c r="C153">
        <v>25</v>
      </c>
      <c r="D153" t="s">
        <v>25</v>
      </c>
      <c r="E153" t="s">
        <v>26</v>
      </c>
      <c r="F153" t="s">
        <v>36</v>
      </c>
      <c r="G153" t="s">
        <v>51</v>
      </c>
      <c r="H153" t="s">
        <v>1060</v>
      </c>
      <c r="I153">
        <v>36000</v>
      </c>
      <c r="J153">
        <v>12</v>
      </c>
      <c r="K153">
        <v>432000</v>
      </c>
      <c r="L153">
        <v>3</v>
      </c>
      <c r="M153">
        <v>3</v>
      </c>
      <c r="N153">
        <v>10800</v>
      </c>
      <c r="O153">
        <v>90</v>
      </c>
      <c r="P153">
        <v>23</v>
      </c>
      <c r="Q153">
        <v>2</v>
      </c>
      <c r="S153" t="s">
        <v>38</v>
      </c>
      <c r="T153">
        <v>10</v>
      </c>
      <c r="U153">
        <v>3000</v>
      </c>
      <c r="V153" t="s">
        <v>22</v>
      </c>
      <c r="W153" t="s">
        <v>1077</v>
      </c>
      <c r="X153" t="s">
        <v>20</v>
      </c>
      <c r="Y153">
        <v>25</v>
      </c>
    </row>
    <row r="154" spans="1:25">
      <c r="A154" t="s">
        <v>353</v>
      </c>
      <c r="B154" t="s">
        <v>354</v>
      </c>
      <c r="C154">
        <v>26</v>
      </c>
      <c r="D154" t="s">
        <v>46</v>
      </c>
      <c r="E154" t="s">
        <v>26</v>
      </c>
      <c r="F154" t="s">
        <v>66</v>
      </c>
      <c r="G154" t="s">
        <v>51</v>
      </c>
      <c r="H154" t="s">
        <v>1060</v>
      </c>
      <c r="I154">
        <v>37000</v>
      </c>
      <c r="J154">
        <v>12</v>
      </c>
      <c r="K154">
        <v>444000</v>
      </c>
      <c r="L154">
        <v>2</v>
      </c>
      <c r="M154">
        <v>1</v>
      </c>
      <c r="N154" t="s">
        <v>1077</v>
      </c>
      <c r="O154">
        <v>80</v>
      </c>
      <c r="P154">
        <v>5</v>
      </c>
      <c r="Q154">
        <v>5</v>
      </c>
      <c r="S154" t="s">
        <v>19</v>
      </c>
      <c r="T154">
        <v>5</v>
      </c>
      <c r="U154">
        <v>1500</v>
      </c>
      <c r="V154" t="s">
        <v>39</v>
      </c>
      <c r="W154" t="s">
        <v>1077</v>
      </c>
      <c r="X154" t="s">
        <v>33</v>
      </c>
      <c r="Y154">
        <v>20</v>
      </c>
    </row>
    <row r="155" spans="1:25">
      <c r="A155" t="s">
        <v>355</v>
      </c>
      <c r="B155" t="s">
        <v>356</v>
      </c>
      <c r="C155">
        <v>26</v>
      </c>
      <c r="D155" t="s">
        <v>46</v>
      </c>
      <c r="E155" t="s">
        <v>17</v>
      </c>
      <c r="F155" t="s">
        <v>27</v>
      </c>
      <c r="G155" t="s">
        <v>51</v>
      </c>
      <c r="H155" t="s">
        <v>1060</v>
      </c>
      <c r="I155">
        <v>36000</v>
      </c>
      <c r="J155">
        <v>12</v>
      </c>
      <c r="K155">
        <v>432000</v>
      </c>
      <c r="L155">
        <v>3</v>
      </c>
      <c r="M155">
        <v>3</v>
      </c>
      <c r="N155">
        <v>10800</v>
      </c>
      <c r="O155">
        <v>80</v>
      </c>
      <c r="P155">
        <v>23</v>
      </c>
      <c r="Q155">
        <v>7</v>
      </c>
      <c r="R155" t="s">
        <v>37</v>
      </c>
      <c r="S155" t="s">
        <v>38</v>
      </c>
      <c r="T155">
        <v>10</v>
      </c>
      <c r="U155">
        <v>3000</v>
      </c>
      <c r="V155" t="s">
        <v>22</v>
      </c>
      <c r="W155" t="s">
        <v>1077</v>
      </c>
      <c r="X155" t="s">
        <v>20</v>
      </c>
      <c r="Y155">
        <v>12</v>
      </c>
    </row>
    <row r="156" spans="1:25">
      <c r="A156" t="s">
        <v>357</v>
      </c>
      <c r="B156" t="s">
        <v>358</v>
      </c>
      <c r="C156">
        <v>25</v>
      </c>
      <c r="D156" t="s">
        <v>25</v>
      </c>
      <c r="E156" t="s">
        <v>64</v>
      </c>
      <c r="F156" t="s">
        <v>18</v>
      </c>
      <c r="G156" t="s">
        <v>51</v>
      </c>
      <c r="H156" t="s">
        <v>1060</v>
      </c>
      <c r="I156">
        <v>36000</v>
      </c>
      <c r="J156">
        <v>12</v>
      </c>
      <c r="K156">
        <v>432000</v>
      </c>
      <c r="L156">
        <v>3</v>
      </c>
      <c r="M156">
        <v>5</v>
      </c>
      <c r="N156">
        <v>10800</v>
      </c>
      <c r="O156">
        <v>95</v>
      </c>
      <c r="P156">
        <v>23</v>
      </c>
      <c r="Q156">
        <v>2</v>
      </c>
      <c r="R156" t="s">
        <v>37</v>
      </c>
      <c r="S156" t="s">
        <v>19</v>
      </c>
      <c r="T156">
        <v>20</v>
      </c>
      <c r="U156">
        <v>6000</v>
      </c>
      <c r="V156" t="s">
        <v>58</v>
      </c>
      <c r="W156" t="s">
        <v>1077</v>
      </c>
      <c r="X156" t="s">
        <v>20</v>
      </c>
      <c r="Y156">
        <v>10</v>
      </c>
    </row>
    <row r="157" spans="1:25">
      <c r="A157" t="s">
        <v>339</v>
      </c>
      <c r="B157" t="s">
        <v>340</v>
      </c>
      <c r="C157">
        <v>32</v>
      </c>
      <c r="D157" t="s">
        <v>1077</v>
      </c>
      <c r="E157" t="s">
        <v>64</v>
      </c>
      <c r="F157" t="s">
        <v>42</v>
      </c>
      <c r="G157" t="s">
        <v>82</v>
      </c>
      <c r="H157" t="s">
        <v>1059</v>
      </c>
      <c r="I157">
        <v>88000</v>
      </c>
      <c r="J157">
        <v>12</v>
      </c>
      <c r="K157">
        <v>1056000</v>
      </c>
      <c r="L157">
        <v>8</v>
      </c>
      <c r="M157">
        <v>3</v>
      </c>
      <c r="N157">
        <v>26400</v>
      </c>
      <c r="O157">
        <v>87</v>
      </c>
      <c r="P157">
        <v>5</v>
      </c>
      <c r="Q157">
        <v>8</v>
      </c>
      <c r="R157" t="s">
        <v>37</v>
      </c>
      <c r="S157" t="s">
        <v>28</v>
      </c>
      <c r="U157">
        <v>0</v>
      </c>
      <c r="V157" t="s">
        <v>22</v>
      </c>
      <c r="W157" t="s">
        <v>1079</v>
      </c>
      <c r="X157" t="s">
        <v>20</v>
      </c>
      <c r="Y157">
        <v>14</v>
      </c>
    </row>
    <row r="158" spans="1:25">
      <c r="A158" t="s">
        <v>360</v>
      </c>
      <c r="B158" t="s">
        <v>361</v>
      </c>
      <c r="C158">
        <v>20</v>
      </c>
      <c r="D158" t="s">
        <v>1077</v>
      </c>
      <c r="E158" t="s">
        <v>65</v>
      </c>
      <c r="F158" t="s">
        <v>36</v>
      </c>
      <c r="G158" t="s">
        <v>1047</v>
      </c>
      <c r="H158" t="s">
        <v>1059</v>
      </c>
      <c r="I158">
        <v>12000</v>
      </c>
      <c r="J158">
        <v>12</v>
      </c>
      <c r="K158">
        <v>144000</v>
      </c>
      <c r="L158">
        <v>0</v>
      </c>
      <c r="M158">
        <v>1</v>
      </c>
      <c r="N158" t="s">
        <v>1077</v>
      </c>
      <c r="O158">
        <v>85</v>
      </c>
      <c r="P158">
        <v>5</v>
      </c>
      <c r="Q158">
        <v>3</v>
      </c>
      <c r="R158" t="s">
        <v>21</v>
      </c>
      <c r="S158" t="s">
        <v>28</v>
      </c>
      <c r="U158">
        <v>0</v>
      </c>
      <c r="V158" t="s">
        <v>39</v>
      </c>
      <c r="W158" t="s">
        <v>1077</v>
      </c>
      <c r="X158" t="s">
        <v>20</v>
      </c>
      <c r="Y158">
        <v>25</v>
      </c>
    </row>
    <row r="159" spans="1:25">
      <c r="A159" t="s">
        <v>362</v>
      </c>
      <c r="B159" t="s">
        <v>363</v>
      </c>
      <c r="C159">
        <v>21</v>
      </c>
      <c r="D159" t="s">
        <v>46</v>
      </c>
      <c r="E159" t="s">
        <v>64</v>
      </c>
      <c r="F159" t="s">
        <v>42</v>
      </c>
      <c r="G159" t="s">
        <v>1047</v>
      </c>
      <c r="H159" t="s">
        <v>1060</v>
      </c>
      <c r="I159">
        <v>7000</v>
      </c>
      <c r="J159">
        <v>12</v>
      </c>
      <c r="K159">
        <v>84000</v>
      </c>
      <c r="L159">
        <v>1</v>
      </c>
      <c r="M159">
        <v>2</v>
      </c>
      <c r="N159" t="s">
        <v>1077</v>
      </c>
      <c r="O159">
        <v>95</v>
      </c>
      <c r="P159">
        <v>10</v>
      </c>
      <c r="Q159">
        <v>12</v>
      </c>
      <c r="R159" t="s">
        <v>21</v>
      </c>
      <c r="S159" t="s">
        <v>38</v>
      </c>
      <c r="T159">
        <v>5</v>
      </c>
      <c r="U159">
        <v>1250</v>
      </c>
      <c r="V159" t="s">
        <v>39</v>
      </c>
      <c r="W159" t="s">
        <v>1077</v>
      </c>
      <c r="X159" t="s">
        <v>20</v>
      </c>
      <c r="Y159">
        <v>14</v>
      </c>
    </row>
    <row r="160" spans="1:25">
      <c r="A160" t="s">
        <v>364</v>
      </c>
      <c r="B160" t="s">
        <v>365</v>
      </c>
      <c r="C160">
        <v>20</v>
      </c>
      <c r="D160" t="s">
        <v>1077</v>
      </c>
      <c r="E160" t="s">
        <v>35</v>
      </c>
      <c r="F160" t="s">
        <v>27</v>
      </c>
      <c r="G160" t="s">
        <v>1047</v>
      </c>
      <c r="H160" t="s">
        <v>1060</v>
      </c>
      <c r="I160">
        <v>9000</v>
      </c>
      <c r="J160">
        <v>12</v>
      </c>
      <c r="K160">
        <v>108000</v>
      </c>
      <c r="L160">
        <v>0</v>
      </c>
      <c r="M160">
        <v>2</v>
      </c>
      <c r="N160" t="s">
        <v>1077</v>
      </c>
      <c r="O160">
        <v>95</v>
      </c>
      <c r="P160">
        <v>10</v>
      </c>
      <c r="Q160">
        <v>9</v>
      </c>
      <c r="R160" t="s">
        <v>21</v>
      </c>
      <c r="S160" t="s">
        <v>38</v>
      </c>
      <c r="T160">
        <v>10</v>
      </c>
      <c r="U160">
        <v>2500</v>
      </c>
      <c r="V160" t="s">
        <v>39</v>
      </c>
      <c r="W160" t="s">
        <v>1077</v>
      </c>
      <c r="X160" t="s">
        <v>20</v>
      </c>
      <c r="Y160">
        <v>12</v>
      </c>
    </row>
    <row r="161" spans="1:25">
      <c r="A161" t="s">
        <v>366</v>
      </c>
      <c r="B161" t="s">
        <v>367</v>
      </c>
      <c r="C161">
        <v>21</v>
      </c>
      <c r="D161" t="s">
        <v>25</v>
      </c>
      <c r="E161" t="s">
        <v>57</v>
      </c>
      <c r="F161" t="s">
        <v>27</v>
      </c>
      <c r="G161" t="s">
        <v>1047</v>
      </c>
      <c r="H161" t="s">
        <v>1060</v>
      </c>
      <c r="I161">
        <v>6000</v>
      </c>
      <c r="J161">
        <v>12</v>
      </c>
      <c r="K161">
        <v>72000</v>
      </c>
      <c r="L161">
        <v>1</v>
      </c>
      <c r="M161">
        <v>2</v>
      </c>
      <c r="N161" t="s">
        <v>1077</v>
      </c>
      <c r="O161">
        <v>90</v>
      </c>
      <c r="P161">
        <v>10</v>
      </c>
      <c r="Q161">
        <v>5</v>
      </c>
      <c r="R161" t="s">
        <v>21</v>
      </c>
      <c r="S161" t="s">
        <v>38</v>
      </c>
      <c r="T161">
        <v>10</v>
      </c>
      <c r="U161">
        <v>2500</v>
      </c>
      <c r="V161" t="s">
        <v>39</v>
      </c>
      <c r="W161" t="s">
        <v>1077</v>
      </c>
      <c r="X161" t="s">
        <v>20</v>
      </c>
      <c r="Y161">
        <v>12</v>
      </c>
    </row>
    <row r="162" spans="1:25">
      <c r="A162" t="s">
        <v>368</v>
      </c>
      <c r="B162" t="s">
        <v>369</v>
      </c>
      <c r="C162">
        <v>26</v>
      </c>
      <c r="D162" t="s">
        <v>46</v>
      </c>
      <c r="E162" t="s">
        <v>47</v>
      </c>
      <c r="F162" t="s">
        <v>31</v>
      </c>
      <c r="G162" t="s">
        <v>1045</v>
      </c>
      <c r="H162" t="s">
        <v>1060</v>
      </c>
      <c r="I162">
        <v>74000</v>
      </c>
      <c r="J162">
        <v>12</v>
      </c>
      <c r="K162">
        <v>888000</v>
      </c>
      <c r="L162">
        <v>5</v>
      </c>
      <c r="M162">
        <v>2</v>
      </c>
      <c r="N162" t="s">
        <v>1077</v>
      </c>
      <c r="O162">
        <v>87</v>
      </c>
      <c r="P162">
        <v>23</v>
      </c>
      <c r="Q162">
        <v>3</v>
      </c>
      <c r="R162" t="s">
        <v>37</v>
      </c>
      <c r="S162" t="s">
        <v>38</v>
      </c>
      <c r="T162">
        <v>10</v>
      </c>
      <c r="U162">
        <v>3000</v>
      </c>
      <c r="V162" t="s">
        <v>39</v>
      </c>
      <c r="W162" t="s">
        <v>1077</v>
      </c>
      <c r="X162" t="s">
        <v>33</v>
      </c>
      <c r="Y162">
        <v>13</v>
      </c>
    </row>
    <row r="163" spans="1:25">
      <c r="A163" t="s">
        <v>370</v>
      </c>
      <c r="B163" t="s">
        <v>371</v>
      </c>
      <c r="C163">
        <v>20</v>
      </c>
      <c r="D163" t="s">
        <v>25</v>
      </c>
      <c r="E163" t="s">
        <v>35</v>
      </c>
      <c r="F163" t="s">
        <v>27</v>
      </c>
      <c r="G163" t="s">
        <v>1047</v>
      </c>
      <c r="H163" t="s">
        <v>1060</v>
      </c>
      <c r="I163">
        <v>9000</v>
      </c>
      <c r="J163">
        <v>12</v>
      </c>
      <c r="K163">
        <v>108000</v>
      </c>
      <c r="L163">
        <v>0</v>
      </c>
      <c r="M163">
        <v>2</v>
      </c>
      <c r="N163" t="s">
        <v>1077</v>
      </c>
      <c r="O163">
        <v>80</v>
      </c>
      <c r="P163">
        <v>5</v>
      </c>
      <c r="Q163">
        <v>7</v>
      </c>
      <c r="R163" t="s">
        <v>21</v>
      </c>
      <c r="S163" t="s">
        <v>19</v>
      </c>
      <c r="T163">
        <v>5</v>
      </c>
      <c r="U163">
        <v>1250</v>
      </c>
      <c r="V163" t="s">
        <v>39</v>
      </c>
      <c r="W163" t="s">
        <v>1077</v>
      </c>
      <c r="X163" t="s">
        <v>20</v>
      </c>
      <c r="Y163">
        <v>12</v>
      </c>
    </row>
    <row r="164" spans="1:25">
      <c r="A164" t="s">
        <v>372</v>
      </c>
      <c r="B164" t="s">
        <v>373</v>
      </c>
      <c r="C164">
        <v>19</v>
      </c>
      <c r="D164" t="s">
        <v>25</v>
      </c>
      <c r="E164" t="s">
        <v>35</v>
      </c>
      <c r="F164" t="s">
        <v>42</v>
      </c>
      <c r="G164" t="s">
        <v>1047</v>
      </c>
      <c r="H164" t="s">
        <v>1060</v>
      </c>
      <c r="I164">
        <v>9000</v>
      </c>
      <c r="J164">
        <v>12</v>
      </c>
      <c r="K164">
        <v>108000</v>
      </c>
      <c r="L164">
        <v>1</v>
      </c>
      <c r="M164">
        <v>4</v>
      </c>
      <c r="N164">
        <v>2700</v>
      </c>
      <c r="O164">
        <v>90</v>
      </c>
      <c r="P164">
        <v>23</v>
      </c>
      <c r="Q164">
        <v>3</v>
      </c>
      <c r="R164" t="s">
        <v>21</v>
      </c>
      <c r="S164" t="s">
        <v>19</v>
      </c>
      <c r="T164">
        <v>25</v>
      </c>
      <c r="U164">
        <v>6250</v>
      </c>
      <c r="V164" t="s">
        <v>22</v>
      </c>
      <c r="W164" t="s">
        <v>1077</v>
      </c>
      <c r="X164" t="s">
        <v>20</v>
      </c>
      <c r="Y164">
        <v>14</v>
      </c>
    </row>
    <row r="165" spans="1:25">
      <c r="A165" t="s">
        <v>374</v>
      </c>
      <c r="B165" t="s">
        <v>375</v>
      </c>
      <c r="C165">
        <v>21</v>
      </c>
      <c r="D165" t="s">
        <v>25</v>
      </c>
      <c r="E165" t="s">
        <v>50</v>
      </c>
      <c r="F165" t="s">
        <v>66</v>
      </c>
      <c r="G165" t="s">
        <v>1047</v>
      </c>
      <c r="H165" t="s">
        <v>1060</v>
      </c>
      <c r="I165">
        <v>9000</v>
      </c>
      <c r="J165">
        <v>12</v>
      </c>
      <c r="K165">
        <v>108000</v>
      </c>
      <c r="L165">
        <v>0</v>
      </c>
      <c r="M165">
        <v>3</v>
      </c>
      <c r="N165">
        <v>2700</v>
      </c>
      <c r="O165">
        <v>87</v>
      </c>
      <c r="P165">
        <v>10</v>
      </c>
      <c r="Q165">
        <v>5</v>
      </c>
      <c r="R165" t="s">
        <v>21</v>
      </c>
      <c r="S165" t="s">
        <v>19</v>
      </c>
      <c r="U165">
        <v>0</v>
      </c>
      <c r="V165" t="s">
        <v>22</v>
      </c>
      <c r="W165" t="s">
        <v>1077</v>
      </c>
      <c r="X165" t="s">
        <v>33</v>
      </c>
      <c r="Y165">
        <v>20</v>
      </c>
    </row>
    <row r="166" spans="1:25">
      <c r="A166" t="s">
        <v>376</v>
      </c>
      <c r="B166" t="s">
        <v>377</v>
      </c>
      <c r="C166">
        <v>21</v>
      </c>
      <c r="D166" t="s">
        <v>46</v>
      </c>
      <c r="E166" t="s">
        <v>57</v>
      </c>
      <c r="F166" t="s">
        <v>42</v>
      </c>
      <c r="G166" t="s">
        <v>1046</v>
      </c>
      <c r="H166" t="s">
        <v>1060</v>
      </c>
      <c r="I166">
        <v>20000</v>
      </c>
      <c r="J166">
        <v>12</v>
      </c>
      <c r="K166">
        <v>240000</v>
      </c>
      <c r="L166">
        <v>0</v>
      </c>
      <c r="M166">
        <v>2</v>
      </c>
      <c r="N166" t="s">
        <v>1077</v>
      </c>
      <c r="O166">
        <v>80</v>
      </c>
      <c r="P166">
        <v>12</v>
      </c>
      <c r="Q166">
        <v>2</v>
      </c>
      <c r="R166" t="s">
        <v>37</v>
      </c>
      <c r="S166" t="s">
        <v>38</v>
      </c>
      <c r="T166">
        <v>10</v>
      </c>
      <c r="U166">
        <v>2500</v>
      </c>
      <c r="V166" t="s">
        <v>39</v>
      </c>
      <c r="W166" t="s">
        <v>1077</v>
      </c>
      <c r="X166" t="s">
        <v>20</v>
      </c>
      <c r="Y166">
        <v>14</v>
      </c>
    </row>
    <row r="167" spans="1:25">
      <c r="A167" t="s">
        <v>378</v>
      </c>
      <c r="B167" t="s">
        <v>379</v>
      </c>
      <c r="C167">
        <v>23</v>
      </c>
      <c r="D167" t="s">
        <v>46</v>
      </c>
      <c r="E167" t="s">
        <v>61</v>
      </c>
      <c r="F167" t="s">
        <v>27</v>
      </c>
      <c r="G167" t="s">
        <v>1046</v>
      </c>
      <c r="H167" t="s">
        <v>1060</v>
      </c>
      <c r="I167">
        <v>29000</v>
      </c>
      <c r="J167">
        <v>12</v>
      </c>
      <c r="K167">
        <v>348000</v>
      </c>
      <c r="L167">
        <v>0</v>
      </c>
      <c r="M167">
        <v>4</v>
      </c>
      <c r="N167">
        <v>8700</v>
      </c>
      <c r="O167">
        <v>90</v>
      </c>
      <c r="P167">
        <v>12</v>
      </c>
      <c r="Q167">
        <v>5</v>
      </c>
      <c r="R167" t="s">
        <v>21</v>
      </c>
      <c r="S167" t="s">
        <v>38</v>
      </c>
      <c r="T167">
        <v>5</v>
      </c>
      <c r="U167">
        <v>1250</v>
      </c>
      <c r="V167" t="s">
        <v>22</v>
      </c>
      <c r="W167" t="s">
        <v>1077</v>
      </c>
      <c r="X167" t="s">
        <v>20</v>
      </c>
      <c r="Y167">
        <v>12</v>
      </c>
    </row>
    <row r="168" spans="1:25">
      <c r="A168" t="s">
        <v>380</v>
      </c>
      <c r="B168" t="s">
        <v>381</v>
      </c>
      <c r="C168">
        <v>20</v>
      </c>
      <c r="D168" t="s">
        <v>25</v>
      </c>
      <c r="E168" t="s">
        <v>65</v>
      </c>
      <c r="F168" t="s">
        <v>36</v>
      </c>
      <c r="G168" t="s">
        <v>1047</v>
      </c>
      <c r="H168" t="s">
        <v>1059</v>
      </c>
      <c r="I168">
        <v>9000</v>
      </c>
      <c r="J168">
        <v>12</v>
      </c>
      <c r="K168">
        <v>108000</v>
      </c>
      <c r="L168">
        <v>0</v>
      </c>
      <c r="M168">
        <v>1</v>
      </c>
      <c r="N168" t="s">
        <v>1077</v>
      </c>
      <c r="O168">
        <v>95</v>
      </c>
      <c r="P168">
        <v>12</v>
      </c>
      <c r="Q168">
        <v>3</v>
      </c>
      <c r="R168" t="s">
        <v>21</v>
      </c>
      <c r="S168" t="s">
        <v>28</v>
      </c>
      <c r="U168">
        <v>0</v>
      </c>
      <c r="V168" t="s">
        <v>39</v>
      </c>
      <c r="W168" t="s">
        <v>1077</v>
      </c>
      <c r="X168" t="s">
        <v>20</v>
      </c>
      <c r="Y168">
        <v>25</v>
      </c>
    </row>
    <row r="169" spans="1:25">
      <c r="A169" t="s">
        <v>382</v>
      </c>
      <c r="B169" t="s">
        <v>383</v>
      </c>
      <c r="C169">
        <v>21</v>
      </c>
      <c r="D169" t="s">
        <v>25</v>
      </c>
      <c r="E169" t="s">
        <v>47</v>
      </c>
      <c r="F169" t="s">
        <v>42</v>
      </c>
      <c r="G169" t="s">
        <v>1046</v>
      </c>
      <c r="H169" t="s">
        <v>1060</v>
      </c>
      <c r="I169">
        <v>24000</v>
      </c>
      <c r="J169">
        <v>12</v>
      </c>
      <c r="K169">
        <v>288000</v>
      </c>
      <c r="L169">
        <v>2</v>
      </c>
      <c r="M169">
        <v>5</v>
      </c>
      <c r="N169">
        <v>7200</v>
      </c>
      <c r="O169">
        <v>80</v>
      </c>
      <c r="P169">
        <v>5</v>
      </c>
      <c r="Q169">
        <v>1</v>
      </c>
      <c r="S169" t="s">
        <v>38</v>
      </c>
      <c r="U169">
        <v>0</v>
      </c>
      <c r="V169" t="s">
        <v>58</v>
      </c>
      <c r="W169" t="s">
        <v>1077</v>
      </c>
      <c r="X169" t="s">
        <v>20</v>
      </c>
      <c r="Y169">
        <v>14</v>
      </c>
    </row>
    <row r="170" spans="1:25">
      <c r="A170" t="s">
        <v>384</v>
      </c>
      <c r="B170" t="s">
        <v>385</v>
      </c>
      <c r="C170">
        <v>20</v>
      </c>
      <c r="D170" t="s">
        <v>25</v>
      </c>
      <c r="E170" t="s">
        <v>61</v>
      </c>
      <c r="F170" t="s">
        <v>36</v>
      </c>
      <c r="G170" t="s">
        <v>1047</v>
      </c>
      <c r="H170" t="s">
        <v>1060</v>
      </c>
      <c r="I170">
        <v>9000</v>
      </c>
      <c r="J170">
        <v>12</v>
      </c>
      <c r="K170">
        <v>108000</v>
      </c>
      <c r="L170">
        <v>1</v>
      </c>
      <c r="M170">
        <v>1</v>
      </c>
      <c r="N170" t="s">
        <v>1077</v>
      </c>
      <c r="O170">
        <v>85</v>
      </c>
      <c r="P170">
        <v>15</v>
      </c>
      <c r="Q170">
        <v>3</v>
      </c>
      <c r="R170" t="s">
        <v>21</v>
      </c>
      <c r="S170" t="s">
        <v>38</v>
      </c>
      <c r="T170">
        <v>10</v>
      </c>
      <c r="U170">
        <v>2500</v>
      </c>
      <c r="V170" t="s">
        <v>39</v>
      </c>
      <c r="W170" t="s">
        <v>1077</v>
      </c>
      <c r="X170" t="s">
        <v>20</v>
      </c>
      <c r="Y170">
        <v>25</v>
      </c>
    </row>
    <row r="171" spans="1:25">
      <c r="A171" t="s">
        <v>386</v>
      </c>
      <c r="B171" t="s">
        <v>387</v>
      </c>
      <c r="C171">
        <v>24</v>
      </c>
      <c r="D171" t="s">
        <v>46</v>
      </c>
      <c r="E171" t="s">
        <v>26</v>
      </c>
      <c r="F171" t="s">
        <v>42</v>
      </c>
      <c r="G171" t="s">
        <v>1048</v>
      </c>
      <c r="H171" t="s">
        <v>1060</v>
      </c>
      <c r="I171">
        <v>65600</v>
      </c>
      <c r="J171">
        <v>12</v>
      </c>
      <c r="K171">
        <v>787200</v>
      </c>
      <c r="L171">
        <v>5</v>
      </c>
      <c r="M171">
        <v>3</v>
      </c>
      <c r="N171">
        <v>19680</v>
      </c>
      <c r="O171">
        <v>80</v>
      </c>
      <c r="P171">
        <v>5</v>
      </c>
      <c r="Q171">
        <v>5</v>
      </c>
      <c r="R171" t="s">
        <v>37</v>
      </c>
      <c r="S171" t="s">
        <v>38</v>
      </c>
      <c r="T171">
        <v>10</v>
      </c>
      <c r="U171">
        <v>3000</v>
      </c>
      <c r="V171" t="s">
        <v>22</v>
      </c>
      <c r="W171" t="s">
        <v>1077</v>
      </c>
      <c r="X171" t="s">
        <v>20</v>
      </c>
      <c r="Y171">
        <v>14</v>
      </c>
    </row>
    <row r="172" spans="1:25">
      <c r="A172" t="s">
        <v>388</v>
      </c>
      <c r="B172" t="s">
        <v>389</v>
      </c>
      <c r="C172">
        <v>25</v>
      </c>
      <c r="D172" t="s">
        <v>25</v>
      </c>
      <c r="E172" t="s">
        <v>65</v>
      </c>
      <c r="F172" t="s">
        <v>18</v>
      </c>
      <c r="G172" t="s">
        <v>43</v>
      </c>
      <c r="H172" t="s">
        <v>1059</v>
      </c>
      <c r="I172">
        <v>24000</v>
      </c>
      <c r="J172">
        <v>12</v>
      </c>
      <c r="K172">
        <v>288000</v>
      </c>
      <c r="L172">
        <v>1</v>
      </c>
      <c r="M172">
        <v>1</v>
      </c>
      <c r="N172" t="s">
        <v>1077</v>
      </c>
      <c r="O172">
        <v>95</v>
      </c>
      <c r="P172">
        <v>15</v>
      </c>
      <c r="Q172">
        <v>3</v>
      </c>
      <c r="R172" t="s">
        <v>37</v>
      </c>
      <c r="S172" t="s">
        <v>28</v>
      </c>
      <c r="U172">
        <v>0</v>
      </c>
      <c r="V172" t="s">
        <v>39</v>
      </c>
      <c r="W172" t="s">
        <v>1077</v>
      </c>
      <c r="X172" t="s">
        <v>20</v>
      </c>
      <c r="Y172">
        <v>10</v>
      </c>
    </row>
    <row r="173" spans="1:25">
      <c r="A173" t="s">
        <v>390</v>
      </c>
      <c r="B173" t="s">
        <v>391</v>
      </c>
      <c r="C173">
        <v>33</v>
      </c>
      <c r="D173" t="s">
        <v>25</v>
      </c>
      <c r="E173" t="s">
        <v>26</v>
      </c>
      <c r="F173" t="s">
        <v>31</v>
      </c>
      <c r="G173" t="s">
        <v>82</v>
      </c>
      <c r="H173" t="s">
        <v>1060</v>
      </c>
      <c r="I173">
        <v>88000</v>
      </c>
      <c r="J173">
        <v>12</v>
      </c>
      <c r="K173">
        <v>1056000</v>
      </c>
      <c r="L173">
        <v>7</v>
      </c>
      <c r="M173">
        <v>3</v>
      </c>
      <c r="N173">
        <v>26400</v>
      </c>
      <c r="O173">
        <v>95</v>
      </c>
      <c r="P173">
        <v>12</v>
      </c>
      <c r="Q173">
        <v>12</v>
      </c>
      <c r="R173" t="s">
        <v>21</v>
      </c>
      <c r="S173" t="s">
        <v>38</v>
      </c>
      <c r="T173">
        <v>10</v>
      </c>
      <c r="U173">
        <v>3500</v>
      </c>
      <c r="V173" t="s">
        <v>22</v>
      </c>
      <c r="W173" t="s">
        <v>1077</v>
      </c>
      <c r="X173" t="s">
        <v>33</v>
      </c>
      <c r="Y173">
        <v>13</v>
      </c>
    </row>
    <row r="174" spans="1:25">
      <c r="A174" t="s">
        <v>392</v>
      </c>
      <c r="B174" t="s">
        <v>393</v>
      </c>
      <c r="C174">
        <v>49</v>
      </c>
      <c r="D174" t="s">
        <v>25</v>
      </c>
      <c r="E174" t="s">
        <v>26</v>
      </c>
      <c r="F174" t="s">
        <v>66</v>
      </c>
      <c r="G174" t="s">
        <v>1050</v>
      </c>
      <c r="H174" t="s">
        <v>1060</v>
      </c>
      <c r="I174">
        <v>140000</v>
      </c>
      <c r="J174">
        <v>12</v>
      </c>
      <c r="K174">
        <v>1680000</v>
      </c>
      <c r="L174">
        <v>17</v>
      </c>
      <c r="M174">
        <v>2</v>
      </c>
      <c r="N174" t="s">
        <v>1077</v>
      </c>
      <c r="O174">
        <v>80</v>
      </c>
      <c r="P174">
        <v>15</v>
      </c>
      <c r="Q174">
        <v>1</v>
      </c>
      <c r="R174" t="s">
        <v>37</v>
      </c>
      <c r="S174" t="s">
        <v>38</v>
      </c>
      <c r="U174" t="s">
        <v>1077</v>
      </c>
      <c r="V174" t="s">
        <v>39</v>
      </c>
      <c r="W174" t="s">
        <v>1077</v>
      </c>
      <c r="X174" t="s">
        <v>33</v>
      </c>
      <c r="Y174">
        <v>20</v>
      </c>
    </row>
    <row r="175" spans="1:25">
      <c r="A175" t="s">
        <v>394</v>
      </c>
      <c r="B175" t="s">
        <v>395</v>
      </c>
      <c r="C175">
        <v>20</v>
      </c>
      <c r="D175" t="s">
        <v>25</v>
      </c>
      <c r="E175" t="s">
        <v>17</v>
      </c>
      <c r="F175" t="s">
        <v>36</v>
      </c>
      <c r="G175" t="s">
        <v>1046</v>
      </c>
      <c r="H175" t="s">
        <v>1060</v>
      </c>
      <c r="I175">
        <v>20000</v>
      </c>
      <c r="J175">
        <v>12</v>
      </c>
      <c r="K175">
        <v>240000</v>
      </c>
      <c r="L175">
        <v>1</v>
      </c>
      <c r="M175">
        <v>4</v>
      </c>
      <c r="N175">
        <v>6000</v>
      </c>
      <c r="O175">
        <v>80</v>
      </c>
      <c r="P175">
        <v>5</v>
      </c>
      <c r="Q175">
        <v>1</v>
      </c>
      <c r="R175" t="s">
        <v>37</v>
      </c>
      <c r="S175" t="s">
        <v>19</v>
      </c>
      <c r="T175">
        <v>20</v>
      </c>
      <c r="U175">
        <v>5000</v>
      </c>
      <c r="V175" t="s">
        <v>22</v>
      </c>
      <c r="W175" t="s">
        <v>1077</v>
      </c>
      <c r="X175" t="s">
        <v>20</v>
      </c>
      <c r="Y175">
        <v>25</v>
      </c>
    </row>
    <row r="176" spans="1:25">
      <c r="A176" t="s">
        <v>396</v>
      </c>
      <c r="B176" t="s">
        <v>397</v>
      </c>
      <c r="C176">
        <v>35</v>
      </c>
      <c r="D176" t="s">
        <v>25</v>
      </c>
      <c r="E176" t="s">
        <v>64</v>
      </c>
      <c r="F176" t="s">
        <v>66</v>
      </c>
      <c r="G176" t="s">
        <v>82</v>
      </c>
      <c r="H176" t="s">
        <v>1060</v>
      </c>
      <c r="I176">
        <v>87000</v>
      </c>
      <c r="J176">
        <v>12</v>
      </c>
      <c r="K176">
        <v>1044000</v>
      </c>
      <c r="L176">
        <v>9</v>
      </c>
      <c r="M176">
        <v>1</v>
      </c>
      <c r="N176" t="s">
        <v>1077</v>
      </c>
      <c r="O176">
        <v>85</v>
      </c>
      <c r="P176">
        <v>15</v>
      </c>
      <c r="Q176">
        <v>1</v>
      </c>
      <c r="R176" t="s">
        <v>21</v>
      </c>
      <c r="S176" t="s">
        <v>38</v>
      </c>
      <c r="T176">
        <v>5</v>
      </c>
      <c r="U176">
        <v>1750</v>
      </c>
      <c r="V176" t="s">
        <v>39</v>
      </c>
      <c r="W176" t="s">
        <v>1077</v>
      </c>
      <c r="X176" t="s">
        <v>33</v>
      </c>
      <c r="Y176">
        <v>20</v>
      </c>
    </row>
    <row r="177" spans="1:25">
      <c r="A177" t="s">
        <v>398</v>
      </c>
      <c r="B177" t="s">
        <v>399</v>
      </c>
      <c r="C177">
        <v>40</v>
      </c>
      <c r="D177" t="s">
        <v>1077</v>
      </c>
      <c r="E177" t="s">
        <v>17</v>
      </c>
      <c r="F177" t="s">
        <v>36</v>
      </c>
      <c r="G177" t="s">
        <v>1050</v>
      </c>
      <c r="H177" t="s">
        <v>1060</v>
      </c>
      <c r="I177">
        <v>145000</v>
      </c>
      <c r="J177">
        <v>12</v>
      </c>
      <c r="K177">
        <v>1740000</v>
      </c>
      <c r="L177">
        <v>20</v>
      </c>
      <c r="M177">
        <v>4</v>
      </c>
      <c r="N177">
        <v>43500</v>
      </c>
      <c r="O177">
        <v>95</v>
      </c>
      <c r="P177">
        <v>12</v>
      </c>
      <c r="Q177">
        <v>5</v>
      </c>
      <c r="R177" t="s">
        <v>37</v>
      </c>
      <c r="S177" t="s">
        <v>19</v>
      </c>
      <c r="U177" t="s">
        <v>1077</v>
      </c>
      <c r="V177" t="s">
        <v>22</v>
      </c>
      <c r="W177" t="s">
        <v>1077</v>
      </c>
      <c r="X177" t="s">
        <v>20</v>
      </c>
      <c r="Y177">
        <v>25</v>
      </c>
    </row>
    <row r="178" spans="1:25">
      <c r="A178" t="s">
        <v>400</v>
      </c>
      <c r="B178" t="s">
        <v>401</v>
      </c>
      <c r="C178">
        <v>23</v>
      </c>
      <c r="D178" t="s">
        <v>25</v>
      </c>
      <c r="E178" t="s">
        <v>73</v>
      </c>
      <c r="F178" t="s">
        <v>42</v>
      </c>
      <c r="G178" t="s">
        <v>43</v>
      </c>
      <c r="H178" t="s">
        <v>1060</v>
      </c>
      <c r="I178">
        <v>28000</v>
      </c>
      <c r="J178">
        <v>12</v>
      </c>
      <c r="K178">
        <v>336000</v>
      </c>
      <c r="L178">
        <v>2</v>
      </c>
      <c r="M178">
        <v>4</v>
      </c>
      <c r="N178">
        <v>8400</v>
      </c>
      <c r="O178">
        <v>95</v>
      </c>
      <c r="P178">
        <v>5</v>
      </c>
      <c r="Q178">
        <v>2</v>
      </c>
      <c r="R178" t="s">
        <v>21</v>
      </c>
      <c r="S178" t="s">
        <v>38</v>
      </c>
      <c r="U178">
        <v>0</v>
      </c>
      <c r="V178" t="s">
        <v>22</v>
      </c>
      <c r="W178" t="s">
        <v>1077</v>
      </c>
      <c r="X178" t="s">
        <v>20</v>
      </c>
      <c r="Y178">
        <v>14</v>
      </c>
    </row>
    <row r="179" spans="1:25">
      <c r="A179" t="s">
        <v>402</v>
      </c>
      <c r="B179" t="s">
        <v>403</v>
      </c>
      <c r="C179">
        <v>31</v>
      </c>
      <c r="D179" t="s">
        <v>1077</v>
      </c>
      <c r="E179" t="s">
        <v>57</v>
      </c>
      <c r="F179" t="s">
        <v>66</v>
      </c>
      <c r="G179" t="s">
        <v>82</v>
      </c>
      <c r="H179" t="s">
        <v>1060</v>
      </c>
      <c r="I179">
        <v>87000</v>
      </c>
      <c r="J179">
        <v>12</v>
      </c>
      <c r="K179">
        <v>1044000</v>
      </c>
      <c r="L179">
        <v>7</v>
      </c>
      <c r="M179">
        <v>4</v>
      </c>
      <c r="N179">
        <v>26100</v>
      </c>
      <c r="O179">
        <v>80</v>
      </c>
      <c r="P179">
        <v>15</v>
      </c>
      <c r="Q179">
        <v>2</v>
      </c>
      <c r="R179" t="s">
        <v>21</v>
      </c>
      <c r="S179" t="s">
        <v>38</v>
      </c>
      <c r="T179">
        <v>20</v>
      </c>
      <c r="U179">
        <v>7000</v>
      </c>
      <c r="V179" t="s">
        <v>22</v>
      </c>
      <c r="W179" t="s">
        <v>1077</v>
      </c>
      <c r="X179" t="s">
        <v>33</v>
      </c>
      <c r="Y179">
        <v>20</v>
      </c>
    </row>
    <row r="180" spans="1:25">
      <c r="A180" t="s">
        <v>404</v>
      </c>
      <c r="B180" t="s">
        <v>405</v>
      </c>
      <c r="C180">
        <v>25</v>
      </c>
      <c r="D180" t="s">
        <v>25</v>
      </c>
      <c r="E180" t="s">
        <v>73</v>
      </c>
      <c r="F180" t="s">
        <v>42</v>
      </c>
      <c r="G180" t="s">
        <v>43</v>
      </c>
      <c r="H180" t="s">
        <v>1060</v>
      </c>
      <c r="I180">
        <v>28000</v>
      </c>
      <c r="J180">
        <v>12</v>
      </c>
      <c r="K180">
        <v>336000</v>
      </c>
      <c r="L180">
        <v>2</v>
      </c>
      <c r="M180">
        <v>1</v>
      </c>
      <c r="N180" t="s">
        <v>1077</v>
      </c>
      <c r="O180">
        <v>80</v>
      </c>
      <c r="P180">
        <v>12</v>
      </c>
      <c r="Q180">
        <v>7</v>
      </c>
      <c r="S180" t="s">
        <v>38</v>
      </c>
      <c r="T180">
        <v>10</v>
      </c>
      <c r="U180">
        <v>2500</v>
      </c>
      <c r="V180" t="s">
        <v>39</v>
      </c>
      <c r="W180" t="s">
        <v>1077</v>
      </c>
      <c r="X180" t="s">
        <v>20</v>
      </c>
      <c r="Y180">
        <v>14</v>
      </c>
    </row>
    <row r="181" spans="1:25">
      <c r="A181" t="s">
        <v>406</v>
      </c>
      <c r="B181" t="s">
        <v>407</v>
      </c>
      <c r="C181">
        <v>21</v>
      </c>
      <c r="D181" t="s">
        <v>46</v>
      </c>
      <c r="E181" t="s">
        <v>64</v>
      </c>
      <c r="F181" t="s">
        <v>18</v>
      </c>
      <c r="G181" t="s">
        <v>1046</v>
      </c>
      <c r="H181" t="s">
        <v>1060</v>
      </c>
      <c r="I181">
        <v>29000</v>
      </c>
      <c r="J181">
        <v>12</v>
      </c>
      <c r="K181">
        <v>348000</v>
      </c>
      <c r="L181">
        <v>1</v>
      </c>
      <c r="M181">
        <v>3</v>
      </c>
      <c r="N181">
        <v>8700</v>
      </c>
      <c r="O181">
        <v>95</v>
      </c>
      <c r="P181">
        <v>5</v>
      </c>
      <c r="Q181">
        <v>2</v>
      </c>
      <c r="R181" t="s">
        <v>37</v>
      </c>
      <c r="S181" t="s">
        <v>19</v>
      </c>
      <c r="T181">
        <v>10</v>
      </c>
      <c r="U181">
        <v>2500</v>
      </c>
      <c r="V181" t="s">
        <v>22</v>
      </c>
      <c r="W181" t="s">
        <v>1077</v>
      </c>
      <c r="X181" t="s">
        <v>20</v>
      </c>
      <c r="Y181">
        <v>10</v>
      </c>
    </row>
    <row r="182" spans="1:25">
      <c r="A182" t="s">
        <v>408</v>
      </c>
      <c r="B182" t="s">
        <v>409</v>
      </c>
      <c r="C182">
        <v>23</v>
      </c>
      <c r="D182" t="s">
        <v>25</v>
      </c>
      <c r="E182" t="s">
        <v>57</v>
      </c>
      <c r="F182" t="s">
        <v>66</v>
      </c>
      <c r="G182" t="s">
        <v>43</v>
      </c>
      <c r="H182" t="s">
        <v>1060</v>
      </c>
      <c r="I182">
        <v>24000</v>
      </c>
      <c r="J182">
        <v>12</v>
      </c>
      <c r="K182">
        <v>288000</v>
      </c>
      <c r="L182">
        <v>1</v>
      </c>
      <c r="M182">
        <v>3</v>
      </c>
      <c r="N182">
        <v>7200</v>
      </c>
      <c r="O182">
        <v>87</v>
      </c>
      <c r="P182">
        <v>10</v>
      </c>
      <c r="Q182">
        <v>3</v>
      </c>
      <c r="R182" t="s">
        <v>21</v>
      </c>
      <c r="S182" t="s">
        <v>38</v>
      </c>
      <c r="T182">
        <v>5</v>
      </c>
      <c r="U182">
        <v>1250</v>
      </c>
      <c r="V182" t="s">
        <v>22</v>
      </c>
      <c r="W182" t="s">
        <v>1077</v>
      </c>
      <c r="X182" t="s">
        <v>33</v>
      </c>
      <c r="Y182">
        <v>20</v>
      </c>
    </row>
    <row r="183" spans="1:25">
      <c r="A183" t="s">
        <v>410</v>
      </c>
      <c r="B183" t="s">
        <v>411</v>
      </c>
      <c r="C183">
        <v>22</v>
      </c>
      <c r="D183" t="s">
        <v>1077</v>
      </c>
      <c r="E183" t="s">
        <v>57</v>
      </c>
      <c r="F183" t="s">
        <v>36</v>
      </c>
      <c r="G183" t="s">
        <v>1046</v>
      </c>
      <c r="H183" t="s">
        <v>1060</v>
      </c>
      <c r="I183">
        <v>20000</v>
      </c>
      <c r="J183">
        <v>12</v>
      </c>
      <c r="K183">
        <v>240000</v>
      </c>
      <c r="L183">
        <v>2</v>
      </c>
      <c r="M183">
        <v>4</v>
      </c>
      <c r="N183">
        <v>6000</v>
      </c>
      <c r="O183">
        <v>80</v>
      </c>
      <c r="P183">
        <v>5</v>
      </c>
      <c r="Q183">
        <v>1</v>
      </c>
      <c r="R183" t="s">
        <v>37</v>
      </c>
      <c r="S183" t="s">
        <v>19</v>
      </c>
      <c r="T183">
        <v>20</v>
      </c>
      <c r="U183">
        <v>5000</v>
      </c>
      <c r="V183" t="s">
        <v>58</v>
      </c>
      <c r="W183" t="s">
        <v>1077</v>
      </c>
      <c r="X183" t="s">
        <v>20</v>
      </c>
      <c r="Y183">
        <v>25</v>
      </c>
    </row>
    <row r="184" spans="1:25">
      <c r="A184" t="s">
        <v>412</v>
      </c>
      <c r="B184" t="s">
        <v>413</v>
      </c>
      <c r="C184">
        <v>22</v>
      </c>
      <c r="D184" t="s">
        <v>25</v>
      </c>
      <c r="E184" t="s">
        <v>17</v>
      </c>
      <c r="F184" t="s">
        <v>66</v>
      </c>
      <c r="G184" t="s">
        <v>1046</v>
      </c>
      <c r="H184" t="s">
        <v>1060</v>
      </c>
      <c r="I184">
        <v>20000</v>
      </c>
      <c r="J184">
        <v>12</v>
      </c>
      <c r="K184">
        <v>240000</v>
      </c>
      <c r="L184">
        <v>2</v>
      </c>
      <c r="M184">
        <v>2</v>
      </c>
      <c r="N184" t="s">
        <v>1077</v>
      </c>
      <c r="O184">
        <v>80</v>
      </c>
      <c r="P184">
        <v>12</v>
      </c>
      <c r="Q184">
        <v>2</v>
      </c>
      <c r="R184" t="s">
        <v>21</v>
      </c>
      <c r="S184" t="s">
        <v>38</v>
      </c>
      <c r="T184">
        <v>20</v>
      </c>
      <c r="U184">
        <v>5000</v>
      </c>
      <c r="V184" t="s">
        <v>39</v>
      </c>
      <c r="W184" t="s">
        <v>1077</v>
      </c>
      <c r="X184" t="s">
        <v>33</v>
      </c>
      <c r="Y184">
        <v>20</v>
      </c>
    </row>
    <row r="185" spans="1:25">
      <c r="A185" t="s">
        <v>414</v>
      </c>
      <c r="B185" t="s">
        <v>415</v>
      </c>
      <c r="C185">
        <v>20</v>
      </c>
      <c r="D185" t="s">
        <v>25</v>
      </c>
      <c r="E185" t="s">
        <v>17</v>
      </c>
      <c r="F185" t="s">
        <v>18</v>
      </c>
      <c r="G185" t="s">
        <v>1046</v>
      </c>
      <c r="H185" t="s">
        <v>1060</v>
      </c>
      <c r="I185">
        <v>29000</v>
      </c>
      <c r="J185">
        <v>12</v>
      </c>
      <c r="K185">
        <v>348000</v>
      </c>
      <c r="L185">
        <v>1</v>
      </c>
      <c r="M185">
        <v>5</v>
      </c>
      <c r="N185">
        <v>8700</v>
      </c>
      <c r="O185">
        <v>90</v>
      </c>
      <c r="P185">
        <v>12</v>
      </c>
      <c r="Q185">
        <v>10</v>
      </c>
      <c r="S185" t="s">
        <v>19</v>
      </c>
      <c r="T185">
        <v>10</v>
      </c>
      <c r="U185">
        <v>2500</v>
      </c>
      <c r="V185" t="s">
        <v>58</v>
      </c>
      <c r="W185" t="s">
        <v>1077</v>
      </c>
      <c r="X185" t="s">
        <v>20</v>
      </c>
      <c r="Y185">
        <v>10</v>
      </c>
    </row>
    <row r="186" spans="1:25">
      <c r="A186" t="s">
        <v>416</v>
      </c>
      <c r="B186" t="s">
        <v>417</v>
      </c>
      <c r="C186">
        <v>23</v>
      </c>
      <c r="D186" t="s">
        <v>1077</v>
      </c>
      <c r="E186" t="s">
        <v>35</v>
      </c>
      <c r="F186" t="s">
        <v>27</v>
      </c>
      <c r="G186" t="s">
        <v>1046</v>
      </c>
      <c r="H186" t="s">
        <v>1060</v>
      </c>
      <c r="I186">
        <v>20000</v>
      </c>
      <c r="J186">
        <v>12</v>
      </c>
      <c r="K186">
        <v>240000</v>
      </c>
      <c r="L186">
        <v>1</v>
      </c>
      <c r="M186">
        <v>1</v>
      </c>
      <c r="N186" t="s">
        <v>1077</v>
      </c>
      <c r="O186">
        <v>95</v>
      </c>
      <c r="P186">
        <v>12</v>
      </c>
      <c r="Q186">
        <v>5</v>
      </c>
      <c r="R186" t="s">
        <v>21</v>
      </c>
      <c r="S186" t="s">
        <v>38</v>
      </c>
      <c r="U186">
        <v>0</v>
      </c>
      <c r="V186" t="s">
        <v>39</v>
      </c>
      <c r="W186" t="s">
        <v>1077</v>
      </c>
      <c r="X186" t="s">
        <v>20</v>
      </c>
      <c r="Y186">
        <v>12</v>
      </c>
    </row>
    <row r="187" spans="1:25">
      <c r="A187" t="s">
        <v>418</v>
      </c>
      <c r="B187" t="s">
        <v>419</v>
      </c>
      <c r="C187">
        <v>22</v>
      </c>
      <c r="D187" t="s">
        <v>46</v>
      </c>
      <c r="E187" t="s">
        <v>35</v>
      </c>
      <c r="F187" t="s">
        <v>36</v>
      </c>
      <c r="G187" t="s">
        <v>1046</v>
      </c>
      <c r="H187" t="s">
        <v>1060</v>
      </c>
      <c r="I187">
        <v>29000</v>
      </c>
      <c r="J187">
        <v>12</v>
      </c>
      <c r="K187">
        <v>348000</v>
      </c>
      <c r="L187">
        <v>0</v>
      </c>
      <c r="M187">
        <v>4</v>
      </c>
      <c r="N187">
        <v>8700</v>
      </c>
      <c r="O187">
        <v>80</v>
      </c>
      <c r="P187">
        <v>15</v>
      </c>
      <c r="Q187">
        <v>5</v>
      </c>
      <c r="S187" t="s">
        <v>38</v>
      </c>
      <c r="T187">
        <v>5</v>
      </c>
      <c r="U187">
        <v>1250</v>
      </c>
      <c r="V187" t="s">
        <v>22</v>
      </c>
      <c r="W187" t="s">
        <v>1077</v>
      </c>
      <c r="X187" t="s">
        <v>20</v>
      </c>
      <c r="Y187">
        <v>25</v>
      </c>
    </row>
    <row r="188" spans="1:25">
      <c r="A188" t="s">
        <v>420</v>
      </c>
      <c r="B188" t="s">
        <v>421</v>
      </c>
      <c r="C188">
        <v>28</v>
      </c>
      <c r="D188" t="s">
        <v>46</v>
      </c>
      <c r="E188" t="s">
        <v>50</v>
      </c>
      <c r="F188" t="s">
        <v>18</v>
      </c>
      <c r="G188" t="s">
        <v>1048</v>
      </c>
      <c r="H188" t="s">
        <v>1060</v>
      </c>
      <c r="I188">
        <v>55000</v>
      </c>
      <c r="J188">
        <v>12</v>
      </c>
      <c r="K188">
        <v>660000</v>
      </c>
      <c r="L188">
        <v>3</v>
      </c>
      <c r="M188">
        <v>4</v>
      </c>
      <c r="N188">
        <v>16500</v>
      </c>
      <c r="O188">
        <v>80</v>
      </c>
      <c r="P188">
        <v>10</v>
      </c>
      <c r="Q188">
        <v>2</v>
      </c>
      <c r="R188" t="s">
        <v>21</v>
      </c>
      <c r="S188" t="s">
        <v>38</v>
      </c>
      <c r="T188">
        <v>5</v>
      </c>
      <c r="U188">
        <v>1500</v>
      </c>
      <c r="V188" t="s">
        <v>22</v>
      </c>
      <c r="W188" t="s">
        <v>1077</v>
      </c>
      <c r="X188" t="s">
        <v>20</v>
      </c>
      <c r="Y188">
        <v>10</v>
      </c>
    </row>
    <row r="189" spans="1:25">
      <c r="A189" t="s">
        <v>422</v>
      </c>
      <c r="B189" t="s">
        <v>423</v>
      </c>
      <c r="C189">
        <v>24</v>
      </c>
      <c r="D189" t="s">
        <v>25</v>
      </c>
      <c r="E189" t="s">
        <v>17</v>
      </c>
      <c r="F189" t="s">
        <v>18</v>
      </c>
      <c r="G189" t="s">
        <v>1046</v>
      </c>
      <c r="H189" t="s">
        <v>1060</v>
      </c>
      <c r="I189">
        <v>29000</v>
      </c>
      <c r="J189">
        <v>12</v>
      </c>
      <c r="K189">
        <v>348000</v>
      </c>
      <c r="L189">
        <v>0</v>
      </c>
      <c r="M189">
        <v>2</v>
      </c>
      <c r="N189" t="s">
        <v>1077</v>
      </c>
      <c r="O189">
        <v>95</v>
      </c>
      <c r="P189">
        <v>12</v>
      </c>
      <c r="Q189">
        <v>11</v>
      </c>
      <c r="S189" t="s">
        <v>38</v>
      </c>
      <c r="T189">
        <v>10</v>
      </c>
      <c r="U189">
        <v>2500</v>
      </c>
      <c r="V189" t="s">
        <v>39</v>
      </c>
      <c r="W189" t="s">
        <v>1077</v>
      </c>
      <c r="X189" t="s">
        <v>20</v>
      </c>
      <c r="Y189">
        <v>10</v>
      </c>
    </row>
    <row r="190" spans="1:25">
      <c r="A190" t="s">
        <v>424</v>
      </c>
      <c r="B190" t="s">
        <v>425</v>
      </c>
      <c r="C190">
        <v>40</v>
      </c>
      <c r="D190" t="s">
        <v>25</v>
      </c>
      <c r="E190" t="s">
        <v>26</v>
      </c>
      <c r="F190" t="s">
        <v>36</v>
      </c>
      <c r="G190" t="s">
        <v>32</v>
      </c>
      <c r="H190" t="s">
        <v>1060</v>
      </c>
      <c r="I190">
        <v>90000</v>
      </c>
      <c r="J190">
        <v>12</v>
      </c>
      <c r="K190">
        <v>1080000</v>
      </c>
      <c r="L190">
        <v>12</v>
      </c>
      <c r="M190">
        <v>5</v>
      </c>
      <c r="N190">
        <v>27000</v>
      </c>
      <c r="O190">
        <v>87</v>
      </c>
      <c r="P190">
        <v>12</v>
      </c>
      <c r="Q190">
        <v>3</v>
      </c>
      <c r="S190" t="s">
        <v>19</v>
      </c>
      <c r="T190">
        <v>5</v>
      </c>
      <c r="U190">
        <v>1750</v>
      </c>
      <c r="V190" t="s">
        <v>58</v>
      </c>
      <c r="W190" t="s">
        <v>1077</v>
      </c>
      <c r="X190" t="s">
        <v>20</v>
      </c>
      <c r="Y190">
        <v>25</v>
      </c>
    </row>
    <row r="191" spans="1:25">
      <c r="A191" t="s">
        <v>426</v>
      </c>
      <c r="B191" t="s">
        <v>427</v>
      </c>
      <c r="C191">
        <v>23</v>
      </c>
      <c r="D191" t="s">
        <v>25</v>
      </c>
      <c r="E191" t="s">
        <v>26</v>
      </c>
      <c r="F191" t="s">
        <v>31</v>
      </c>
      <c r="G191" t="s">
        <v>1046</v>
      </c>
      <c r="H191" t="s">
        <v>1060</v>
      </c>
      <c r="I191">
        <v>29000</v>
      </c>
      <c r="J191">
        <v>12</v>
      </c>
      <c r="K191">
        <v>348000</v>
      </c>
      <c r="L191">
        <v>0</v>
      </c>
      <c r="M191">
        <v>5</v>
      </c>
      <c r="N191">
        <v>8700</v>
      </c>
      <c r="O191">
        <v>85</v>
      </c>
      <c r="P191">
        <v>10</v>
      </c>
      <c r="Q191">
        <v>3</v>
      </c>
      <c r="S191" t="s">
        <v>19</v>
      </c>
      <c r="T191">
        <v>20</v>
      </c>
      <c r="U191">
        <v>5000</v>
      </c>
      <c r="V191" t="s">
        <v>58</v>
      </c>
      <c r="W191" t="s">
        <v>1077</v>
      </c>
      <c r="X191" t="s">
        <v>33</v>
      </c>
      <c r="Y191">
        <v>13</v>
      </c>
    </row>
    <row r="192" spans="1:25">
      <c r="A192" t="s">
        <v>428</v>
      </c>
      <c r="B192" t="s">
        <v>429</v>
      </c>
      <c r="C192">
        <v>23</v>
      </c>
      <c r="D192" t="s">
        <v>46</v>
      </c>
      <c r="E192" t="s">
        <v>64</v>
      </c>
      <c r="F192" t="s">
        <v>36</v>
      </c>
      <c r="G192" t="s">
        <v>1046</v>
      </c>
      <c r="H192" t="s">
        <v>1060</v>
      </c>
      <c r="I192">
        <v>29000</v>
      </c>
      <c r="J192">
        <v>12</v>
      </c>
      <c r="K192">
        <v>348000</v>
      </c>
      <c r="L192">
        <v>2</v>
      </c>
      <c r="M192">
        <v>2</v>
      </c>
      <c r="N192" t="s">
        <v>1077</v>
      </c>
      <c r="O192">
        <v>85</v>
      </c>
      <c r="P192">
        <v>12</v>
      </c>
      <c r="Q192">
        <v>3</v>
      </c>
      <c r="R192" t="s">
        <v>21</v>
      </c>
      <c r="S192" t="s">
        <v>19</v>
      </c>
      <c r="T192">
        <v>20</v>
      </c>
      <c r="U192">
        <v>5000</v>
      </c>
      <c r="V192" t="s">
        <v>39</v>
      </c>
      <c r="W192" t="s">
        <v>1077</v>
      </c>
      <c r="X192" t="s">
        <v>20</v>
      </c>
      <c r="Y192">
        <v>25</v>
      </c>
    </row>
    <row r="193" spans="1:25">
      <c r="A193" t="s">
        <v>430</v>
      </c>
      <c r="B193" t="s">
        <v>431</v>
      </c>
      <c r="C193">
        <v>20</v>
      </c>
      <c r="D193" t="s">
        <v>1077</v>
      </c>
      <c r="E193" t="s">
        <v>65</v>
      </c>
      <c r="F193" t="s">
        <v>31</v>
      </c>
      <c r="G193" t="s">
        <v>1046</v>
      </c>
      <c r="H193" t="s">
        <v>1060</v>
      </c>
      <c r="I193">
        <v>29000</v>
      </c>
      <c r="J193">
        <v>12</v>
      </c>
      <c r="K193">
        <v>348000</v>
      </c>
      <c r="L193">
        <v>1</v>
      </c>
      <c r="M193">
        <v>4</v>
      </c>
      <c r="N193">
        <v>8700</v>
      </c>
      <c r="O193">
        <v>95</v>
      </c>
      <c r="P193">
        <v>12</v>
      </c>
      <c r="Q193">
        <v>5</v>
      </c>
      <c r="R193" t="s">
        <v>21</v>
      </c>
      <c r="S193" t="s">
        <v>38</v>
      </c>
      <c r="U193">
        <v>0</v>
      </c>
      <c r="V193" t="s">
        <v>22</v>
      </c>
      <c r="W193" t="s">
        <v>1077</v>
      </c>
      <c r="X193" t="s">
        <v>33</v>
      </c>
      <c r="Y193">
        <v>13</v>
      </c>
    </row>
    <row r="194" spans="1:25">
      <c r="A194" t="s">
        <v>432</v>
      </c>
      <c r="B194" t="s">
        <v>433</v>
      </c>
      <c r="C194">
        <v>22</v>
      </c>
      <c r="D194" t="s">
        <v>1077</v>
      </c>
      <c r="E194" t="s">
        <v>50</v>
      </c>
      <c r="F194" t="s">
        <v>42</v>
      </c>
      <c r="G194" t="s">
        <v>1046</v>
      </c>
      <c r="H194" t="s">
        <v>1060</v>
      </c>
      <c r="I194">
        <v>29000</v>
      </c>
      <c r="J194">
        <v>12</v>
      </c>
      <c r="K194">
        <v>348000</v>
      </c>
      <c r="L194">
        <v>0</v>
      </c>
      <c r="M194">
        <v>3</v>
      </c>
      <c r="N194">
        <v>8700</v>
      </c>
      <c r="O194">
        <v>90</v>
      </c>
      <c r="P194">
        <v>5</v>
      </c>
      <c r="Q194">
        <v>5</v>
      </c>
      <c r="R194" t="s">
        <v>37</v>
      </c>
      <c r="S194" t="s">
        <v>38</v>
      </c>
      <c r="U194">
        <v>0</v>
      </c>
      <c r="V194" t="s">
        <v>22</v>
      </c>
      <c r="W194" t="s">
        <v>1077</v>
      </c>
      <c r="X194" t="s">
        <v>20</v>
      </c>
      <c r="Y194">
        <v>14</v>
      </c>
    </row>
    <row r="195" spans="1:25">
      <c r="A195" t="s">
        <v>434</v>
      </c>
      <c r="B195" t="s">
        <v>435</v>
      </c>
      <c r="C195">
        <v>20</v>
      </c>
      <c r="D195" t="s">
        <v>46</v>
      </c>
      <c r="E195" t="s">
        <v>47</v>
      </c>
      <c r="F195" t="s">
        <v>36</v>
      </c>
      <c r="G195" t="s">
        <v>1046</v>
      </c>
      <c r="H195" t="s">
        <v>1060</v>
      </c>
      <c r="I195">
        <v>29000</v>
      </c>
      <c r="J195">
        <v>12</v>
      </c>
      <c r="K195">
        <v>348000</v>
      </c>
      <c r="L195">
        <v>0</v>
      </c>
      <c r="M195">
        <v>3</v>
      </c>
      <c r="N195">
        <v>8700</v>
      </c>
      <c r="O195">
        <v>85</v>
      </c>
      <c r="P195">
        <v>15</v>
      </c>
      <c r="Q195">
        <v>1</v>
      </c>
      <c r="R195" t="s">
        <v>37</v>
      </c>
      <c r="S195" t="s">
        <v>19</v>
      </c>
      <c r="T195">
        <v>10</v>
      </c>
      <c r="U195">
        <v>2500</v>
      </c>
      <c r="V195" t="s">
        <v>22</v>
      </c>
      <c r="W195" t="s">
        <v>1077</v>
      </c>
      <c r="X195" t="s">
        <v>20</v>
      </c>
      <c r="Y195">
        <v>25</v>
      </c>
    </row>
    <row r="196" spans="1:25">
      <c r="A196" t="s">
        <v>436</v>
      </c>
      <c r="B196" t="s">
        <v>437</v>
      </c>
      <c r="C196">
        <v>22</v>
      </c>
      <c r="D196" t="s">
        <v>25</v>
      </c>
      <c r="E196" t="s">
        <v>26</v>
      </c>
      <c r="F196" t="s">
        <v>18</v>
      </c>
      <c r="G196" t="s">
        <v>1046</v>
      </c>
      <c r="H196" t="s">
        <v>1059</v>
      </c>
      <c r="I196">
        <v>29000</v>
      </c>
      <c r="J196">
        <v>12</v>
      </c>
      <c r="K196">
        <v>348000</v>
      </c>
      <c r="L196">
        <v>1</v>
      </c>
      <c r="M196">
        <v>5</v>
      </c>
      <c r="N196">
        <v>8700</v>
      </c>
      <c r="O196">
        <v>85</v>
      </c>
      <c r="P196">
        <v>12</v>
      </c>
      <c r="Q196">
        <v>12</v>
      </c>
      <c r="R196" t="s">
        <v>21</v>
      </c>
      <c r="S196" t="s">
        <v>28</v>
      </c>
      <c r="U196">
        <v>0</v>
      </c>
      <c r="V196" t="s">
        <v>58</v>
      </c>
      <c r="W196" t="s">
        <v>1077</v>
      </c>
      <c r="X196" t="s">
        <v>20</v>
      </c>
      <c r="Y196">
        <v>10</v>
      </c>
    </row>
    <row r="197" spans="1:25">
      <c r="A197" t="s">
        <v>438</v>
      </c>
      <c r="B197" t="s">
        <v>439</v>
      </c>
      <c r="C197">
        <v>23</v>
      </c>
      <c r="D197" t="s">
        <v>25</v>
      </c>
      <c r="E197" t="s">
        <v>73</v>
      </c>
      <c r="F197" t="s">
        <v>42</v>
      </c>
      <c r="G197" t="s">
        <v>1046</v>
      </c>
      <c r="H197" t="s">
        <v>1060</v>
      </c>
      <c r="I197">
        <v>29000</v>
      </c>
      <c r="J197">
        <v>12</v>
      </c>
      <c r="K197">
        <v>348000</v>
      </c>
      <c r="L197">
        <v>2</v>
      </c>
      <c r="M197">
        <v>3</v>
      </c>
      <c r="N197">
        <v>8700</v>
      </c>
      <c r="O197">
        <v>95</v>
      </c>
      <c r="P197">
        <v>5</v>
      </c>
      <c r="Q197">
        <v>3</v>
      </c>
      <c r="R197" t="s">
        <v>37</v>
      </c>
      <c r="S197" t="s">
        <v>19</v>
      </c>
      <c r="T197">
        <v>20</v>
      </c>
      <c r="U197">
        <v>5000</v>
      </c>
      <c r="V197" t="s">
        <v>22</v>
      </c>
      <c r="W197" t="s">
        <v>1077</v>
      </c>
      <c r="X197" t="s">
        <v>20</v>
      </c>
      <c r="Y197">
        <v>14</v>
      </c>
    </row>
    <row r="198" spans="1:25">
      <c r="A198" t="s">
        <v>440</v>
      </c>
      <c r="B198" t="s">
        <v>441</v>
      </c>
      <c r="C198">
        <v>22</v>
      </c>
      <c r="D198" t="s">
        <v>46</v>
      </c>
      <c r="E198" t="s">
        <v>47</v>
      </c>
      <c r="F198" t="s">
        <v>36</v>
      </c>
      <c r="G198" t="s">
        <v>1046</v>
      </c>
      <c r="H198" t="s">
        <v>1060</v>
      </c>
      <c r="I198">
        <v>29000</v>
      </c>
      <c r="J198">
        <v>12</v>
      </c>
      <c r="K198">
        <v>348000</v>
      </c>
      <c r="L198">
        <v>0</v>
      </c>
      <c r="M198">
        <v>4</v>
      </c>
      <c r="N198">
        <v>8700</v>
      </c>
      <c r="O198">
        <v>87</v>
      </c>
      <c r="P198">
        <v>10</v>
      </c>
      <c r="Q198">
        <v>8</v>
      </c>
      <c r="R198" t="s">
        <v>37</v>
      </c>
      <c r="S198" t="s">
        <v>38</v>
      </c>
      <c r="T198">
        <v>20</v>
      </c>
      <c r="U198">
        <v>5000</v>
      </c>
      <c r="V198" t="s">
        <v>22</v>
      </c>
      <c r="W198" t="s">
        <v>1077</v>
      </c>
      <c r="X198" t="s">
        <v>20</v>
      </c>
      <c r="Y198">
        <v>25</v>
      </c>
    </row>
    <row r="199" spans="1:25">
      <c r="A199" t="s">
        <v>442</v>
      </c>
      <c r="B199" t="s">
        <v>443</v>
      </c>
      <c r="C199">
        <v>23</v>
      </c>
      <c r="D199" t="s">
        <v>25</v>
      </c>
      <c r="E199" t="s">
        <v>65</v>
      </c>
      <c r="F199" t="s">
        <v>18</v>
      </c>
      <c r="G199" t="s">
        <v>43</v>
      </c>
      <c r="H199" t="s">
        <v>1060</v>
      </c>
      <c r="I199">
        <v>24000</v>
      </c>
      <c r="J199">
        <v>12</v>
      </c>
      <c r="K199">
        <v>288000</v>
      </c>
      <c r="L199">
        <v>1</v>
      </c>
      <c r="M199">
        <v>4</v>
      </c>
      <c r="N199">
        <v>7200</v>
      </c>
      <c r="O199">
        <v>85</v>
      </c>
      <c r="P199">
        <v>15</v>
      </c>
      <c r="Q199">
        <v>2</v>
      </c>
      <c r="R199" t="s">
        <v>21</v>
      </c>
      <c r="S199" t="s">
        <v>38</v>
      </c>
      <c r="T199">
        <v>10</v>
      </c>
      <c r="U199">
        <v>2500</v>
      </c>
      <c r="V199" t="s">
        <v>22</v>
      </c>
      <c r="W199" t="s">
        <v>1077</v>
      </c>
      <c r="X199" t="s">
        <v>20</v>
      </c>
      <c r="Y199">
        <v>10</v>
      </c>
    </row>
    <row r="200" spans="1:25">
      <c r="A200" t="s">
        <v>444</v>
      </c>
      <c r="B200" t="s">
        <v>445</v>
      </c>
      <c r="C200">
        <v>23</v>
      </c>
      <c r="D200" t="s">
        <v>25</v>
      </c>
      <c r="E200" t="s">
        <v>57</v>
      </c>
      <c r="F200" t="s">
        <v>18</v>
      </c>
      <c r="G200" t="s">
        <v>43</v>
      </c>
      <c r="H200" t="s">
        <v>1060</v>
      </c>
      <c r="I200">
        <v>24000</v>
      </c>
      <c r="J200">
        <v>12</v>
      </c>
      <c r="K200">
        <v>288000</v>
      </c>
      <c r="L200">
        <v>1</v>
      </c>
      <c r="M200">
        <v>4</v>
      </c>
      <c r="N200">
        <v>7200</v>
      </c>
      <c r="O200">
        <v>80</v>
      </c>
      <c r="P200">
        <v>10</v>
      </c>
      <c r="Q200">
        <v>2</v>
      </c>
      <c r="S200" t="s">
        <v>38</v>
      </c>
      <c r="T200">
        <v>5</v>
      </c>
      <c r="U200">
        <v>1250</v>
      </c>
      <c r="V200" t="s">
        <v>58</v>
      </c>
      <c r="W200" t="s">
        <v>1077</v>
      </c>
      <c r="X200" t="s">
        <v>20</v>
      </c>
      <c r="Y200">
        <v>10</v>
      </c>
    </row>
    <row r="201" spans="1:25">
      <c r="A201" t="s">
        <v>446</v>
      </c>
      <c r="B201" t="s">
        <v>447</v>
      </c>
      <c r="C201">
        <v>23</v>
      </c>
      <c r="D201" t="s">
        <v>46</v>
      </c>
      <c r="E201" t="s">
        <v>26</v>
      </c>
      <c r="F201" t="s">
        <v>31</v>
      </c>
      <c r="G201" t="s">
        <v>43</v>
      </c>
      <c r="H201" t="s">
        <v>1060</v>
      </c>
      <c r="I201">
        <v>28000</v>
      </c>
      <c r="J201">
        <v>12</v>
      </c>
      <c r="K201">
        <v>336000</v>
      </c>
      <c r="L201">
        <v>2</v>
      </c>
      <c r="M201">
        <v>4</v>
      </c>
      <c r="N201">
        <v>8400</v>
      </c>
      <c r="O201">
        <v>85</v>
      </c>
      <c r="P201">
        <v>15</v>
      </c>
      <c r="Q201">
        <v>3</v>
      </c>
      <c r="R201" t="s">
        <v>37</v>
      </c>
      <c r="S201" t="s">
        <v>38</v>
      </c>
      <c r="T201">
        <v>5</v>
      </c>
      <c r="U201">
        <v>1250</v>
      </c>
      <c r="V201" t="s">
        <v>58</v>
      </c>
      <c r="W201" t="s">
        <v>1077</v>
      </c>
      <c r="X201" t="s">
        <v>33</v>
      </c>
      <c r="Y201">
        <v>13</v>
      </c>
    </row>
    <row r="202" spans="1:25">
      <c r="A202" t="s">
        <v>448</v>
      </c>
      <c r="B202" t="s">
        <v>449</v>
      </c>
      <c r="C202">
        <v>24</v>
      </c>
      <c r="D202" t="s">
        <v>46</v>
      </c>
      <c r="E202" t="s">
        <v>35</v>
      </c>
      <c r="F202" t="s">
        <v>31</v>
      </c>
      <c r="G202" t="s">
        <v>43</v>
      </c>
      <c r="H202" t="s">
        <v>1060</v>
      </c>
      <c r="I202">
        <v>31500</v>
      </c>
      <c r="J202">
        <v>12</v>
      </c>
      <c r="K202">
        <v>378000</v>
      </c>
      <c r="L202">
        <v>2</v>
      </c>
      <c r="M202">
        <v>4</v>
      </c>
      <c r="N202">
        <v>9450</v>
      </c>
      <c r="O202">
        <v>85</v>
      </c>
      <c r="P202">
        <v>10</v>
      </c>
      <c r="Q202">
        <v>2</v>
      </c>
      <c r="S202" t="s">
        <v>38</v>
      </c>
      <c r="T202">
        <v>20</v>
      </c>
      <c r="U202">
        <v>5000</v>
      </c>
      <c r="V202" t="s">
        <v>58</v>
      </c>
      <c r="W202" t="s">
        <v>1077</v>
      </c>
      <c r="X202" t="s">
        <v>33</v>
      </c>
      <c r="Y202">
        <v>13</v>
      </c>
    </row>
    <row r="203" spans="1:25">
      <c r="A203" t="s">
        <v>450</v>
      </c>
      <c r="B203" t="s">
        <v>451</v>
      </c>
      <c r="C203">
        <v>23</v>
      </c>
      <c r="D203" t="s">
        <v>46</v>
      </c>
      <c r="E203" t="s">
        <v>17</v>
      </c>
      <c r="F203" t="s">
        <v>66</v>
      </c>
      <c r="G203" t="s">
        <v>43</v>
      </c>
      <c r="H203" t="s">
        <v>1060</v>
      </c>
      <c r="I203">
        <v>24000</v>
      </c>
      <c r="J203">
        <v>12</v>
      </c>
      <c r="K203">
        <v>288000</v>
      </c>
      <c r="L203">
        <v>1</v>
      </c>
      <c r="M203">
        <v>4</v>
      </c>
      <c r="N203">
        <v>7200</v>
      </c>
      <c r="O203">
        <v>80</v>
      </c>
      <c r="P203">
        <v>15</v>
      </c>
      <c r="Q203">
        <v>5</v>
      </c>
      <c r="R203" t="s">
        <v>21</v>
      </c>
      <c r="S203" t="s">
        <v>38</v>
      </c>
      <c r="T203">
        <v>5</v>
      </c>
      <c r="U203">
        <v>1250</v>
      </c>
      <c r="V203" t="s">
        <v>22</v>
      </c>
      <c r="W203" t="s">
        <v>1077</v>
      </c>
      <c r="X203" t="s">
        <v>33</v>
      </c>
      <c r="Y203">
        <v>20</v>
      </c>
    </row>
    <row r="204" spans="1:25">
      <c r="A204" t="s">
        <v>452</v>
      </c>
      <c r="B204" t="s">
        <v>453</v>
      </c>
      <c r="C204">
        <v>23</v>
      </c>
      <c r="D204" t="s">
        <v>46</v>
      </c>
      <c r="E204" t="s">
        <v>73</v>
      </c>
      <c r="F204" t="s">
        <v>31</v>
      </c>
      <c r="G204" t="s">
        <v>43</v>
      </c>
      <c r="H204" t="s">
        <v>1060</v>
      </c>
      <c r="I204">
        <v>22000</v>
      </c>
      <c r="J204">
        <v>12</v>
      </c>
      <c r="K204">
        <v>264000</v>
      </c>
      <c r="L204">
        <v>2</v>
      </c>
      <c r="M204">
        <v>4</v>
      </c>
      <c r="N204">
        <v>6600</v>
      </c>
      <c r="O204">
        <v>85</v>
      </c>
      <c r="P204">
        <v>5</v>
      </c>
      <c r="Q204">
        <v>3</v>
      </c>
      <c r="R204" t="s">
        <v>21</v>
      </c>
      <c r="S204" t="s">
        <v>38</v>
      </c>
      <c r="U204">
        <v>0</v>
      </c>
      <c r="V204" t="s">
        <v>58</v>
      </c>
      <c r="W204" t="s">
        <v>1077</v>
      </c>
      <c r="X204" t="s">
        <v>33</v>
      </c>
      <c r="Y204">
        <v>13</v>
      </c>
    </row>
    <row r="205" spans="1:25">
      <c r="A205" t="s">
        <v>454</v>
      </c>
      <c r="B205" t="s">
        <v>455</v>
      </c>
      <c r="C205">
        <v>36</v>
      </c>
      <c r="D205" t="s">
        <v>46</v>
      </c>
      <c r="E205" t="s">
        <v>73</v>
      </c>
      <c r="F205" t="s">
        <v>18</v>
      </c>
      <c r="G205" t="s">
        <v>32</v>
      </c>
      <c r="H205" t="s">
        <v>1059</v>
      </c>
      <c r="I205">
        <v>99000</v>
      </c>
      <c r="J205">
        <v>12</v>
      </c>
      <c r="K205">
        <v>1188000</v>
      </c>
      <c r="L205">
        <v>12</v>
      </c>
      <c r="M205">
        <v>3</v>
      </c>
      <c r="N205">
        <v>29700</v>
      </c>
      <c r="O205">
        <v>95</v>
      </c>
      <c r="P205">
        <v>12</v>
      </c>
      <c r="Q205">
        <v>2</v>
      </c>
      <c r="R205" t="s">
        <v>21</v>
      </c>
      <c r="S205" t="s">
        <v>28</v>
      </c>
      <c r="T205">
        <v>10</v>
      </c>
      <c r="U205">
        <v>3500</v>
      </c>
      <c r="V205" t="s">
        <v>22</v>
      </c>
      <c r="W205" t="s">
        <v>1077</v>
      </c>
      <c r="X205" t="s">
        <v>20</v>
      </c>
      <c r="Y205">
        <v>10</v>
      </c>
    </row>
    <row r="206" spans="1:25">
      <c r="A206" t="s">
        <v>456</v>
      </c>
      <c r="B206" t="s">
        <v>457</v>
      </c>
      <c r="C206">
        <v>28</v>
      </c>
      <c r="D206" t="s">
        <v>46</v>
      </c>
      <c r="E206" t="s">
        <v>61</v>
      </c>
      <c r="F206" t="s">
        <v>42</v>
      </c>
      <c r="G206" t="s">
        <v>1048</v>
      </c>
      <c r="H206" t="s">
        <v>1060</v>
      </c>
      <c r="I206">
        <v>53000</v>
      </c>
      <c r="J206">
        <v>12</v>
      </c>
      <c r="K206">
        <v>636000</v>
      </c>
      <c r="L206">
        <v>3</v>
      </c>
      <c r="M206">
        <v>3</v>
      </c>
      <c r="N206">
        <v>15900</v>
      </c>
      <c r="O206">
        <v>80</v>
      </c>
      <c r="P206">
        <v>10</v>
      </c>
      <c r="Q206">
        <v>1</v>
      </c>
      <c r="R206" t="s">
        <v>37</v>
      </c>
      <c r="S206" t="s">
        <v>19</v>
      </c>
      <c r="T206">
        <v>20</v>
      </c>
      <c r="U206">
        <v>6000</v>
      </c>
      <c r="V206" t="s">
        <v>22</v>
      </c>
      <c r="W206" t="s">
        <v>1077</v>
      </c>
      <c r="X206" t="s">
        <v>20</v>
      </c>
      <c r="Y206">
        <v>14</v>
      </c>
    </row>
    <row r="207" spans="1:25">
      <c r="A207" t="s">
        <v>458</v>
      </c>
      <c r="B207" t="s">
        <v>459</v>
      </c>
      <c r="C207">
        <v>51</v>
      </c>
      <c r="D207" t="s">
        <v>1077</v>
      </c>
      <c r="E207" t="s">
        <v>57</v>
      </c>
      <c r="F207" t="s">
        <v>31</v>
      </c>
      <c r="G207" t="s">
        <v>1051</v>
      </c>
      <c r="H207" t="s">
        <v>1060</v>
      </c>
      <c r="I207">
        <v>150000</v>
      </c>
      <c r="J207">
        <v>12</v>
      </c>
      <c r="K207">
        <v>1800000</v>
      </c>
      <c r="L207">
        <v>21</v>
      </c>
      <c r="M207">
        <v>4</v>
      </c>
      <c r="N207">
        <v>45000</v>
      </c>
      <c r="O207">
        <v>87</v>
      </c>
      <c r="P207">
        <v>5</v>
      </c>
      <c r="Q207">
        <v>3</v>
      </c>
      <c r="S207" t="s">
        <v>38</v>
      </c>
      <c r="U207" t="s">
        <v>1077</v>
      </c>
      <c r="V207" t="s">
        <v>22</v>
      </c>
      <c r="W207" t="s">
        <v>1077</v>
      </c>
      <c r="X207" t="s">
        <v>33</v>
      </c>
      <c r="Y207">
        <v>13</v>
      </c>
    </row>
    <row r="208" spans="1:25">
      <c r="A208" t="s">
        <v>460</v>
      </c>
      <c r="B208" t="s">
        <v>461</v>
      </c>
      <c r="C208">
        <v>24</v>
      </c>
      <c r="D208" t="s">
        <v>25</v>
      </c>
      <c r="E208" t="s">
        <v>65</v>
      </c>
      <c r="F208" t="s">
        <v>27</v>
      </c>
      <c r="G208" t="s">
        <v>43</v>
      </c>
      <c r="H208" t="s">
        <v>1059</v>
      </c>
      <c r="I208">
        <v>24000</v>
      </c>
      <c r="J208">
        <v>12</v>
      </c>
      <c r="K208">
        <v>288000</v>
      </c>
      <c r="L208">
        <v>1</v>
      </c>
      <c r="M208">
        <v>4</v>
      </c>
      <c r="N208">
        <v>7200</v>
      </c>
      <c r="O208">
        <v>88</v>
      </c>
      <c r="P208">
        <v>5</v>
      </c>
      <c r="Q208">
        <v>2</v>
      </c>
      <c r="R208" t="s">
        <v>37</v>
      </c>
      <c r="S208" t="s">
        <v>28</v>
      </c>
      <c r="T208">
        <v>20</v>
      </c>
      <c r="U208">
        <v>5000</v>
      </c>
      <c r="V208" t="s">
        <v>22</v>
      </c>
      <c r="W208" t="s">
        <v>1077</v>
      </c>
      <c r="X208" t="s">
        <v>20</v>
      </c>
      <c r="Y208">
        <v>12</v>
      </c>
    </row>
    <row r="209" spans="1:25">
      <c r="A209" t="s">
        <v>462</v>
      </c>
      <c r="B209" t="s">
        <v>463</v>
      </c>
      <c r="C209">
        <v>23</v>
      </c>
      <c r="D209" t="s">
        <v>46</v>
      </c>
      <c r="E209" t="s">
        <v>47</v>
      </c>
      <c r="F209" t="s">
        <v>31</v>
      </c>
      <c r="G209" t="s">
        <v>43</v>
      </c>
      <c r="H209" t="s">
        <v>1060</v>
      </c>
      <c r="I209">
        <v>24000</v>
      </c>
      <c r="J209">
        <v>12</v>
      </c>
      <c r="K209">
        <v>288000</v>
      </c>
      <c r="L209">
        <v>1</v>
      </c>
      <c r="M209">
        <v>5</v>
      </c>
      <c r="N209">
        <v>7200</v>
      </c>
      <c r="O209">
        <v>95</v>
      </c>
      <c r="P209">
        <v>10</v>
      </c>
      <c r="Q209">
        <v>3</v>
      </c>
      <c r="R209" t="s">
        <v>21</v>
      </c>
      <c r="S209" t="s">
        <v>38</v>
      </c>
      <c r="T209">
        <v>5</v>
      </c>
      <c r="U209">
        <v>1250</v>
      </c>
      <c r="V209" t="s">
        <v>58</v>
      </c>
      <c r="W209" t="s">
        <v>1077</v>
      </c>
      <c r="X209" t="s">
        <v>33</v>
      </c>
      <c r="Y209">
        <v>13</v>
      </c>
    </row>
    <row r="210" spans="1:25">
      <c r="A210" t="s">
        <v>464</v>
      </c>
      <c r="B210" t="s">
        <v>465</v>
      </c>
      <c r="C210">
        <v>31</v>
      </c>
      <c r="D210" t="s">
        <v>1077</v>
      </c>
      <c r="E210" t="s">
        <v>26</v>
      </c>
      <c r="F210" t="s">
        <v>42</v>
      </c>
      <c r="G210" t="s">
        <v>82</v>
      </c>
      <c r="H210" t="s">
        <v>1059</v>
      </c>
      <c r="I210">
        <v>89000</v>
      </c>
      <c r="J210">
        <v>12</v>
      </c>
      <c r="K210">
        <v>1068000</v>
      </c>
      <c r="L210">
        <v>9</v>
      </c>
      <c r="M210">
        <v>4</v>
      </c>
      <c r="N210">
        <v>26700</v>
      </c>
      <c r="O210">
        <v>80</v>
      </c>
      <c r="P210">
        <v>5</v>
      </c>
      <c r="Q210">
        <v>2</v>
      </c>
      <c r="R210" t="s">
        <v>37</v>
      </c>
      <c r="S210" t="s">
        <v>28</v>
      </c>
      <c r="T210">
        <v>20</v>
      </c>
      <c r="U210">
        <v>7000</v>
      </c>
      <c r="V210" t="s">
        <v>22</v>
      </c>
      <c r="W210" t="s">
        <v>1077</v>
      </c>
      <c r="X210" t="s">
        <v>20</v>
      </c>
      <c r="Y210">
        <v>14</v>
      </c>
    </row>
    <row r="211" spans="1:25">
      <c r="A211" t="s">
        <v>466</v>
      </c>
      <c r="B211" t="s">
        <v>467</v>
      </c>
      <c r="C211">
        <v>25</v>
      </c>
      <c r="D211" t="s">
        <v>25</v>
      </c>
      <c r="E211" t="s">
        <v>47</v>
      </c>
      <c r="F211" t="s">
        <v>18</v>
      </c>
      <c r="G211" t="s">
        <v>43</v>
      </c>
      <c r="H211" t="s">
        <v>1060</v>
      </c>
      <c r="I211">
        <v>24000</v>
      </c>
      <c r="J211">
        <v>12</v>
      </c>
      <c r="K211">
        <v>288000</v>
      </c>
      <c r="L211">
        <v>1</v>
      </c>
      <c r="M211">
        <v>4</v>
      </c>
      <c r="N211">
        <v>7200</v>
      </c>
      <c r="O211">
        <v>80</v>
      </c>
      <c r="P211">
        <v>12</v>
      </c>
      <c r="Q211">
        <v>3</v>
      </c>
      <c r="S211" t="s">
        <v>38</v>
      </c>
      <c r="T211">
        <v>20</v>
      </c>
      <c r="U211">
        <v>5000</v>
      </c>
      <c r="V211" t="s">
        <v>58</v>
      </c>
      <c r="W211" t="s">
        <v>1077</v>
      </c>
      <c r="X211" t="s">
        <v>20</v>
      </c>
      <c r="Y211">
        <v>10</v>
      </c>
    </row>
    <row r="212" spans="1:25">
      <c r="A212" t="s">
        <v>468</v>
      </c>
      <c r="B212" t="s">
        <v>469</v>
      </c>
      <c r="C212">
        <v>25</v>
      </c>
      <c r="D212" t="s">
        <v>46</v>
      </c>
      <c r="E212" t="s">
        <v>26</v>
      </c>
      <c r="F212" t="s">
        <v>66</v>
      </c>
      <c r="G212" t="s">
        <v>43</v>
      </c>
      <c r="H212" t="s">
        <v>1060</v>
      </c>
      <c r="I212">
        <v>31500</v>
      </c>
      <c r="J212">
        <v>12</v>
      </c>
      <c r="K212">
        <v>378000</v>
      </c>
      <c r="L212">
        <v>2</v>
      </c>
      <c r="M212">
        <v>2</v>
      </c>
      <c r="N212" t="s">
        <v>1077</v>
      </c>
      <c r="O212">
        <v>90</v>
      </c>
      <c r="P212">
        <v>5</v>
      </c>
      <c r="Q212">
        <v>3</v>
      </c>
      <c r="S212" t="s">
        <v>38</v>
      </c>
      <c r="T212">
        <v>20</v>
      </c>
      <c r="U212">
        <v>5000</v>
      </c>
      <c r="V212" t="s">
        <v>39</v>
      </c>
      <c r="W212" t="s">
        <v>1077</v>
      </c>
      <c r="X212" t="s">
        <v>33</v>
      </c>
      <c r="Y212">
        <v>20</v>
      </c>
    </row>
    <row r="213" spans="1:25">
      <c r="A213" t="s">
        <v>470</v>
      </c>
      <c r="B213" t="s">
        <v>471</v>
      </c>
      <c r="C213">
        <v>48</v>
      </c>
      <c r="D213" t="s">
        <v>25</v>
      </c>
      <c r="E213" t="s">
        <v>35</v>
      </c>
      <c r="F213" t="s">
        <v>36</v>
      </c>
      <c r="G213" t="s">
        <v>1051</v>
      </c>
      <c r="H213" t="s">
        <v>1060</v>
      </c>
      <c r="I213">
        <v>154000</v>
      </c>
      <c r="J213">
        <v>12</v>
      </c>
      <c r="K213">
        <v>1848000</v>
      </c>
      <c r="L213">
        <v>22</v>
      </c>
      <c r="M213">
        <v>5</v>
      </c>
      <c r="N213">
        <v>46200</v>
      </c>
      <c r="O213">
        <v>80</v>
      </c>
      <c r="P213">
        <v>15</v>
      </c>
      <c r="Q213">
        <v>5</v>
      </c>
      <c r="S213" t="s">
        <v>38</v>
      </c>
      <c r="U213" t="s">
        <v>1077</v>
      </c>
      <c r="V213" t="s">
        <v>58</v>
      </c>
      <c r="W213" t="s">
        <v>1077</v>
      </c>
      <c r="X213" t="s">
        <v>20</v>
      </c>
      <c r="Y213">
        <v>25</v>
      </c>
    </row>
    <row r="214" spans="1:25">
      <c r="A214" t="s">
        <v>472</v>
      </c>
      <c r="B214" t="s">
        <v>473</v>
      </c>
      <c r="C214">
        <v>25</v>
      </c>
      <c r="D214" t="s">
        <v>46</v>
      </c>
      <c r="E214" t="s">
        <v>64</v>
      </c>
      <c r="F214" t="s">
        <v>31</v>
      </c>
      <c r="G214" t="s">
        <v>43</v>
      </c>
      <c r="H214" t="s">
        <v>1060</v>
      </c>
      <c r="I214">
        <v>23000</v>
      </c>
      <c r="J214">
        <v>12</v>
      </c>
      <c r="K214">
        <v>276000</v>
      </c>
      <c r="L214">
        <v>2</v>
      </c>
      <c r="M214">
        <v>5</v>
      </c>
      <c r="N214">
        <v>6900</v>
      </c>
      <c r="O214">
        <v>88</v>
      </c>
      <c r="P214">
        <v>15</v>
      </c>
      <c r="Q214">
        <v>3</v>
      </c>
      <c r="R214" t="s">
        <v>21</v>
      </c>
      <c r="S214" t="s">
        <v>38</v>
      </c>
      <c r="T214">
        <v>20</v>
      </c>
      <c r="U214">
        <v>5000</v>
      </c>
      <c r="V214" t="s">
        <v>58</v>
      </c>
      <c r="W214" t="s">
        <v>1077</v>
      </c>
      <c r="X214" t="s">
        <v>33</v>
      </c>
      <c r="Y214">
        <v>13</v>
      </c>
    </row>
    <row r="215" spans="1:25">
      <c r="A215" t="s">
        <v>474</v>
      </c>
      <c r="B215" t="s">
        <v>475</v>
      </c>
      <c r="C215">
        <v>25</v>
      </c>
      <c r="D215" t="s">
        <v>46</v>
      </c>
      <c r="E215" t="s">
        <v>17</v>
      </c>
      <c r="F215" t="s">
        <v>36</v>
      </c>
      <c r="G215" t="s">
        <v>43</v>
      </c>
      <c r="H215" t="s">
        <v>1060</v>
      </c>
      <c r="I215">
        <v>24000</v>
      </c>
      <c r="J215">
        <v>12</v>
      </c>
      <c r="K215">
        <v>288000</v>
      </c>
      <c r="L215">
        <v>1</v>
      </c>
      <c r="M215">
        <v>3</v>
      </c>
      <c r="N215">
        <v>7200</v>
      </c>
      <c r="O215">
        <v>88</v>
      </c>
      <c r="P215">
        <v>10</v>
      </c>
      <c r="Q215">
        <v>2</v>
      </c>
      <c r="S215" t="s">
        <v>38</v>
      </c>
      <c r="T215">
        <v>5</v>
      </c>
      <c r="U215">
        <v>1250</v>
      </c>
      <c r="V215" t="s">
        <v>22</v>
      </c>
      <c r="W215" t="s">
        <v>1077</v>
      </c>
      <c r="X215" t="s">
        <v>20</v>
      </c>
      <c r="Y215">
        <v>25</v>
      </c>
    </row>
    <row r="216" spans="1:25">
      <c r="A216" t="s">
        <v>476</v>
      </c>
      <c r="B216" t="s">
        <v>477</v>
      </c>
      <c r="C216">
        <v>51</v>
      </c>
      <c r="D216" t="s">
        <v>25</v>
      </c>
      <c r="E216" t="s">
        <v>57</v>
      </c>
      <c r="F216" t="s">
        <v>66</v>
      </c>
      <c r="G216" t="s">
        <v>1051</v>
      </c>
      <c r="H216" t="s">
        <v>1060</v>
      </c>
      <c r="I216">
        <v>158000</v>
      </c>
      <c r="J216">
        <v>12</v>
      </c>
      <c r="K216">
        <v>1896000</v>
      </c>
      <c r="L216">
        <v>23</v>
      </c>
      <c r="M216">
        <v>3</v>
      </c>
      <c r="N216">
        <v>47400</v>
      </c>
      <c r="O216">
        <v>88</v>
      </c>
      <c r="P216">
        <v>15</v>
      </c>
      <c r="Q216">
        <v>4</v>
      </c>
      <c r="R216" t="s">
        <v>21</v>
      </c>
      <c r="S216" t="s">
        <v>19</v>
      </c>
      <c r="U216" t="s">
        <v>1077</v>
      </c>
      <c r="V216" t="s">
        <v>22</v>
      </c>
      <c r="W216" t="s">
        <v>1077</v>
      </c>
      <c r="X216" t="s">
        <v>33</v>
      </c>
      <c r="Y216">
        <v>20</v>
      </c>
    </row>
    <row r="217" spans="1:25">
      <c r="A217" t="s">
        <v>478</v>
      </c>
      <c r="B217" t="s">
        <v>479</v>
      </c>
      <c r="C217">
        <v>23</v>
      </c>
      <c r="D217" t="s">
        <v>1077</v>
      </c>
      <c r="E217" t="s">
        <v>65</v>
      </c>
      <c r="F217" t="s">
        <v>31</v>
      </c>
      <c r="G217" t="s">
        <v>43</v>
      </c>
      <c r="H217" t="s">
        <v>1060</v>
      </c>
      <c r="I217">
        <v>31500</v>
      </c>
      <c r="J217">
        <v>12</v>
      </c>
      <c r="K217">
        <v>378000</v>
      </c>
      <c r="L217">
        <v>2</v>
      </c>
      <c r="M217">
        <v>2</v>
      </c>
      <c r="N217" t="s">
        <v>1077</v>
      </c>
      <c r="O217">
        <v>85</v>
      </c>
      <c r="P217">
        <v>5</v>
      </c>
      <c r="Q217">
        <v>5</v>
      </c>
      <c r="R217" t="s">
        <v>37</v>
      </c>
      <c r="S217" t="s">
        <v>38</v>
      </c>
      <c r="T217">
        <v>10</v>
      </c>
      <c r="U217">
        <v>2500</v>
      </c>
      <c r="V217" t="s">
        <v>39</v>
      </c>
      <c r="W217" t="s">
        <v>1077</v>
      </c>
      <c r="X217" t="s">
        <v>33</v>
      </c>
      <c r="Y217">
        <v>13</v>
      </c>
    </row>
    <row r="218" spans="1:25">
      <c r="A218" t="s">
        <v>480</v>
      </c>
      <c r="B218" t="s">
        <v>481</v>
      </c>
      <c r="C218">
        <v>29</v>
      </c>
      <c r="D218" t="s">
        <v>46</v>
      </c>
      <c r="E218" t="s">
        <v>65</v>
      </c>
      <c r="F218" t="s">
        <v>31</v>
      </c>
      <c r="G218" t="s">
        <v>1045</v>
      </c>
      <c r="H218" t="s">
        <v>1060</v>
      </c>
      <c r="I218">
        <v>81000</v>
      </c>
      <c r="J218">
        <v>12</v>
      </c>
      <c r="K218">
        <v>972000</v>
      </c>
      <c r="L218">
        <v>6</v>
      </c>
      <c r="M218">
        <v>1</v>
      </c>
      <c r="N218" t="s">
        <v>1077</v>
      </c>
      <c r="O218">
        <v>80</v>
      </c>
      <c r="P218">
        <v>15</v>
      </c>
      <c r="Q218">
        <v>3</v>
      </c>
      <c r="R218" t="s">
        <v>21</v>
      </c>
      <c r="S218" t="s">
        <v>19</v>
      </c>
      <c r="U218">
        <v>0</v>
      </c>
      <c r="V218" t="s">
        <v>39</v>
      </c>
      <c r="W218" t="s">
        <v>1077</v>
      </c>
      <c r="X218" t="s">
        <v>33</v>
      </c>
      <c r="Y218">
        <v>13</v>
      </c>
    </row>
    <row r="219" spans="1:25">
      <c r="A219" t="s">
        <v>482</v>
      </c>
      <c r="B219" t="s">
        <v>483</v>
      </c>
      <c r="C219">
        <v>53</v>
      </c>
      <c r="D219" t="s">
        <v>25</v>
      </c>
      <c r="E219" t="s">
        <v>65</v>
      </c>
      <c r="F219" t="s">
        <v>31</v>
      </c>
      <c r="G219" t="s">
        <v>1051</v>
      </c>
      <c r="H219" t="s">
        <v>1059</v>
      </c>
      <c r="I219">
        <v>152000</v>
      </c>
      <c r="J219">
        <v>12</v>
      </c>
      <c r="K219">
        <v>1824000</v>
      </c>
      <c r="L219">
        <v>21</v>
      </c>
      <c r="M219">
        <v>4</v>
      </c>
      <c r="N219">
        <v>45600</v>
      </c>
      <c r="O219">
        <v>80</v>
      </c>
      <c r="P219">
        <v>15</v>
      </c>
      <c r="Q219">
        <v>3</v>
      </c>
      <c r="S219" t="s">
        <v>28</v>
      </c>
      <c r="U219" t="s">
        <v>1077</v>
      </c>
      <c r="V219" t="s">
        <v>22</v>
      </c>
      <c r="W219" t="s">
        <v>1077</v>
      </c>
      <c r="X219" t="s">
        <v>33</v>
      </c>
      <c r="Y219">
        <v>13</v>
      </c>
    </row>
    <row r="220" spans="1:25">
      <c r="A220" t="s">
        <v>484</v>
      </c>
      <c r="B220" t="s">
        <v>485</v>
      </c>
      <c r="C220">
        <v>51</v>
      </c>
      <c r="D220" t="s">
        <v>25</v>
      </c>
      <c r="E220" t="s">
        <v>73</v>
      </c>
      <c r="F220" t="s">
        <v>27</v>
      </c>
      <c r="G220" t="s">
        <v>1050</v>
      </c>
      <c r="H220" t="s">
        <v>1060</v>
      </c>
      <c r="I220">
        <v>143000</v>
      </c>
      <c r="J220">
        <v>12</v>
      </c>
      <c r="K220">
        <v>1716000</v>
      </c>
      <c r="L220">
        <v>18</v>
      </c>
      <c r="M220">
        <v>4</v>
      </c>
      <c r="N220">
        <v>42900</v>
      </c>
      <c r="O220">
        <v>95</v>
      </c>
      <c r="P220">
        <v>5</v>
      </c>
      <c r="Q220">
        <v>2</v>
      </c>
      <c r="R220" t="s">
        <v>37</v>
      </c>
      <c r="S220" t="s">
        <v>38</v>
      </c>
      <c r="U220" t="s">
        <v>1077</v>
      </c>
      <c r="V220" t="s">
        <v>22</v>
      </c>
      <c r="W220" t="s">
        <v>1077</v>
      </c>
      <c r="X220" t="s">
        <v>20</v>
      </c>
      <c r="Y220">
        <v>12</v>
      </c>
    </row>
    <row r="221" spans="1:25">
      <c r="A221" t="s">
        <v>486</v>
      </c>
      <c r="B221" t="s">
        <v>487</v>
      </c>
      <c r="C221">
        <v>30</v>
      </c>
      <c r="D221" t="s">
        <v>46</v>
      </c>
      <c r="E221" t="s">
        <v>50</v>
      </c>
      <c r="F221" t="s">
        <v>31</v>
      </c>
      <c r="G221" t="s">
        <v>1045</v>
      </c>
      <c r="H221" t="s">
        <v>1060</v>
      </c>
      <c r="I221">
        <v>78000</v>
      </c>
      <c r="J221">
        <v>12</v>
      </c>
      <c r="K221">
        <v>936000</v>
      </c>
      <c r="L221">
        <v>7</v>
      </c>
      <c r="M221">
        <v>4</v>
      </c>
      <c r="N221">
        <v>23400</v>
      </c>
      <c r="O221">
        <v>80</v>
      </c>
      <c r="P221">
        <v>15</v>
      </c>
      <c r="Q221">
        <v>3</v>
      </c>
      <c r="R221" t="s">
        <v>21</v>
      </c>
      <c r="S221" t="s">
        <v>38</v>
      </c>
      <c r="U221">
        <v>0</v>
      </c>
      <c r="V221" t="s">
        <v>22</v>
      </c>
      <c r="W221" t="s">
        <v>1077</v>
      </c>
      <c r="X221" t="s">
        <v>33</v>
      </c>
      <c r="Y221">
        <v>13</v>
      </c>
    </row>
    <row r="222" spans="1:25">
      <c r="A222" t="s">
        <v>488</v>
      </c>
      <c r="B222" t="s">
        <v>489</v>
      </c>
      <c r="C222">
        <v>33</v>
      </c>
      <c r="D222" t="s">
        <v>46</v>
      </c>
      <c r="E222" t="s">
        <v>26</v>
      </c>
      <c r="F222" t="s">
        <v>66</v>
      </c>
      <c r="G222" t="s">
        <v>32</v>
      </c>
      <c r="H222" t="s">
        <v>1060</v>
      </c>
      <c r="I222">
        <v>92600</v>
      </c>
      <c r="J222">
        <v>12</v>
      </c>
      <c r="K222">
        <v>1111200</v>
      </c>
      <c r="L222">
        <v>11</v>
      </c>
      <c r="M222">
        <v>5</v>
      </c>
      <c r="N222">
        <v>27780</v>
      </c>
      <c r="O222">
        <v>80</v>
      </c>
      <c r="P222">
        <v>5</v>
      </c>
      <c r="Q222">
        <v>5</v>
      </c>
      <c r="R222" t="s">
        <v>37</v>
      </c>
      <c r="S222" t="s">
        <v>38</v>
      </c>
      <c r="T222">
        <v>5</v>
      </c>
      <c r="U222">
        <v>1750</v>
      </c>
      <c r="V222" t="s">
        <v>58</v>
      </c>
      <c r="W222" t="s">
        <v>1077</v>
      </c>
      <c r="X222" t="s">
        <v>33</v>
      </c>
      <c r="Y222">
        <v>20</v>
      </c>
    </row>
    <row r="223" spans="1:25">
      <c r="A223" t="s">
        <v>490</v>
      </c>
      <c r="B223" t="s">
        <v>491</v>
      </c>
      <c r="C223">
        <v>25</v>
      </c>
      <c r="D223" t="s">
        <v>46</v>
      </c>
      <c r="E223" t="s">
        <v>50</v>
      </c>
      <c r="F223" t="s">
        <v>36</v>
      </c>
      <c r="G223" t="s">
        <v>43</v>
      </c>
      <c r="H223" t="s">
        <v>1060</v>
      </c>
      <c r="I223">
        <v>24000</v>
      </c>
      <c r="J223">
        <v>12</v>
      </c>
      <c r="K223">
        <v>288000</v>
      </c>
      <c r="L223">
        <v>1</v>
      </c>
      <c r="M223">
        <v>2</v>
      </c>
      <c r="N223" t="s">
        <v>1077</v>
      </c>
      <c r="O223">
        <v>95</v>
      </c>
      <c r="P223">
        <v>15</v>
      </c>
      <c r="Q223">
        <v>5</v>
      </c>
      <c r="S223" t="s">
        <v>38</v>
      </c>
      <c r="U223">
        <v>0</v>
      </c>
      <c r="V223" t="s">
        <v>39</v>
      </c>
      <c r="W223" t="s">
        <v>1077</v>
      </c>
      <c r="X223" t="s">
        <v>20</v>
      </c>
      <c r="Y223">
        <v>25</v>
      </c>
    </row>
    <row r="224" spans="1:25">
      <c r="A224" t="s">
        <v>492</v>
      </c>
      <c r="B224" t="s">
        <v>493</v>
      </c>
      <c r="C224">
        <v>23</v>
      </c>
      <c r="D224" t="s">
        <v>25</v>
      </c>
      <c r="E224" t="s">
        <v>35</v>
      </c>
      <c r="F224" t="s">
        <v>27</v>
      </c>
      <c r="G224" t="s">
        <v>43</v>
      </c>
      <c r="H224" t="s">
        <v>1060</v>
      </c>
      <c r="I224">
        <v>24000</v>
      </c>
      <c r="J224">
        <v>12</v>
      </c>
      <c r="K224">
        <v>288000</v>
      </c>
      <c r="L224">
        <v>1</v>
      </c>
      <c r="M224">
        <v>5</v>
      </c>
      <c r="N224">
        <v>7200</v>
      </c>
      <c r="O224">
        <v>90</v>
      </c>
      <c r="P224">
        <v>5</v>
      </c>
      <c r="Q224">
        <v>1</v>
      </c>
      <c r="R224" t="s">
        <v>37</v>
      </c>
      <c r="S224" t="s">
        <v>38</v>
      </c>
      <c r="U224">
        <v>0</v>
      </c>
      <c r="V224" t="s">
        <v>58</v>
      </c>
      <c r="W224" t="s">
        <v>1077</v>
      </c>
      <c r="X224" t="s">
        <v>20</v>
      </c>
      <c r="Y224">
        <v>12</v>
      </c>
    </row>
    <row r="225" spans="1:25">
      <c r="A225" t="s">
        <v>494</v>
      </c>
      <c r="B225" t="s">
        <v>495</v>
      </c>
      <c r="C225">
        <v>23</v>
      </c>
      <c r="D225" t="s">
        <v>25</v>
      </c>
      <c r="E225" t="s">
        <v>65</v>
      </c>
      <c r="F225" t="s">
        <v>27</v>
      </c>
      <c r="G225" t="s">
        <v>43</v>
      </c>
      <c r="H225" t="s">
        <v>1060</v>
      </c>
      <c r="I225">
        <v>24000</v>
      </c>
      <c r="J225">
        <v>12</v>
      </c>
      <c r="K225">
        <v>288000</v>
      </c>
      <c r="L225">
        <v>1</v>
      </c>
      <c r="M225">
        <v>1</v>
      </c>
      <c r="N225" t="s">
        <v>1077</v>
      </c>
      <c r="O225">
        <v>85</v>
      </c>
      <c r="P225">
        <v>10</v>
      </c>
      <c r="Q225">
        <v>3</v>
      </c>
      <c r="R225" t="s">
        <v>37</v>
      </c>
      <c r="S225" t="s">
        <v>38</v>
      </c>
      <c r="U225">
        <v>0</v>
      </c>
      <c r="V225" t="s">
        <v>39</v>
      </c>
      <c r="W225" t="s">
        <v>1077</v>
      </c>
      <c r="X225" t="s">
        <v>20</v>
      </c>
      <c r="Y225">
        <v>12</v>
      </c>
    </row>
    <row r="226" spans="1:25">
      <c r="A226" t="s">
        <v>496</v>
      </c>
      <c r="B226" t="s">
        <v>497</v>
      </c>
      <c r="C226">
        <v>23</v>
      </c>
      <c r="D226" t="s">
        <v>25</v>
      </c>
      <c r="E226" t="s">
        <v>64</v>
      </c>
      <c r="F226" t="s">
        <v>36</v>
      </c>
      <c r="G226" t="s">
        <v>43</v>
      </c>
      <c r="H226" t="s">
        <v>1060</v>
      </c>
      <c r="I226">
        <v>31500</v>
      </c>
      <c r="J226">
        <v>12</v>
      </c>
      <c r="K226">
        <v>378000</v>
      </c>
      <c r="L226">
        <v>2</v>
      </c>
      <c r="M226">
        <v>1</v>
      </c>
      <c r="N226" t="s">
        <v>1077</v>
      </c>
      <c r="O226">
        <v>90</v>
      </c>
      <c r="P226">
        <v>12</v>
      </c>
      <c r="Q226">
        <v>3</v>
      </c>
      <c r="S226" t="s">
        <v>38</v>
      </c>
      <c r="T226">
        <v>10</v>
      </c>
      <c r="U226">
        <v>2500</v>
      </c>
      <c r="V226" t="s">
        <v>39</v>
      </c>
      <c r="W226" t="s">
        <v>1077</v>
      </c>
      <c r="X226" t="s">
        <v>20</v>
      </c>
      <c r="Y226">
        <v>25</v>
      </c>
    </row>
    <row r="227" spans="1:25">
      <c r="A227" t="s">
        <v>498</v>
      </c>
      <c r="B227" t="s">
        <v>499</v>
      </c>
      <c r="C227">
        <v>23</v>
      </c>
      <c r="D227" t="s">
        <v>1077</v>
      </c>
      <c r="E227" t="s">
        <v>61</v>
      </c>
      <c r="F227" t="s">
        <v>66</v>
      </c>
      <c r="G227" t="s">
        <v>43</v>
      </c>
      <c r="H227" t="s">
        <v>1060</v>
      </c>
      <c r="I227">
        <v>24000</v>
      </c>
      <c r="J227">
        <v>12</v>
      </c>
      <c r="K227">
        <v>288000</v>
      </c>
      <c r="L227">
        <v>1</v>
      </c>
      <c r="M227">
        <v>1</v>
      </c>
      <c r="N227" t="s">
        <v>1077</v>
      </c>
      <c r="O227">
        <v>88</v>
      </c>
      <c r="P227">
        <v>12</v>
      </c>
      <c r="Q227">
        <v>3</v>
      </c>
      <c r="R227" t="s">
        <v>37</v>
      </c>
      <c r="S227" t="s">
        <v>38</v>
      </c>
      <c r="T227">
        <v>5</v>
      </c>
      <c r="U227">
        <v>1250</v>
      </c>
      <c r="V227" t="s">
        <v>39</v>
      </c>
      <c r="W227" t="s">
        <v>1077</v>
      </c>
      <c r="X227" t="s">
        <v>33</v>
      </c>
      <c r="Y227">
        <v>20</v>
      </c>
    </row>
    <row r="228" spans="1:25">
      <c r="A228" t="s">
        <v>500</v>
      </c>
      <c r="B228" t="s">
        <v>501</v>
      </c>
      <c r="C228">
        <v>25</v>
      </c>
      <c r="D228" t="s">
        <v>46</v>
      </c>
      <c r="E228" t="s">
        <v>47</v>
      </c>
      <c r="F228" t="s">
        <v>66</v>
      </c>
      <c r="G228" t="s">
        <v>43</v>
      </c>
      <c r="H228" t="s">
        <v>1060</v>
      </c>
      <c r="I228">
        <v>31000</v>
      </c>
      <c r="J228">
        <v>12</v>
      </c>
      <c r="K228">
        <v>372000</v>
      </c>
      <c r="L228">
        <v>2</v>
      </c>
      <c r="M228">
        <v>1</v>
      </c>
      <c r="N228" t="s">
        <v>1077</v>
      </c>
      <c r="O228">
        <v>80</v>
      </c>
      <c r="P228">
        <v>15</v>
      </c>
      <c r="Q228">
        <v>5</v>
      </c>
      <c r="R228" t="s">
        <v>21</v>
      </c>
      <c r="S228" t="s">
        <v>38</v>
      </c>
      <c r="T228">
        <v>10</v>
      </c>
      <c r="U228">
        <v>2500</v>
      </c>
      <c r="V228" t="s">
        <v>39</v>
      </c>
      <c r="W228" t="s">
        <v>1077</v>
      </c>
      <c r="X228" t="s">
        <v>33</v>
      </c>
      <c r="Y228">
        <v>20</v>
      </c>
    </row>
    <row r="229" spans="1:25">
      <c r="A229" t="s">
        <v>502</v>
      </c>
      <c r="B229" t="s">
        <v>503</v>
      </c>
      <c r="C229">
        <v>24</v>
      </c>
      <c r="D229" t="s">
        <v>46</v>
      </c>
      <c r="E229" t="s">
        <v>61</v>
      </c>
      <c r="F229" t="s">
        <v>18</v>
      </c>
      <c r="G229" t="s">
        <v>43</v>
      </c>
      <c r="H229" t="s">
        <v>1060</v>
      </c>
      <c r="I229">
        <v>24000</v>
      </c>
      <c r="J229">
        <v>12</v>
      </c>
      <c r="K229">
        <v>288000</v>
      </c>
      <c r="L229">
        <v>1</v>
      </c>
      <c r="M229">
        <v>1</v>
      </c>
      <c r="N229" t="s">
        <v>1077</v>
      </c>
      <c r="O229">
        <v>90</v>
      </c>
      <c r="P229">
        <v>12</v>
      </c>
      <c r="Q229">
        <v>5</v>
      </c>
      <c r="R229" t="s">
        <v>37</v>
      </c>
      <c r="S229" t="s">
        <v>38</v>
      </c>
      <c r="T229">
        <v>10</v>
      </c>
      <c r="U229">
        <v>2500</v>
      </c>
      <c r="V229" t="s">
        <v>39</v>
      </c>
      <c r="W229" t="s">
        <v>1077</v>
      </c>
      <c r="X229" t="s">
        <v>20</v>
      </c>
      <c r="Y229">
        <v>10</v>
      </c>
    </row>
    <row r="230" spans="1:25">
      <c r="A230" t="s">
        <v>504</v>
      </c>
      <c r="B230" t="s">
        <v>505</v>
      </c>
      <c r="C230">
        <v>24</v>
      </c>
      <c r="D230" t="s">
        <v>25</v>
      </c>
      <c r="E230" t="s">
        <v>73</v>
      </c>
      <c r="F230" t="s">
        <v>66</v>
      </c>
      <c r="G230" t="s">
        <v>43</v>
      </c>
      <c r="H230" t="s">
        <v>1060</v>
      </c>
      <c r="I230">
        <v>31000</v>
      </c>
      <c r="J230">
        <v>12</v>
      </c>
      <c r="K230">
        <v>372000</v>
      </c>
      <c r="L230">
        <v>2</v>
      </c>
      <c r="M230">
        <v>1</v>
      </c>
      <c r="N230" t="s">
        <v>1077</v>
      </c>
      <c r="O230">
        <v>90</v>
      </c>
      <c r="P230">
        <v>12</v>
      </c>
      <c r="Q230">
        <v>3</v>
      </c>
      <c r="R230" t="s">
        <v>21</v>
      </c>
      <c r="S230" t="s">
        <v>38</v>
      </c>
      <c r="T230">
        <v>10</v>
      </c>
      <c r="U230">
        <v>2500</v>
      </c>
      <c r="V230" t="s">
        <v>39</v>
      </c>
      <c r="W230" t="s">
        <v>1077</v>
      </c>
      <c r="X230" t="s">
        <v>33</v>
      </c>
      <c r="Y230">
        <v>20</v>
      </c>
    </row>
    <row r="231" spans="1:25">
      <c r="A231" t="s">
        <v>506</v>
      </c>
      <c r="B231" t="s">
        <v>507</v>
      </c>
      <c r="C231">
        <v>23</v>
      </c>
      <c r="D231" t="s">
        <v>1077</v>
      </c>
      <c r="E231" t="s">
        <v>61</v>
      </c>
      <c r="F231" t="s">
        <v>18</v>
      </c>
      <c r="G231" t="s">
        <v>43</v>
      </c>
      <c r="H231" t="s">
        <v>1060</v>
      </c>
      <c r="I231">
        <v>24000</v>
      </c>
      <c r="J231">
        <v>12</v>
      </c>
      <c r="K231">
        <v>288000</v>
      </c>
      <c r="L231">
        <v>1</v>
      </c>
      <c r="M231">
        <v>4</v>
      </c>
      <c r="N231">
        <v>7200</v>
      </c>
      <c r="O231">
        <v>85</v>
      </c>
      <c r="P231">
        <v>12</v>
      </c>
      <c r="Q231">
        <v>2</v>
      </c>
      <c r="R231" t="s">
        <v>21</v>
      </c>
      <c r="S231" t="s">
        <v>38</v>
      </c>
      <c r="T231">
        <v>5</v>
      </c>
      <c r="U231">
        <v>1250</v>
      </c>
      <c r="V231" t="s">
        <v>22</v>
      </c>
      <c r="W231" t="s">
        <v>1077</v>
      </c>
      <c r="X231" t="s">
        <v>20</v>
      </c>
      <c r="Y231">
        <v>10</v>
      </c>
    </row>
    <row r="232" spans="1:25">
      <c r="A232" t="s">
        <v>508</v>
      </c>
      <c r="B232" t="s">
        <v>509</v>
      </c>
      <c r="C232">
        <v>23</v>
      </c>
      <c r="D232" t="s">
        <v>46</v>
      </c>
      <c r="E232" t="s">
        <v>64</v>
      </c>
      <c r="F232" t="s">
        <v>66</v>
      </c>
      <c r="G232" t="s">
        <v>43</v>
      </c>
      <c r="H232" t="s">
        <v>1060</v>
      </c>
      <c r="I232">
        <v>31000</v>
      </c>
      <c r="J232">
        <v>12</v>
      </c>
      <c r="K232">
        <v>372000</v>
      </c>
      <c r="L232">
        <v>2</v>
      </c>
      <c r="M232">
        <v>3</v>
      </c>
      <c r="N232">
        <v>9300</v>
      </c>
      <c r="O232">
        <v>95</v>
      </c>
      <c r="P232">
        <v>12</v>
      </c>
      <c r="Q232">
        <v>5</v>
      </c>
      <c r="S232" t="s">
        <v>38</v>
      </c>
      <c r="T232">
        <v>20</v>
      </c>
      <c r="U232">
        <v>5000</v>
      </c>
      <c r="V232" t="s">
        <v>22</v>
      </c>
      <c r="W232" t="s">
        <v>1077</v>
      </c>
      <c r="X232" t="s">
        <v>33</v>
      </c>
      <c r="Y232">
        <v>20</v>
      </c>
    </row>
    <row r="233" spans="1:25">
      <c r="A233" t="s">
        <v>510</v>
      </c>
      <c r="B233" t="s">
        <v>511</v>
      </c>
      <c r="C233">
        <v>25</v>
      </c>
      <c r="D233" t="s">
        <v>1077</v>
      </c>
      <c r="E233" t="s">
        <v>65</v>
      </c>
      <c r="F233" t="s">
        <v>66</v>
      </c>
      <c r="G233" t="s">
        <v>43</v>
      </c>
      <c r="H233" t="s">
        <v>1060</v>
      </c>
      <c r="I233">
        <v>24000</v>
      </c>
      <c r="J233">
        <v>12</v>
      </c>
      <c r="K233">
        <v>288000</v>
      </c>
      <c r="L233">
        <v>1</v>
      </c>
      <c r="M233">
        <v>1</v>
      </c>
      <c r="N233" t="s">
        <v>1077</v>
      </c>
      <c r="O233">
        <v>85</v>
      </c>
      <c r="P233">
        <v>12</v>
      </c>
      <c r="Q233">
        <v>1</v>
      </c>
      <c r="S233" t="s">
        <v>38</v>
      </c>
      <c r="T233">
        <v>10</v>
      </c>
      <c r="U233">
        <v>2500</v>
      </c>
      <c r="V233" t="s">
        <v>39</v>
      </c>
      <c r="W233" t="s">
        <v>1077</v>
      </c>
      <c r="X233" t="s">
        <v>33</v>
      </c>
      <c r="Y233">
        <v>20</v>
      </c>
    </row>
    <row r="234" spans="1:25">
      <c r="A234" t="s">
        <v>512</v>
      </c>
      <c r="B234" t="s">
        <v>513</v>
      </c>
      <c r="C234">
        <v>24</v>
      </c>
      <c r="D234" t="s">
        <v>1077</v>
      </c>
      <c r="E234" t="s">
        <v>50</v>
      </c>
      <c r="F234" t="s">
        <v>31</v>
      </c>
      <c r="G234" t="s">
        <v>43</v>
      </c>
      <c r="H234" t="s">
        <v>1060</v>
      </c>
      <c r="I234">
        <v>24000</v>
      </c>
      <c r="J234">
        <v>12</v>
      </c>
      <c r="K234">
        <v>288000</v>
      </c>
      <c r="L234">
        <v>1</v>
      </c>
      <c r="M234">
        <v>2</v>
      </c>
      <c r="N234" t="s">
        <v>1077</v>
      </c>
      <c r="O234">
        <v>95</v>
      </c>
      <c r="P234">
        <v>12</v>
      </c>
      <c r="Q234">
        <v>5</v>
      </c>
      <c r="S234" t="s">
        <v>38</v>
      </c>
      <c r="T234">
        <v>5</v>
      </c>
      <c r="U234">
        <v>1250</v>
      </c>
      <c r="V234" t="s">
        <v>39</v>
      </c>
      <c r="W234" t="s">
        <v>1077</v>
      </c>
      <c r="X234" t="s">
        <v>33</v>
      </c>
      <c r="Y234">
        <v>13</v>
      </c>
    </row>
    <row r="235" spans="1:25">
      <c r="A235" t="s">
        <v>514</v>
      </c>
      <c r="B235" t="s">
        <v>515</v>
      </c>
      <c r="C235">
        <v>23</v>
      </c>
      <c r="D235" t="s">
        <v>25</v>
      </c>
      <c r="E235" t="s">
        <v>57</v>
      </c>
      <c r="F235" t="s">
        <v>31</v>
      </c>
      <c r="G235" t="s">
        <v>43</v>
      </c>
      <c r="H235" t="s">
        <v>1060</v>
      </c>
      <c r="I235">
        <v>31000</v>
      </c>
      <c r="J235">
        <v>12</v>
      </c>
      <c r="K235">
        <v>372000</v>
      </c>
      <c r="L235">
        <v>2</v>
      </c>
      <c r="M235">
        <v>1</v>
      </c>
      <c r="N235" t="s">
        <v>1077</v>
      </c>
      <c r="O235">
        <v>90</v>
      </c>
      <c r="P235">
        <v>5</v>
      </c>
      <c r="Q235">
        <v>1</v>
      </c>
      <c r="R235" t="s">
        <v>37</v>
      </c>
      <c r="S235" t="s">
        <v>38</v>
      </c>
      <c r="T235">
        <v>5</v>
      </c>
      <c r="U235">
        <v>1250</v>
      </c>
      <c r="V235" t="s">
        <v>39</v>
      </c>
      <c r="W235" t="s">
        <v>1077</v>
      </c>
      <c r="X235" t="s">
        <v>33</v>
      </c>
      <c r="Y235">
        <v>13</v>
      </c>
    </row>
    <row r="236" spans="1:25">
      <c r="A236" t="s">
        <v>516</v>
      </c>
      <c r="B236" t="s">
        <v>517</v>
      </c>
      <c r="C236">
        <v>34</v>
      </c>
      <c r="D236" t="s">
        <v>25</v>
      </c>
      <c r="E236" t="s">
        <v>26</v>
      </c>
      <c r="F236" t="s">
        <v>18</v>
      </c>
      <c r="G236" t="s">
        <v>32</v>
      </c>
      <c r="H236" t="s">
        <v>1060</v>
      </c>
      <c r="I236">
        <v>91000</v>
      </c>
      <c r="J236">
        <v>12</v>
      </c>
      <c r="K236">
        <v>1092000</v>
      </c>
      <c r="L236">
        <v>12</v>
      </c>
      <c r="M236">
        <v>3</v>
      </c>
      <c r="N236">
        <v>27300</v>
      </c>
      <c r="O236">
        <v>88</v>
      </c>
      <c r="P236">
        <v>5</v>
      </c>
      <c r="Q236">
        <v>3</v>
      </c>
      <c r="R236" t="s">
        <v>21</v>
      </c>
      <c r="S236" t="s">
        <v>19</v>
      </c>
      <c r="T236">
        <v>20</v>
      </c>
      <c r="U236">
        <v>7000</v>
      </c>
      <c r="V236" t="s">
        <v>22</v>
      </c>
      <c r="W236" t="s">
        <v>1077</v>
      </c>
      <c r="X236" t="s">
        <v>20</v>
      </c>
      <c r="Y236">
        <v>10</v>
      </c>
    </row>
    <row r="237" spans="1:25">
      <c r="A237" t="s">
        <v>518</v>
      </c>
      <c r="B237" t="s">
        <v>519</v>
      </c>
      <c r="C237">
        <v>25</v>
      </c>
      <c r="D237" t="s">
        <v>25</v>
      </c>
      <c r="E237" t="s">
        <v>26</v>
      </c>
      <c r="F237" t="s">
        <v>27</v>
      </c>
      <c r="G237" t="s">
        <v>43</v>
      </c>
      <c r="H237" t="s">
        <v>1060</v>
      </c>
      <c r="I237">
        <v>31000</v>
      </c>
      <c r="J237">
        <v>12</v>
      </c>
      <c r="K237">
        <v>372000</v>
      </c>
      <c r="L237">
        <v>2</v>
      </c>
      <c r="M237">
        <v>2</v>
      </c>
      <c r="N237" t="s">
        <v>1077</v>
      </c>
      <c r="O237">
        <v>95</v>
      </c>
      <c r="P237">
        <v>10</v>
      </c>
      <c r="Q237">
        <v>1</v>
      </c>
      <c r="S237" t="s">
        <v>38</v>
      </c>
      <c r="T237">
        <v>10</v>
      </c>
      <c r="U237">
        <v>2500</v>
      </c>
      <c r="V237" t="s">
        <v>39</v>
      </c>
      <c r="W237" t="s">
        <v>1077</v>
      </c>
      <c r="X237" t="s">
        <v>20</v>
      </c>
      <c r="Y237">
        <v>12</v>
      </c>
    </row>
    <row r="238" spans="1:25">
      <c r="A238" t="s">
        <v>520</v>
      </c>
      <c r="B238" t="s">
        <v>521</v>
      </c>
      <c r="C238">
        <v>25</v>
      </c>
      <c r="D238" t="s">
        <v>46</v>
      </c>
      <c r="E238" t="s">
        <v>35</v>
      </c>
      <c r="F238" t="s">
        <v>42</v>
      </c>
      <c r="G238" t="s">
        <v>43</v>
      </c>
      <c r="H238" t="s">
        <v>1060</v>
      </c>
      <c r="I238">
        <v>31000</v>
      </c>
      <c r="J238">
        <v>12</v>
      </c>
      <c r="K238">
        <v>372000</v>
      </c>
      <c r="L238">
        <v>2</v>
      </c>
      <c r="M238">
        <v>4</v>
      </c>
      <c r="N238">
        <v>9300</v>
      </c>
      <c r="O238">
        <v>80</v>
      </c>
      <c r="P238">
        <v>15</v>
      </c>
      <c r="Q238">
        <v>6</v>
      </c>
      <c r="R238" t="s">
        <v>21</v>
      </c>
      <c r="S238" t="s">
        <v>38</v>
      </c>
      <c r="T238">
        <v>20</v>
      </c>
      <c r="U238">
        <v>5000</v>
      </c>
      <c r="V238" t="s">
        <v>22</v>
      </c>
      <c r="W238" t="s">
        <v>1077</v>
      </c>
      <c r="X238" t="s">
        <v>20</v>
      </c>
      <c r="Y238">
        <v>14</v>
      </c>
    </row>
    <row r="239" spans="1:25">
      <c r="A239" t="s">
        <v>522</v>
      </c>
      <c r="B239" t="s">
        <v>523</v>
      </c>
      <c r="C239">
        <v>24</v>
      </c>
      <c r="D239" t="s">
        <v>46</v>
      </c>
      <c r="E239" t="s">
        <v>57</v>
      </c>
      <c r="F239" t="s">
        <v>31</v>
      </c>
      <c r="G239" t="s">
        <v>43</v>
      </c>
      <c r="H239" t="s">
        <v>1060</v>
      </c>
      <c r="I239">
        <v>24000</v>
      </c>
      <c r="J239">
        <v>12</v>
      </c>
      <c r="K239">
        <v>288000</v>
      </c>
      <c r="L239">
        <v>1</v>
      </c>
      <c r="M239">
        <v>4</v>
      </c>
      <c r="N239">
        <v>7200</v>
      </c>
      <c r="O239">
        <v>88</v>
      </c>
      <c r="P239">
        <v>10</v>
      </c>
      <c r="Q239">
        <v>7</v>
      </c>
      <c r="R239" t="s">
        <v>37</v>
      </c>
      <c r="S239" t="s">
        <v>38</v>
      </c>
      <c r="T239">
        <v>20</v>
      </c>
      <c r="U239">
        <v>5000</v>
      </c>
      <c r="V239" t="s">
        <v>58</v>
      </c>
      <c r="W239" t="s">
        <v>1077</v>
      </c>
      <c r="X239" t="s">
        <v>33</v>
      </c>
      <c r="Y239">
        <v>13</v>
      </c>
    </row>
    <row r="240" spans="1:25">
      <c r="A240" t="s">
        <v>524</v>
      </c>
      <c r="B240" t="s">
        <v>525</v>
      </c>
      <c r="C240">
        <v>24</v>
      </c>
      <c r="D240" t="s">
        <v>25</v>
      </c>
      <c r="E240" t="s">
        <v>35</v>
      </c>
      <c r="F240" t="s">
        <v>66</v>
      </c>
      <c r="G240" t="s">
        <v>43</v>
      </c>
      <c r="H240" t="s">
        <v>1060</v>
      </c>
      <c r="I240">
        <v>24000</v>
      </c>
      <c r="J240">
        <v>12</v>
      </c>
      <c r="K240">
        <v>288000</v>
      </c>
      <c r="L240">
        <v>1</v>
      </c>
      <c r="M240">
        <v>1</v>
      </c>
      <c r="N240" t="s">
        <v>1077</v>
      </c>
      <c r="O240">
        <v>85</v>
      </c>
      <c r="P240">
        <v>10</v>
      </c>
      <c r="Q240">
        <v>10</v>
      </c>
      <c r="R240" t="s">
        <v>37</v>
      </c>
      <c r="S240" t="s">
        <v>38</v>
      </c>
      <c r="T240">
        <v>10</v>
      </c>
      <c r="U240">
        <v>2500</v>
      </c>
      <c r="V240" t="s">
        <v>39</v>
      </c>
      <c r="W240" t="s">
        <v>1077</v>
      </c>
      <c r="X240" t="s">
        <v>33</v>
      </c>
      <c r="Y240">
        <v>20</v>
      </c>
    </row>
    <row r="241" spans="1:25">
      <c r="A241" t="s">
        <v>526</v>
      </c>
      <c r="B241" t="s">
        <v>527</v>
      </c>
      <c r="C241">
        <v>23</v>
      </c>
      <c r="D241" t="s">
        <v>25</v>
      </c>
      <c r="E241" t="s">
        <v>17</v>
      </c>
      <c r="F241" t="s">
        <v>66</v>
      </c>
      <c r="G241" t="s">
        <v>43</v>
      </c>
      <c r="H241" t="s">
        <v>1060</v>
      </c>
      <c r="I241">
        <v>24000</v>
      </c>
      <c r="J241">
        <v>12</v>
      </c>
      <c r="K241">
        <v>288000</v>
      </c>
      <c r="L241">
        <v>1</v>
      </c>
      <c r="M241">
        <v>3</v>
      </c>
      <c r="N241">
        <v>7200</v>
      </c>
      <c r="O241">
        <v>95</v>
      </c>
      <c r="P241">
        <v>15</v>
      </c>
      <c r="Q241">
        <v>2</v>
      </c>
      <c r="R241" t="s">
        <v>21</v>
      </c>
      <c r="S241" t="s">
        <v>38</v>
      </c>
      <c r="T241">
        <v>5</v>
      </c>
      <c r="U241">
        <v>1250</v>
      </c>
      <c r="V241" t="s">
        <v>22</v>
      </c>
      <c r="W241" t="s">
        <v>1077</v>
      </c>
      <c r="X241" t="s">
        <v>33</v>
      </c>
      <c r="Y241">
        <v>20</v>
      </c>
    </row>
    <row r="242" spans="1:25">
      <c r="A242" t="s">
        <v>528</v>
      </c>
      <c r="B242" t="s">
        <v>529</v>
      </c>
      <c r="C242">
        <v>23</v>
      </c>
      <c r="D242" t="s">
        <v>1077</v>
      </c>
      <c r="E242" t="s">
        <v>73</v>
      </c>
      <c r="F242" t="s">
        <v>18</v>
      </c>
      <c r="G242" t="s">
        <v>43</v>
      </c>
      <c r="H242" t="s">
        <v>1060</v>
      </c>
      <c r="I242">
        <v>31000</v>
      </c>
      <c r="J242">
        <v>12</v>
      </c>
      <c r="K242">
        <v>372000</v>
      </c>
      <c r="L242">
        <v>2</v>
      </c>
      <c r="M242">
        <v>1</v>
      </c>
      <c r="N242" t="s">
        <v>1077</v>
      </c>
      <c r="O242">
        <v>85</v>
      </c>
      <c r="P242">
        <v>12</v>
      </c>
      <c r="Q242">
        <v>10</v>
      </c>
      <c r="R242" t="s">
        <v>37</v>
      </c>
      <c r="S242" t="s">
        <v>38</v>
      </c>
      <c r="T242">
        <v>20</v>
      </c>
      <c r="U242">
        <v>5000</v>
      </c>
      <c r="V242" t="s">
        <v>39</v>
      </c>
      <c r="W242" t="s">
        <v>1077</v>
      </c>
      <c r="X242" t="s">
        <v>20</v>
      </c>
      <c r="Y242">
        <v>10</v>
      </c>
    </row>
    <row r="243" spans="1:25">
      <c r="A243" t="s">
        <v>530</v>
      </c>
      <c r="B243" t="s">
        <v>531</v>
      </c>
      <c r="C243">
        <v>25</v>
      </c>
      <c r="D243" t="s">
        <v>1077</v>
      </c>
      <c r="E243" t="s">
        <v>73</v>
      </c>
      <c r="F243" t="s">
        <v>42</v>
      </c>
      <c r="G243" t="s">
        <v>43</v>
      </c>
      <c r="H243" t="s">
        <v>1060</v>
      </c>
      <c r="I243">
        <v>31000</v>
      </c>
      <c r="J243">
        <v>12</v>
      </c>
      <c r="K243">
        <v>372000</v>
      </c>
      <c r="L243">
        <v>2</v>
      </c>
      <c r="M243">
        <v>1</v>
      </c>
      <c r="N243" t="s">
        <v>1077</v>
      </c>
      <c r="O243">
        <v>95</v>
      </c>
      <c r="P243">
        <v>15</v>
      </c>
      <c r="Q243">
        <v>5</v>
      </c>
      <c r="S243" t="s">
        <v>38</v>
      </c>
      <c r="T243">
        <v>10</v>
      </c>
      <c r="U243">
        <v>2500</v>
      </c>
      <c r="V243" t="s">
        <v>39</v>
      </c>
      <c r="W243" t="s">
        <v>1077</v>
      </c>
      <c r="X243" t="s">
        <v>20</v>
      </c>
      <c r="Y243">
        <v>14</v>
      </c>
    </row>
    <row r="244" spans="1:25">
      <c r="A244" t="s">
        <v>532</v>
      </c>
      <c r="B244" t="s">
        <v>533</v>
      </c>
      <c r="C244">
        <v>47</v>
      </c>
      <c r="D244" t="s">
        <v>46</v>
      </c>
      <c r="E244" t="s">
        <v>26</v>
      </c>
      <c r="F244" t="s">
        <v>27</v>
      </c>
      <c r="G244" t="s">
        <v>1050</v>
      </c>
      <c r="H244" t="s">
        <v>1060</v>
      </c>
      <c r="I244">
        <v>148000</v>
      </c>
      <c r="J244">
        <v>12</v>
      </c>
      <c r="K244">
        <v>1776000</v>
      </c>
      <c r="L244">
        <v>16</v>
      </c>
      <c r="M244">
        <v>4</v>
      </c>
      <c r="N244">
        <v>44400</v>
      </c>
      <c r="O244">
        <v>80</v>
      </c>
      <c r="P244">
        <v>5</v>
      </c>
      <c r="Q244">
        <v>2</v>
      </c>
      <c r="S244" t="s">
        <v>38</v>
      </c>
      <c r="U244" t="s">
        <v>1077</v>
      </c>
      <c r="V244" t="s">
        <v>22</v>
      </c>
      <c r="W244" t="s">
        <v>1077</v>
      </c>
      <c r="X244" t="s">
        <v>20</v>
      </c>
      <c r="Y244">
        <v>12</v>
      </c>
    </row>
    <row r="245" spans="1:25">
      <c r="A245" t="s">
        <v>534</v>
      </c>
      <c r="B245" t="s">
        <v>535</v>
      </c>
      <c r="C245">
        <v>27</v>
      </c>
      <c r="D245" t="s">
        <v>25</v>
      </c>
      <c r="E245" t="s">
        <v>57</v>
      </c>
      <c r="F245" t="s">
        <v>36</v>
      </c>
      <c r="G245" t="s">
        <v>1048</v>
      </c>
      <c r="H245" t="s">
        <v>1060</v>
      </c>
      <c r="I245">
        <v>68000</v>
      </c>
      <c r="J245">
        <v>12</v>
      </c>
      <c r="K245">
        <v>816000</v>
      </c>
      <c r="L245">
        <v>5</v>
      </c>
      <c r="M245">
        <v>4</v>
      </c>
      <c r="N245">
        <v>20400</v>
      </c>
      <c r="O245">
        <v>88</v>
      </c>
      <c r="P245">
        <v>10</v>
      </c>
      <c r="Q245">
        <v>5</v>
      </c>
      <c r="S245" t="s">
        <v>19</v>
      </c>
      <c r="T245">
        <v>20</v>
      </c>
      <c r="U245">
        <v>6000</v>
      </c>
      <c r="V245" t="s">
        <v>22</v>
      </c>
      <c r="W245" t="s">
        <v>1077</v>
      </c>
      <c r="X245" t="s">
        <v>20</v>
      </c>
      <c r="Y245">
        <v>25</v>
      </c>
    </row>
    <row r="246" spans="1:25">
      <c r="A246" t="s">
        <v>536</v>
      </c>
      <c r="B246" t="s">
        <v>537</v>
      </c>
      <c r="C246">
        <v>40</v>
      </c>
      <c r="D246" t="s">
        <v>46</v>
      </c>
      <c r="E246" t="s">
        <v>35</v>
      </c>
      <c r="F246" t="s">
        <v>42</v>
      </c>
      <c r="G246" t="s">
        <v>1045</v>
      </c>
      <c r="H246" t="s">
        <v>1060</v>
      </c>
      <c r="I246">
        <v>78000</v>
      </c>
      <c r="J246">
        <v>12</v>
      </c>
      <c r="K246">
        <v>936000</v>
      </c>
      <c r="L246">
        <v>7</v>
      </c>
      <c r="M246">
        <v>4</v>
      </c>
      <c r="N246">
        <v>23400</v>
      </c>
      <c r="O246">
        <v>85</v>
      </c>
      <c r="P246">
        <v>12</v>
      </c>
      <c r="Q246">
        <v>1</v>
      </c>
      <c r="S246" t="s">
        <v>38</v>
      </c>
      <c r="T246">
        <v>5</v>
      </c>
      <c r="U246">
        <v>1500</v>
      </c>
      <c r="V246" t="s">
        <v>22</v>
      </c>
      <c r="W246" t="s">
        <v>1077</v>
      </c>
      <c r="X246" t="s">
        <v>20</v>
      </c>
      <c r="Y246">
        <v>14</v>
      </c>
    </row>
    <row r="247" spans="1:25">
      <c r="A247" t="s">
        <v>538</v>
      </c>
      <c r="B247" t="s">
        <v>539</v>
      </c>
      <c r="C247">
        <v>25</v>
      </c>
      <c r="D247" t="s">
        <v>1077</v>
      </c>
      <c r="E247" t="s">
        <v>73</v>
      </c>
      <c r="F247" t="s">
        <v>27</v>
      </c>
      <c r="G247" t="s">
        <v>43</v>
      </c>
      <c r="H247" t="s">
        <v>1060</v>
      </c>
      <c r="I247">
        <v>31000</v>
      </c>
      <c r="J247">
        <v>12</v>
      </c>
      <c r="K247">
        <v>372000</v>
      </c>
      <c r="L247">
        <v>2</v>
      </c>
      <c r="M247">
        <v>1</v>
      </c>
      <c r="N247" t="s">
        <v>1077</v>
      </c>
      <c r="O247">
        <v>85</v>
      </c>
      <c r="P247">
        <v>12</v>
      </c>
      <c r="Q247">
        <v>3</v>
      </c>
      <c r="S247" t="s">
        <v>38</v>
      </c>
      <c r="T247">
        <v>10</v>
      </c>
      <c r="U247">
        <v>2500</v>
      </c>
      <c r="V247" t="s">
        <v>39</v>
      </c>
      <c r="W247" t="s">
        <v>1077</v>
      </c>
      <c r="X247" t="s">
        <v>20</v>
      </c>
      <c r="Y247">
        <v>12</v>
      </c>
    </row>
    <row r="248" spans="1:25">
      <c r="A248" t="s">
        <v>540</v>
      </c>
      <c r="B248" t="s">
        <v>541</v>
      </c>
      <c r="C248">
        <v>33</v>
      </c>
      <c r="D248" t="s">
        <v>25</v>
      </c>
      <c r="E248" t="s">
        <v>57</v>
      </c>
      <c r="F248" t="s">
        <v>31</v>
      </c>
      <c r="G248" t="s">
        <v>82</v>
      </c>
      <c r="H248" t="s">
        <v>1060</v>
      </c>
      <c r="I248">
        <v>89000</v>
      </c>
      <c r="J248">
        <v>12</v>
      </c>
      <c r="K248">
        <v>1068000</v>
      </c>
      <c r="L248">
        <v>6</v>
      </c>
      <c r="M248">
        <v>3</v>
      </c>
      <c r="N248">
        <v>26700</v>
      </c>
      <c r="O248">
        <v>90</v>
      </c>
      <c r="P248">
        <v>15</v>
      </c>
      <c r="Q248">
        <v>1</v>
      </c>
      <c r="R248" t="s">
        <v>37</v>
      </c>
      <c r="S248" t="s">
        <v>38</v>
      </c>
      <c r="T248">
        <v>10</v>
      </c>
      <c r="U248">
        <v>3500</v>
      </c>
      <c r="V248" t="s">
        <v>22</v>
      </c>
      <c r="W248" t="s">
        <v>1077</v>
      </c>
      <c r="X248" t="s">
        <v>33</v>
      </c>
      <c r="Y248">
        <v>13</v>
      </c>
    </row>
    <row r="249" spans="1:25">
      <c r="A249" t="s">
        <v>542</v>
      </c>
      <c r="B249" t="s">
        <v>359</v>
      </c>
      <c r="C249">
        <v>25</v>
      </c>
      <c r="D249" t="s">
        <v>46</v>
      </c>
      <c r="E249" t="s">
        <v>47</v>
      </c>
      <c r="F249" t="s">
        <v>42</v>
      </c>
      <c r="G249" t="s">
        <v>43</v>
      </c>
      <c r="H249" t="s">
        <v>1060</v>
      </c>
      <c r="I249">
        <v>24000</v>
      </c>
      <c r="J249">
        <v>12</v>
      </c>
      <c r="K249">
        <v>288000</v>
      </c>
      <c r="L249">
        <v>1</v>
      </c>
      <c r="M249">
        <v>1</v>
      </c>
      <c r="N249" t="s">
        <v>1077</v>
      </c>
      <c r="O249">
        <v>95</v>
      </c>
      <c r="P249">
        <v>12</v>
      </c>
      <c r="Q249">
        <v>4</v>
      </c>
      <c r="R249" t="s">
        <v>37</v>
      </c>
      <c r="S249" t="s">
        <v>38</v>
      </c>
      <c r="T249">
        <v>10</v>
      </c>
      <c r="U249">
        <v>2500</v>
      </c>
      <c r="V249" t="s">
        <v>39</v>
      </c>
      <c r="W249" t="s">
        <v>1078</v>
      </c>
      <c r="X249" t="s">
        <v>20</v>
      </c>
      <c r="Y249">
        <v>14</v>
      </c>
    </row>
    <row r="250" spans="1:25">
      <c r="A250" t="s">
        <v>543</v>
      </c>
      <c r="B250" t="s">
        <v>544</v>
      </c>
      <c r="C250">
        <v>19</v>
      </c>
      <c r="D250" t="s">
        <v>46</v>
      </c>
      <c r="E250" t="s">
        <v>50</v>
      </c>
      <c r="F250" t="s">
        <v>31</v>
      </c>
      <c r="G250" t="s">
        <v>1047</v>
      </c>
      <c r="H250" t="s">
        <v>1060</v>
      </c>
      <c r="I250">
        <v>9000</v>
      </c>
      <c r="J250">
        <v>12</v>
      </c>
      <c r="K250">
        <v>108000</v>
      </c>
      <c r="L250">
        <v>1</v>
      </c>
      <c r="M250">
        <v>1</v>
      </c>
      <c r="N250" t="s">
        <v>1077</v>
      </c>
      <c r="O250">
        <v>90</v>
      </c>
      <c r="P250">
        <v>10</v>
      </c>
      <c r="Q250">
        <v>2</v>
      </c>
      <c r="R250" t="s">
        <v>21</v>
      </c>
      <c r="S250" t="s">
        <v>19</v>
      </c>
      <c r="U250">
        <v>0</v>
      </c>
      <c r="V250" t="s">
        <v>39</v>
      </c>
      <c r="W250" t="s">
        <v>1077</v>
      </c>
      <c r="X250" t="s">
        <v>33</v>
      </c>
      <c r="Y250">
        <v>13</v>
      </c>
    </row>
    <row r="251" spans="1:25">
      <c r="A251" t="s">
        <v>545</v>
      </c>
      <c r="B251" t="s">
        <v>546</v>
      </c>
      <c r="C251">
        <v>24</v>
      </c>
      <c r="D251" t="s">
        <v>46</v>
      </c>
      <c r="E251" t="s">
        <v>17</v>
      </c>
      <c r="F251" t="s">
        <v>27</v>
      </c>
      <c r="G251" t="s">
        <v>43</v>
      </c>
      <c r="H251" t="s">
        <v>1060</v>
      </c>
      <c r="I251">
        <v>24000</v>
      </c>
      <c r="J251">
        <v>12</v>
      </c>
      <c r="K251">
        <v>288000</v>
      </c>
      <c r="L251">
        <v>1</v>
      </c>
      <c r="M251">
        <v>4</v>
      </c>
      <c r="N251">
        <v>7200</v>
      </c>
      <c r="O251">
        <v>80</v>
      </c>
      <c r="P251">
        <v>15</v>
      </c>
      <c r="Q251">
        <v>5</v>
      </c>
      <c r="R251" t="s">
        <v>37</v>
      </c>
      <c r="S251" t="s">
        <v>19</v>
      </c>
      <c r="U251">
        <v>0</v>
      </c>
      <c r="V251" t="s">
        <v>22</v>
      </c>
      <c r="W251" t="s">
        <v>1077</v>
      </c>
      <c r="X251" t="s">
        <v>20</v>
      </c>
      <c r="Y251">
        <v>12</v>
      </c>
    </row>
    <row r="252" spans="1:25">
      <c r="A252" t="s">
        <v>547</v>
      </c>
      <c r="B252" t="s">
        <v>548</v>
      </c>
      <c r="C252">
        <v>25</v>
      </c>
      <c r="D252" t="s">
        <v>1077</v>
      </c>
      <c r="E252" t="s">
        <v>61</v>
      </c>
      <c r="F252" t="s">
        <v>36</v>
      </c>
      <c r="G252" t="s">
        <v>43</v>
      </c>
      <c r="H252" t="s">
        <v>1060</v>
      </c>
      <c r="I252">
        <v>31000</v>
      </c>
      <c r="J252">
        <v>12</v>
      </c>
      <c r="K252">
        <v>372000</v>
      </c>
      <c r="L252">
        <v>2</v>
      </c>
      <c r="M252">
        <v>3</v>
      </c>
      <c r="N252">
        <v>9300</v>
      </c>
      <c r="O252">
        <v>95</v>
      </c>
      <c r="P252">
        <v>15</v>
      </c>
      <c r="Q252">
        <v>11</v>
      </c>
      <c r="R252" t="s">
        <v>37</v>
      </c>
      <c r="S252" t="s">
        <v>38</v>
      </c>
      <c r="U252">
        <v>0</v>
      </c>
      <c r="V252" t="s">
        <v>22</v>
      </c>
      <c r="W252" t="s">
        <v>1077</v>
      </c>
      <c r="X252" t="s">
        <v>20</v>
      </c>
      <c r="Y252">
        <v>25</v>
      </c>
    </row>
    <row r="253" spans="1:25">
      <c r="A253" t="s">
        <v>549</v>
      </c>
      <c r="B253" t="s">
        <v>550</v>
      </c>
      <c r="C253">
        <v>23</v>
      </c>
      <c r="D253" t="s">
        <v>25</v>
      </c>
      <c r="E253" t="s">
        <v>57</v>
      </c>
      <c r="F253" t="s">
        <v>18</v>
      </c>
      <c r="G253" t="s">
        <v>43</v>
      </c>
      <c r="H253" t="s">
        <v>1060</v>
      </c>
      <c r="I253">
        <v>28000</v>
      </c>
      <c r="J253">
        <v>12</v>
      </c>
      <c r="K253">
        <v>336000</v>
      </c>
      <c r="L253">
        <v>2</v>
      </c>
      <c r="M253">
        <v>1</v>
      </c>
      <c r="N253" t="s">
        <v>1077</v>
      </c>
      <c r="O253">
        <v>90</v>
      </c>
      <c r="P253">
        <v>12</v>
      </c>
      <c r="Q253">
        <v>3</v>
      </c>
      <c r="R253" t="s">
        <v>21</v>
      </c>
      <c r="S253" t="s">
        <v>38</v>
      </c>
      <c r="T253">
        <v>10</v>
      </c>
      <c r="U253">
        <v>2500</v>
      </c>
      <c r="V253" t="s">
        <v>39</v>
      </c>
      <c r="W253" t="s">
        <v>1077</v>
      </c>
      <c r="X253" t="s">
        <v>20</v>
      </c>
      <c r="Y253">
        <v>10</v>
      </c>
    </row>
    <row r="254" spans="1:25">
      <c r="A254" t="s">
        <v>551</v>
      </c>
      <c r="B254" t="s">
        <v>552</v>
      </c>
      <c r="C254">
        <v>29</v>
      </c>
      <c r="D254" t="s">
        <v>25</v>
      </c>
      <c r="E254" t="s">
        <v>65</v>
      </c>
      <c r="F254" t="s">
        <v>31</v>
      </c>
      <c r="G254" t="s">
        <v>1045</v>
      </c>
      <c r="H254" t="s">
        <v>1060</v>
      </c>
      <c r="I254">
        <v>78000</v>
      </c>
      <c r="J254">
        <v>12</v>
      </c>
      <c r="K254">
        <v>936000</v>
      </c>
      <c r="L254">
        <v>5</v>
      </c>
      <c r="M254">
        <v>2</v>
      </c>
      <c r="N254" t="s">
        <v>1077</v>
      </c>
      <c r="O254">
        <v>88</v>
      </c>
      <c r="P254">
        <v>15</v>
      </c>
      <c r="Q254">
        <v>1</v>
      </c>
      <c r="R254" t="s">
        <v>37</v>
      </c>
      <c r="S254" t="s">
        <v>19</v>
      </c>
      <c r="T254">
        <v>10</v>
      </c>
      <c r="U254">
        <v>3000</v>
      </c>
      <c r="V254" t="s">
        <v>39</v>
      </c>
      <c r="W254" t="s">
        <v>1077</v>
      </c>
      <c r="X254" t="s">
        <v>33</v>
      </c>
      <c r="Y254">
        <v>13</v>
      </c>
    </row>
    <row r="255" spans="1:25">
      <c r="A255" t="s">
        <v>553</v>
      </c>
      <c r="B255" t="s">
        <v>554</v>
      </c>
      <c r="C255">
        <v>24</v>
      </c>
      <c r="D255" t="s">
        <v>46</v>
      </c>
      <c r="E255" t="s">
        <v>50</v>
      </c>
      <c r="F255" t="s">
        <v>31</v>
      </c>
      <c r="G255" t="s">
        <v>43</v>
      </c>
      <c r="H255" t="s">
        <v>1060</v>
      </c>
      <c r="I255">
        <v>24000</v>
      </c>
      <c r="J255">
        <v>12</v>
      </c>
      <c r="K255">
        <v>288000</v>
      </c>
      <c r="L255">
        <v>1</v>
      </c>
      <c r="M255">
        <v>4</v>
      </c>
      <c r="N255">
        <v>7200</v>
      </c>
      <c r="O255">
        <v>90</v>
      </c>
      <c r="P255">
        <v>5</v>
      </c>
      <c r="Q255">
        <v>1</v>
      </c>
      <c r="S255" t="s">
        <v>38</v>
      </c>
      <c r="T255">
        <v>10</v>
      </c>
      <c r="U255">
        <v>2500</v>
      </c>
      <c r="V255" t="s">
        <v>22</v>
      </c>
      <c r="W255" t="s">
        <v>1077</v>
      </c>
      <c r="X255" t="s">
        <v>33</v>
      </c>
      <c r="Y255">
        <v>13</v>
      </c>
    </row>
    <row r="256" spans="1:25">
      <c r="A256" t="s">
        <v>555</v>
      </c>
      <c r="B256" t="s">
        <v>556</v>
      </c>
      <c r="C256">
        <v>23</v>
      </c>
      <c r="D256" t="s">
        <v>46</v>
      </c>
      <c r="E256" t="s">
        <v>35</v>
      </c>
      <c r="F256" t="s">
        <v>31</v>
      </c>
      <c r="G256" t="s">
        <v>43</v>
      </c>
      <c r="H256" t="s">
        <v>1060</v>
      </c>
      <c r="I256">
        <v>24000</v>
      </c>
      <c r="J256">
        <v>12</v>
      </c>
      <c r="K256">
        <v>288000</v>
      </c>
      <c r="L256">
        <v>1</v>
      </c>
      <c r="M256">
        <v>1</v>
      </c>
      <c r="N256" t="s">
        <v>1077</v>
      </c>
      <c r="O256">
        <v>88</v>
      </c>
      <c r="P256">
        <v>12</v>
      </c>
      <c r="Q256">
        <v>6</v>
      </c>
      <c r="S256" t="s">
        <v>38</v>
      </c>
      <c r="T256">
        <v>10</v>
      </c>
      <c r="U256">
        <v>2500</v>
      </c>
      <c r="V256" t="s">
        <v>39</v>
      </c>
      <c r="W256" t="s">
        <v>1077</v>
      </c>
      <c r="X256" t="s">
        <v>33</v>
      </c>
      <c r="Y256">
        <v>13</v>
      </c>
    </row>
    <row r="257" spans="1:25">
      <c r="A257" t="s">
        <v>557</v>
      </c>
      <c r="B257" t="s">
        <v>558</v>
      </c>
      <c r="C257">
        <v>25</v>
      </c>
      <c r="D257" t="s">
        <v>46</v>
      </c>
      <c r="E257" t="s">
        <v>64</v>
      </c>
      <c r="F257" t="s">
        <v>42</v>
      </c>
      <c r="G257" t="s">
        <v>43</v>
      </c>
      <c r="H257" t="s">
        <v>1060</v>
      </c>
      <c r="I257">
        <v>24000</v>
      </c>
      <c r="J257">
        <v>12</v>
      </c>
      <c r="K257">
        <v>288000</v>
      </c>
      <c r="L257">
        <v>1</v>
      </c>
      <c r="M257">
        <v>2</v>
      </c>
      <c r="N257" t="s">
        <v>1077</v>
      </c>
      <c r="O257">
        <v>88</v>
      </c>
      <c r="P257">
        <v>12</v>
      </c>
      <c r="Q257">
        <v>1</v>
      </c>
      <c r="R257" t="s">
        <v>21</v>
      </c>
      <c r="S257" t="s">
        <v>38</v>
      </c>
      <c r="U257">
        <v>0</v>
      </c>
      <c r="V257" t="s">
        <v>39</v>
      </c>
      <c r="W257" t="s">
        <v>1077</v>
      </c>
      <c r="X257" t="s">
        <v>20</v>
      </c>
      <c r="Y257">
        <v>14</v>
      </c>
    </row>
    <row r="258" spans="1:25">
      <c r="A258" t="s">
        <v>559</v>
      </c>
      <c r="B258" t="s">
        <v>560</v>
      </c>
      <c r="C258">
        <v>19</v>
      </c>
      <c r="D258" t="s">
        <v>1077</v>
      </c>
      <c r="E258" t="s">
        <v>65</v>
      </c>
      <c r="F258" t="s">
        <v>42</v>
      </c>
      <c r="G258" t="s">
        <v>1047</v>
      </c>
      <c r="H258" t="s">
        <v>1060</v>
      </c>
      <c r="I258">
        <v>9000</v>
      </c>
      <c r="J258">
        <v>12</v>
      </c>
      <c r="K258">
        <v>108000</v>
      </c>
      <c r="L258">
        <v>1</v>
      </c>
      <c r="M258">
        <v>3</v>
      </c>
      <c r="N258">
        <v>2700</v>
      </c>
      <c r="O258">
        <v>90</v>
      </c>
      <c r="P258">
        <v>10</v>
      </c>
      <c r="Q258">
        <v>2</v>
      </c>
      <c r="R258" t="s">
        <v>21</v>
      </c>
      <c r="S258" t="s">
        <v>38</v>
      </c>
      <c r="T258">
        <v>5</v>
      </c>
      <c r="U258">
        <v>1250</v>
      </c>
      <c r="V258" t="s">
        <v>22</v>
      </c>
      <c r="W258" t="s">
        <v>1077</v>
      </c>
      <c r="X258" t="s">
        <v>20</v>
      </c>
      <c r="Y258">
        <v>14</v>
      </c>
    </row>
    <row r="259" spans="1:25">
      <c r="A259" t="s">
        <v>561</v>
      </c>
      <c r="B259" t="s">
        <v>562</v>
      </c>
      <c r="C259">
        <v>24</v>
      </c>
      <c r="D259" t="s">
        <v>25</v>
      </c>
      <c r="E259" t="s">
        <v>35</v>
      </c>
      <c r="F259" t="s">
        <v>18</v>
      </c>
      <c r="G259" t="s">
        <v>43</v>
      </c>
      <c r="H259" t="s">
        <v>1060</v>
      </c>
      <c r="I259">
        <v>28000</v>
      </c>
      <c r="J259">
        <v>12</v>
      </c>
      <c r="K259">
        <v>336000</v>
      </c>
      <c r="L259">
        <v>2</v>
      </c>
      <c r="M259">
        <v>3</v>
      </c>
      <c r="N259">
        <v>8400</v>
      </c>
      <c r="O259">
        <v>95</v>
      </c>
      <c r="P259">
        <v>5</v>
      </c>
      <c r="Q259">
        <v>2</v>
      </c>
      <c r="R259" t="s">
        <v>37</v>
      </c>
      <c r="S259" t="s">
        <v>38</v>
      </c>
      <c r="U259">
        <v>0</v>
      </c>
      <c r="V259" t="s">
        <v>22</v>
      </c>
      <c r="W259" t="s">
        <v>1077</v>
      </c>
      <c r="X259" t="s">
        <v>20</v>
      </c>
      <c r="Y259">
        <v>10</v>
      </c>
    </row>
    <row r="260" spans="1:25">
      <c r="A260" t="s">
        <v>563</v>
      </c>
      <c r="B260" t="s">
        <v>564</v>
      </c>
      <c r="C260">
        <v>53</v>
      </c>
      <c r="D260" t="s">
        <v>46</v>
      </c>
      <c r="E260" t="s">
        <v>50</v>
      </c>
      <c r="F260" t="s">
        <v>36</v>
      </c>
      <c r="G260" t="s">
        <v>1051</v>
      </c>
      <c r="H260" t="s">
        <v>1060</v>
      </c>
      <c r="I260">
        <v>160000</v>
      </c>
      <c r="J260">
        <v>12</v>
      </c>
      <c r="K260">
        <v>1920000</v>
      </c>
      <c r="L260">
        <v>24</v>
      </c>
      <c r="M260">
        <v>3</v>
      </c>
      <c r="N260">
        <v>48000</v>
      </c>
      <c r="O260">
        <v>88</v>
      </c>
      <c r="P260">
        <v>12</v>
      </c>
      <c r="Q260">
        <v>3</v>
      </c>
      <c r="S260" t="s">
        <v>38</v>
      </c>
      <c r="U260" t="s">
        <v>1077</v>
      </c>
      <c r="V260" t="s">
        <v>22</v>
      </c>
      <c r="W260" t="s">
        <v>1077</v>
      </c>
      <c r="X260" t="s">
        <v>20</v>
      </c>
      <c r="Y260">
        <v>25</v>
      </c>
    </row>
    <row r="261" spans="1:25">
      <c r="A261" t="s">
        <v>565</v>
      </c>
      <c r="B261" t="s">
        <v>566</v>
      </c>
      <c r="C261">
        <v>25</v>
      </c>
      <c r="D261" t="s">
        <v>46</v>
      </c>
      <c r="E261" t="s">
        <v>64</v>
      </c>
      <c r="F261" t="s">
        <v>36</v>
      </c>
      <c r="G261" t="s">
        <v>43</v>
      </c>
      <c r="H261" t="s">
        <v>1060</v>
      </c>
      <c r="I261">
        <v>28000</v>
      </c>
      <c r="J261">
        <v>12</v>
      </c>
      <c r="K261">
        <v>336000</v>
      </c>
      <c r="L261">
        <v>2</v>
      </c>
      <c r="M261">
        <v>2</v>
      </c>
      <c r="N261" t="s">
        <v>1077</v>
      </c>
      <c r="O261">
        <v>88</v>
      </c>
      <c r="P261">
        <v>5</v>
      </c>
      <c r="Q261">
        <v>5</v>
      </c>
      <c r="R261" t="s">
        <v>21</v>
      </c>
      <c r="S261" t="s">
        <v>38</v>
      </c>
      <c r="T261">
        <v>20</v>
      </c>
      <c r="U261">
        <v>5000</v>
      </c>
      <c r="V261" t="s">
        <v>39</v>
      </c>
      <c r="W261" t="s">
        <v>1077</v>
      </c>
      <c r="X261" t="s">
        <v>20</v>
      </c>
      <c r="Y261">
        <v>25</v>
      </c>
    </row>
    <row r="262" spans="1:25">
      <c r="A262" t="s">
        <v>542</v>
      </c>
      <c r="B262" t="s">
        <v>359</v>
      </c>
      <c r="C262">
        <v>23</v>
      </c>
      <c r="D262" t="s">
        <v>25</v>
      </c>
      <c r="E262" t="s">
        <v>73</v>
      </c>
      <c r="F262" t="s">
        <v>36</v>
      </c>
      <c r="G262" t="s">
        <v>43</v>
      </c>
      <c r="H262" t="s">
        <v>1060</v>
      </c>
      <c r="I262">
        <v>24000</v>
      </c>
      <c r="J262">
        <v>12</v>
      </c>
      <c r="K262">
        <v>288000</v>
      </c>
      <c r="L262">
        <v>1</v>
      </c>
      <c r="M262">
        <v>4</v>
      </c>
      <c r="N262">
        <v>7200</v>
      </c>
      <c r="O262">
        <v>85</v>
      </c>
      <c r="P262">
        <v>10</v>
      </c>
      <c r="Q262">
        <v>6</v>
      </c>
      <c r="R262" t="s">
        <v>37</v>
      </c>
      <c r="S262" t="s">
        <v>38</v>
      </c>
      <c r="T262">
        <v>20</v>
      </c>
      <c r="U262">
        <v>5000</v>
      </c>
      <c r="V262" t="s">
        <v>22</v>
      </c>
      <c r="W262" t="s">
        <v>1078</v>
      </c>
      <c r="X262" t="s">
        <v>20</v>
      </c>
      <c r="Y262">
        <v>25</v>
      </c>
    </row>
    <row r="263" spans="1:25">
      <c r="A263" t="s">
        <v>567</v>
      </c>
      <c r="B263" t="s">
        <v>568</v>
      </c>
      <c r="C263">
        <v>25</v>
      </c>
      <c r="D263" t="s">
        <v>46</v>
      </c>
      <c r="E263" t="s">
        <v>35</v>
      </c>
      <c r="F263" t="s">
        <v>18</v>
      </c>
      <c r="G263" t="s">
        <v>43</v>
      </c>
      <c r="H263" t="s">
        <v>1060</v>
      </c>
      <c r="I263">
        <v>28000</v>
      </c>
      <c r="J263">
        <v>12</v>
      </c>
      <c r="K263">
        <v>336000</v>
      </c>
      <c r="L263">
        <v>2</v>
      </c>
      <c r="M263">
        <v>5</v>
      </c>
      <c r="N263">
        <v>8400</v>
      </c>
      <c r="O263">
        <v>80</v>
      </c>
      <c r="P263">
        <v>12</v>
      </c>
      <c r="Q263">
        <v>1</v>
      </c>
      <c r="R263" t="s">
        <v>37</v>
      </c>
      <c r="S263" t="s">
        <v>38</v>
      </c>
      <c r="U263">
        <v>0</v>
      </c>
      <c r="V263" t="s">
        <v>58</v>
      </c>
      <c r="W263" t="s">
        <v>1077</v>
      </c>
      <c r="X263" t="s">
        <v>20</v>
      </c>
      <c r="Y263">
        <v>10</v>
      </c>
    </row>
    <row r="264" spans="1:25">
      <c r="A264" t="s">
        <v>569</v>
      </c>
      <c r="B264" t="s">
        <v>570</v>
      </c>
      <c r="C264">
        <v>24</v>
      </c>
      <c r="D264" t="s">
        <v>25</v>
      </c>
      <c r="E264" t="s">
        <v>50</v>
      </c>
      <c r="F264" t="s">
        <v>31</v>
      </c>
      <c r="G264" t="s">
        <v>43</v>
      </c>
      <c r="H264" t="s">
        <v>1060</v>
      </c>
      <c r="I264">
        <v>28000</v>
      </c>
      <c r="J264">
        <v>12</v>
      </c>
      <c r="K264">
        <v>336000</v>
      </c>
      <c r="L264">
        <v>2</v>
      </c>
      <c r="M264">
        <v>1</v>
      </c>
      <c r="N264" t="s">
        <v>1077</v>
      </c>
      <c r="O264">
        <v>80</v>
      </c>
      <c r="P264">
        <v>15</v>
      </c>
      <c r="Q264">
        <v>3</v>
      </c>
      <c r="R264" t="s">
        <v>37</v>
      </c>
      <c r="S264" t="s">
        <v>38</v>
      </c>
      <c r="T264">
        <v>10</v>
      </c>
      <c r="U264">
        <v>2500</v>
      </c>
      <c r="V264" t="s">
        <v>39</v>
      </c>
      <c r="W264" t="s">
        <v>1077</v>
      </c>
      <c r="X264" t="s">
        <v>33</v>
      </c>
      <c r="Y264">
        <v>13</v>
      </c>
    </row>
    <row r="265" spans="1:25">
      <c r="A265" t="s">
        <v>571</v>
      </c>
      <c r="B265" t="s">
        <v>572</v>
      </c>
      <c r="C265">
        <v>25</v>
      </c>
      <c r="D265" t="s">
        <v>1077</v>
      </c>
      <c r="E265" t="s">
        <v>61</v>
      </c>
      <c r="F265" t="s">
        <v>66</v>
      </c>
      <c r="G265" t="s">
        <v>43</v>
      </c>
      <c r="H265" t="s">
        <v>1059</v>
      </c>
      <c r="I265">
        <v>28000</v>
      </c>
      <c r="J265">
        <v>12</v>
      </c>
      <c r="K265">
        <v>336000</v>
      </c>
      <c r="L265">
        <v>2</v>
      </c>
      <c r="M265">
        <v>2</v>
      </c>
      <c r="N265" t="s">
        <v>1077</v>
      </c>
      <c r="O265">
        <v>80</v>
      </c>
      <c r="P265">
        <v>5</v>
      </c>
      <c r="Q265">
        <v>2</v>
      </c>
      <c r="R265" t="s">
        <v>21</v>
      </c>
      <c r="S265" t="s">
        <v>28</v>
      </c>
      <c r="U265">
        <v>0</v>
      </c>
      <c r="V265" t="s">
        <v>39</v>
      </c>
      <c r="W265" t="s">
        <v>1077</v>
      </c>
      <c r="X265" t="s">
        <v>33</v>
      </c>
      <c r="Y265">
        <v>20</v>
      </c>
    </row>
    <row r="266" spans="1:25">
      <c r="A266" t="s">
        <v>573</v>
      </c>
      <c r="B266" t="s">
        <v>574</v>
      </c>
      <c r="C266">
        <v>24</v>
      </c>
      <c r="D266" t="s">
        <v>46</v>
      </c>
      <c r="E266" t="s">
        <v>57</v>
      </c>
      <c r="F266" t="s">
        <v>42</v>
      </c>
      <c r="G266" t="s">
        <v>43</v>
      </c>
      <c r="H266" t="s">
        <v>1060</v>
      </c>
      <c r="I266">
        <v>28000</v>
      </c>
      <c r="J266">
        <v>12</v>
      </c>
      <c r="K266">
        <v>336000</v>
      </c>
      <c r="L266">
        <v>2</v>
      </c>
      <c r="M266">
        <v>4</v>
      </c>
      <c r="N266">
        <v>8400</v>
      </c>
      <c r="O266">
        <v>85</v>
      </c>
      <c r="P266">
        <v>12</v>
      </c>
      <c r="Q266">
        <v>1</v>
      </c>
      <c r="R266" t="s">
        <v>37</v>
      </c>
      <c r="S266" t="s">
        <v>38</v>
      </c>
      <c r="T266">
        <v>5</v>
      </c>
      <c r="U266">
        <v>1250</v>
      </c>
      <c r="V266" t="s">
        <v>58</v>
      </c>
      <c r="W266" t="s">
        <v>1077</v>
      </c>
      <c r="X266" t="s">
        <v>20</v>
      </c>
      <c r="Y266">
        <v>14</v>
      </c>
    </row>
    <row r="267" spans="1:25">
      <c r="A267" t="s">
        <v>575</v>
      </c>
      <c r="B267" t="s">
        <v>576</v>
      </c>
      <c r="C267">
        <v>19</v>
      </c>
      <c r="D267" t="s">
        <v>25</v>
      </c>
      <c r="E267" t="s">
        <v>65</v>
      </c>
      <c r="F267" t="s">
        <v>66</v>
      </c>
      <c r="G267" t="s">
        <v>1047</v>
      </c>
      <c r="H267" t="s">
        <v>1060</v>
      </c>
      <c r="I267">
        <v>9000</v>
      </c>
      <c r="J267">
        <v>12</v>
      </c>
      <c r="K267">
        <v>108000</v>
      </c>
      <c r="L267">
        <v>0</v>
      </c>
      <c r="M267">
        <v>2</v>
      </c>
      <c r="N267" t="s">
        <v>1077</v>
      </c>
      <c r="O267">
        <v>90</v>
      </c>
      <c r="P267">
        <v>15</v>
      </c>
      <c r="Q267">
        <v>2</v>
      </c>
      <c r="R267" t="s">
        <v>21</v>
      </c>
      <c r="S267" t="s">
        <v>19</v>
      </c>
      <c r="T267">
        <v>10</v>
      </c>
      <c r="U267">
        <v>2500</v>
      </c>
      <c r="V267" t="s">
        <v>39</v>
      </c>
      <c r="W267" t="s">
        <v>1077</v>
      </c>
      <c r="X267" t="s">
        <v>33</v>
      </c>
      <c r="Y267">
        <v>20</v>
      </c>
    </row>
    <row r="268" spans="1:25">
      <c r="A268" t="s">
        <v>577</v>
      </c>
      <c r="B268" t="s">
        <v>578</v>
      </c>
      <c r="C268">
        <v>31</v>
      </c>
      <c r="D268" t="s">
        <v>1077</v>
      </c>
      <c r="E268" t="s">
        <v>26</v>
      </c>
      <c r="F268" t="s">
        <v>18</v>
      </c>
      <c r="G268" t="s">
        <v>82</v>
      </c>
      <c r="H268" t="s">
        <v>1060</v>
      </c>
      <c r="I268">
        <v>89000</v>
      </c>
      <c r="J268">
        <v>12</v>
      </c>
      <c r="K268">
        <v>1068000</v>
      </c>
      <c r="L268">
        <v>7</v>
      </c>
      <c r="M268">
        <v>4</v>
      </c>
      <c r="N268">
        <v>26700</v>
      </c>
      <c r="O268">
        <v>85</v>
      </c>
      <c r="P268">
        <v>15</v>
      </c>
      <c r="Q268">
        <v>9</v>
      </c>
      <c r="R268" t="s">
        <v>21</v>
      </c>
      <c r="S268" t="s">
        <v>38</v>
      </c>
      <c r="T268">
        <v>5</v>
      </c>
      <c r="U268">
        <v>1750</v>
      </c>
      <c r="V268" t="s">
        <v>22</v>
      </c>
      <c r="W268" t="s">
        <v>1077</v>
      </c>
      <c r="X268" t="s">
        <v>20</v>
      </c>
      <c r="Y268">
        <v>10</v>
      </c>
    </row>
    <row r="269" spans="1:25">
      <c r="A269" t="s">
        <v>579</v>
      </c>
      <c r="B269" t="s">
        <v>580</v>
      </c>
      <c r="C269">
        <v>23</v>
      </c>
      <c r="D269" t="s">
        <v>25</v>
      </c>
      <c r="E269" t="s">
        <v>61</v>
      </c>
      <c r="F269" t="s">
        <v>27</v>
      </c>
      <c r="G269" t="s">
        <v>43</v>
      </c>
      <c r="H269" t="s">
        <v>1060</v>
      </c>
      <c r="I269">
        <v>28000</v>
      </c>
      <c r="J269">
        <v>12</v>
      </c>
      <c r="K269">
        <v>336000</v>
      </c>
      <c r="L269">
        <v>2</v>
      </c>
      <c r="M269">
        <v>3</v>
      </c>
      <c r="N269">
        <v>8400</v>
      </c>
      <c r="O269">
        <v>80</v>
      </c>
      <c r="P269">
        <v>12</v>
      </c>
      <c r="Q269">
        <v>13</v>
      </c>
      <c r="R269" t="s">
        <v>37</v>
      </c>
      <c r="S269" t="s">
        <v>19</v>
      </c>
      <c r="U269">
        <v>0</v>
      </c>
      <c r="V269" t="s">
        <v>22</v>
      </c>
      <c r="W269" t="s">
        <v>1077</v>
      </c>
      <c r="X269" t="s">
        <v>20</v>
      </c>
      <c r="Y269">
        <v>12</v>
      </c>
    </row>
    <row r="270" spans="1:25">
      <c r="A270" t="s">
        <v>581</v>
      </c>
      <c r="B270" t="s">
        <v>582</v>
      </c>
      <c r="C270">
        <v>23</v>
      </c>
      <c r="D270" t="s">
        <v>25</v>
      </c>
      <c r="E270" t="s">
        <v>64</v>
      </c>
      <c r="F270" t="s">
        <v>27</v>
      </c>
      <c r="G270" t="s">
        <v>43</v>
      </c>
      <c r="H270" t="s">
        <v>1059</v>
      </c>
      <c r="I270">
        <v>28000</v>
      </c>
      <c r="J270">
        <v>12</v>
      </c>
      <c r="K270">
        <v>336000</v>
      </c>
      <c r="L270">
        <v>2</v>
      </c>
      <c r="M270">
        <v>3</v>
      </c>
      <c r="N270">
        <v>8400</v>
      </c>
      <c r="O270">
        <v>95</v>
      </c>
      <c r="P270">
        <v>15</v>
      </c>
      <c r="Q270">
        <v>1</v>
      </c>
      <c r="S270" t="s">
        <v>28</v>
      </c>
      <c r="T270">
        <v>10</v>
      </c>
      <c r="U270">
        <v>2500</v>
      </c>
      <c r="V270" t="s">
        <v>22</v>
      </c>
      <c r="W270" t="s">
        <v>1077</v>
      </c>
      <c r="X270" t="s">
        <v>20</v>
      </c>
      <c r="Y270">
        <v>12</v>
      </c>
    </row>
    <row r="271" spans="1:25">
      <c r="A271" t="s">
        <v>583</v>
      </c>
      <c r="B271" t="s">
        <v>584</v>
      </c>
      <c r="C271">
        <v>25</v>
      </c>
      <c r="D271" t="s">
        <v>25</v>
      </c>
      <c r="E271" t="s">
        <v>17</v>
      </c>
      <c r="F271" t="s">
        <v>18</v>
      </c>
      <c r="G271" t="s">
        <v>43</v>
      </c>
      <c r="H271" t="s">
        <v>1060</v>
      </c>
      <c r="I271">
        <v>24000</v>
      </c>
      <c r="J271">
        <v>12</v>
      </c>
      <c r="K271">
        <v>288000</v>
      </c>
      <c r="L271">
        <v>1</v>
      </c>
      <c r="M271">
        <v>2</v>
      </c>
      <c r="N271" t="s">
        <v>1077</v>
      </c>
      <c r="O271">
        <v>88</v>
      </c>
      <c r="P271">
        <v>15</v>
      </c>
      <c r="Q271">
        <v>1</v>
      </c>
      <c r="S271" t="s">
        <v>38</v>
      </c>
      <c r="T271">
        <v>10</v>
      </c>
      <c r="U271">
        <v>2500</v>
      </c>
      <c r="V271" t="s">
        <v>39</v>
      </c>
      <c r="W271" t="s">
        <v>1077</v>
      </c>
      <c r="X271" t="s">
        <v>20</v>
      </c>
      <c r="Y271">
        <v>10</v>
      </c>
    </row>
    <row r="272" spans="1:25">
      <c r="A272" t="s">
        <v>585</v>
      </c>
      <c r="B272" t="s">
        <v>586</v>
      </c>
      <c r="C272">
        <v>24</v>
      </c>
      <c r="D272" t="s">
        <v>46</v>
      </c>
      <c r="E272" t="s">
        <v>61</v>
      </c>
      <c r="F272" t="s">
        <v>31</v>
      </c>
      <c r="G272" t="s">
        <v>43</v>
      </c>
      <c r="H272" t="s">
        <v>1060</v>
      </c>
      <c r="I272">
        <v>24000</v>
      </c>
      <c r="J272">
        <v>12</v>
      </c>
      <c r="K272">
        <v>288000</v>
      </c>
      <c r="L272">
        <v>1</v>
      </c>
      <c r="M272">
        <v>4</v>
      </c>
      <c r="N272">
        <v>7200</v>
      </c>
      <c r="O272">
        <v>90</v>
      </c>
      <c r="P272">
        <v>5</v>
      </c>
      <c r="Q272">
        <v>7</v>
      </c>
      <c r="R272" t="s">
        <v>37</v>
      </c>
      <c r="S272" t="s">
        <v>38</v>
      </c>
      <c r="U272">
        <v>0</v>
      </c>
      <c r="V272" t="s">
        <v>22</v>
      </c>
      <c r="W272" t="s">
        <v>1077</v>
      </c>
      <c r="X272" t="s">
        <v>33</v>
      </c>
      <c r="Y272">
        <v>13</v>
      </c>
    </row>
    <row r="273" spans="1:25">
      <c r="A273" t="s">
        <v>587</v>
      </c>
      <c r="B273" t="s">
        <v>588</v>
      </c>
      <c r="C273">
        <v>27</v>
      </c>
      <c r="D273" t="s">
        <v>46</v>
      </c>
      <c r="E273" t="s">
        <v>35</v>
      </c>
      <c r="F273" t="s">
        <v>31</v>
      </c>
      <c r="G273" t="s">
        <v>1045</v>
      </c>
      <c r="H273" t="s">
        <v>1060</v>
      </c>
      <c r="I273">
        <v>81000</v>
      </c>
      <c r="J273">
        <v>12</v>
      </c>
      <c r="K273">
        <v>972000</v>
      </c>
      <c r="L273">
        <v>6</v>
      </c>
      <c r="M273">
        <v>5</v>
      </c>
      <c r="N273">
        <v>24300</v>
      </c>
      <c r="O273">
        <v>88</v>
      </c>
      <c r="P273">
        <v>12</v>
      </c>
      <c r="Q273">
        <v>5</v>
      </c>
      <c r="R273" t="s">
        <v>21</v>
      </c>
      <c r="S273" t="s">
        <v>38</v>
      </c>
      <c r="T273">
        <v>20</v>
      </c>
      <c r="U273">
        <v>6000</v>
      </c>
      <c r="V273" t="s">
        <v>58</v>
      </c>
      <c r="W273" t="s">
        <v>1077</v>
      </c>
      <c r="X273" t="s">
        <v>33</v>
      </c>
      <c r="Y273">
        <v>13</v>
      </c>
    </row>
    <row r="274" spans="1:25">
      <c r="A274" t="s">
        <v>589</v>
      </c>
      <c r="B274" t="s">
        <v>590</v>
      </c>
      <c r="C274">
        <v>25</v>
      </c>
      <c r="D274" t="s">
        <v>46</v>
      </c>
      <c r="E274" t="s">
        <v>57</v>
      </c>
      <c r="F274" t="s">
        <v>27</v>
      </c>
      <c r="G274" t="s">
        <v>43</v>
      </c>
      <c r="H274" t="s">
        <v>1060</v>
      </c>
      <c r="I274">
        <v>28000</v>
      </c>
      <c r="J274">
        <v>12</v>
      </c>
      <c r="K274">
        <v>336000</v>
      </c>
      <c r="L274">
        <v>2</v>
      </c>
      <c r="M274">
        <v>2</v>
      </c>
      <c r="N274" t="s">
        <v>1077</v>
      </c>
      <c r="O274">
        <v>80</v>
      </c>
      <c r="P274">
        <v>10</v>
      </c>
      <c r="Q274">
        <v>5</v>
      </c>
      <c r="R274" t="s">
        <v>37</v>
      </c>
      <c r="S274" t="s">
        <v>38</v>
      </c>
      <c r="T274">
        <v>20</v>
      </c>
      <c r="U274">
        <v>5000</v>
      </c>
      <c r="V274" t="s">
        <v>39</v>
      </c>
      <c r="W274" t="s">
        <v>1077</v>
      </c>
      <c r="X274" t="s">
        <v>20</v>
      </c>
      <c r="Y274">
        <v>12</v>
      </c>
    </row>
    <row r="275" spans="1:25">
      <c r="A275" t="s">
        <v>591</v>
      </c>
      <c r="B275" t="s">
        <v>592</v>
      </c>
      <c r="C275">
        <v>25</v>
      </c>
      <c r="D275" t="s">
        <v>25</v>
      </c>
      <c r="E275" t="s">
        <v>35</v>
      </c>
      <c r="F275" t="s">
        <v>18</v>
      </c>
      <c r="G275" t="s">
        <v>43</v>
      </c>
      <c r="H275" t="s">
        <v>1060</v>
      </c>
      <c r="I275">
        <v>28000</v>
      </c>
      <c r="J275">
        <v>12</v>
      </c>
      <c r="K275">
        <v>336000</v>
      </c>
      <c r="L275">
        <v>2</v>
      </c>
      <c r="M275">
        <v>4</v>
      </c>
      <c r="N275">
        <v>8400</v>
      </c>
      <c r="O275">
        <v>95</v>
      </c>
      <c r="P275">
        <v>15</v>
      </c>
      <c r="Q275">
        <v>2</v>
      </c>
      <c r="R275" t="s">
        <v>21</v>
      </c>
      <c r="S275" t="s">
        <v>19</v>
      </c>
      <c r="U275">
        <v>0</v>
      </c>
      <c r="V275" t="s">
        <v>22</v>
      </c>
      <c r="W275" t="s">
        <v>1077</v>
      </c>
      <c r="X275" t="s">
        <v>20</v>
      </c>
      <c r="Y275">
        <v>10</v>
      </c>
    </row>
    <row r="276" spans="1:25">
      <c r="A276" t="s">
        <v>593</v>
      </c>
      <c r="B276" t="s">
        <v>594</v>
      </c>
      <c r="C276">
        <v>25</v>
      </c>
      <c r="D276" t="s">
        <v>25</v>
      </c>
      <c r="E276" t="s">
        <v>26</v>
      </c>
      <c r="F276" t="s">
        <v>27</v>
      </c>
      <c r="G276" t="s">
        <v>43</v>
      </c>
      <c r="H276" t="s">
        <v>1060</v>
      </c>
      <c r="I276">
        <v>24000</v>
      </c>
      <c r="J276">
        <v>12</v>
      </c>
      <c r="K276">
        <v>288000</v>
      </c>
      <c r="L276">
        <v>1</v>
      </c>
      <c r="M276">
        <v>1</v>
      </c>
      <c r="N276" t="s">
        <v>1077</v>
      </c>
      <c r="O276">
        <v>88</v>
      </c>
      <c r="P276">
        <v>15</v>
      </c>
      <c r="Q276">
        <v>2</v>
      </c>
      <c r="R276" t="s">
        <v>21</v>
      </c>
      <c r="S276" t="s">
        <v>38</v>
      </c>
      <c r="U276">
        <v>0</v>
      </c>
      <c r="V276" t="s">
        <v>39</v>
      </c>
      <c r="W276" t="s">
        <v>1077</v>
      </c>
      <c r="X276" t="s">
        <v>20</v>
      </c>
      <c r="Y276">
        <v>12</v>
      </c>
    </row>
    <row r="277" spans="1:25">
      <c r="A277" t="s">
        <v>595</v>
      </c>
      <c r="B277" t="s">
        <v>596</v>
      </c>
      <c r="C277">
        <v>25</v>
      </c>
      <c r="D277" t="s">
        <v>46</v>
      </c>
      <c r="E277" t="s">
        <v>61</v>
      </c>
      <c r="F277" t="s">
        <v>31</v>
      </c>
      <c r="G277" t="s">
        <v>43</v>
      </c>
      <c r="H277" t="s">
        <v>1060</v>
      </c>
      <c r="I277">
        <v>28000</v>
      </c>
      <c r="J277">
        <v>12</v>
      </c>
      <c r="K277">
        <v>336000</v>
      </c>
      <c r="L277">
        <v>2</v>
      </c>
      <c r="M277">
        <v>2</v>
      </c>
      <c r="N277" t="s">
        <v>1077</v>
      </c>
      <c r="O277">
        <v>88</v>
      </c>
      <c r="P277">
        <v>12</v>
      </c>
      <c r="Q277">
        <v>2</v>
      </c>
      <c r="S277" t="s">
        <v>38</v>
      </c>
      <c r="T277">
        <v>20</v>
      </c>
      <c r="U277">
        <v>5000</v>
      </c>
      <c r="V277" t="s">
        <v>39</v>
      </c>
      <c r="W277" t="s">
        <v>1077</v>
      </c>
      <c r="X277" t="s">
        <v>33</v>
      </c>
      <c r="Y277">
        <v>13</v>
      </c>
    </row>
    <row r="278" spans="1:25">
      <c r="A278" t="s">
        <v>597</v>
      </c>
      <c r="B278" t="s">
        <v>598</v>
      </c>
      <c r="C278">
        <v>24</v>
      </c>
      <c r="D278" t="s">
        <v>46</v>
      </c>
      <c r="E278" t="s">
        <v>64</v>
      </c>
      <c r="F278" t="s">
        <v>18</v>
      </c>
      <c r="G278" t="s">
        <v>43</v>
      </c>
      <c r="H278" t="s">
        <v>1060</v>
      </c>
      <c r="I278">
        <v>24000</v>
      </c>
      <c r="J278">
        <v>12</v>
      </c>
      <c r="K278">
        <v>288000</v>
      </c>
      <c r="L278">
        <v>1</v>
      </c>
      <c r="M278">
        <v>4</v>
      </c>
      <c r="N278">
        <v>7200</v>
      </c>
      <c r="O278">
        <v>95</v>
      </c>
      <c r="P278">
        <v>12</v>
      </c>
      <c r="Q278">
        <v>2</v>
      </c>
      <c r="S278" t="s">
        <v>38</v>
      </c>
      <c r="T278">
        <v>10</v>
      </c>
      <c r="U278">
        <v>2500</v>
      </c>
      <c r="V278" t="s">
        <v>22</v>
      </c>
      <c r="W278" t="s">
        <v>1077</v>
      </c>
      <c r="X278" t="s">
        <v>20</v>
      </c>
      <c r="Y278">
        <v>10</v>
      </c>
    </row>
    <row r="279" spans="1:25">
      <c r="A279" t="s">
        <v>599</v>
      </c>
      <c r="B279" t="s">
        <v>600</v>
      </c>
      <c r="C279">
        <v>23</v>
      </c>
      <c r="D279" t="s">
        <v>1077</v>
      </c>
      <c r="E279" t="s">
        <v>57</v>
      </c>
      <c r="F279" t="s">
        <v>66</v>
      </c>
      <c r="G279" t="s">
        <v>43</v>
      </c>
      <c r="H279" t="s">
        <v>1060</v>
      </c>
      <c r="I279">
        <v>24000</v>
      </c>
      <c r="J279">
        <v>12</v>
      </c>
      <c r="K279">
        <v>288000</v>
      </c>
      <c r="L279">
        <v>1</v>
      </c>
      <c r="M279">
        <v>2</v>
      </c>
      <c r="N279" t="s">
        <v>1077</v>
      </c>
      <c r="O279">
        <v>85</v>
      </c>
      <c r="P279">
        <v>5</v>
      </c>
      <c r="Q279">
        <v>5</v>
      </c>
      <c r="R279" t="s">
        <v>21</v>
      </c>
      <c r="S279" t="s">
        <v>38</v>
      </c>
      <c r="U279">
        <v>0</v>
      </c>
      <c r="V279" t="s">
        <v>39</v>
      </c>
      <c r="W279" t="s">
        <v>1077</v>
      </c>
      <c r="X279" t="s">
        <v>33</v>
      </c>
      <c r="Y279">
        <v>20</v>
      </c>
    </row>
    <row r="280" spans="1:25">
      <c r="A280" t="s">
        <v>601</v>
      </c>
      <c r="B280" t="s">
        <v>602</v>
      </c>
      <c r="C280">
        <v>23</v>
      </c>
      <c r="D280" t="s">
        <v>46</v>
      </c>
      <c r="E280" t="s">
        <v>61</v>
      </c>
      <c r="F280" t="s">
        <v>18</v>
      </c>
      <c r="G280" t="s">
        <v>43</v>
      </c>
      <c r="H280" t="s">
        <v>1059</v>
      </c>
      <c r="I280">
        <v>28000</v>
      </c>
      <c r="J280">
        <v>12</v>
      </c>
      <c r="K280">
        <v>336000</v>
      </c>
      <c r="L280">
        <v>2</v>
      </c>
      <c r="M280">
        <v>2</v>
      </c>
      <c r="N280" t="s">
        <v>1077</v>
      </c>
      <c r="O280">
        <v>95</v>
      </c>
      <c r="P280">
        <v>12</v>
      </c>
      <c r="Q280">
        <v>1</v>
      </c>
      <c r="R280" t="s">
        <v>37</v>
      </c>
      <c r="S280" t="s">
        <v>28</v>
      </c>
      <c r="T280">
        <v>5</v>
      </c>
      <c r="U280">
        <v>1250</v>
      </c>
      <c r="V280" t="s">
        <v>39</v>
      </c>
      <c r="W280" t="s">
        <v>1077</v>
      </c>
      <c r="X280" t="s">
        <v>20</v>
      </c>
      <c r="Y280">
        <v>10</v>
      </c>
    </row>
    <row r="281" spans="1:25">
      <c r="A281" t="s">
        <v>603</v>
      </c>
      <c r="B281" t="s">
        <v>604</v>
      </c>
      <c r="C281">
        <v>23</v>
      </c>
      <c r="D281" t="s">
        <v>25</v>
      </c>
      <c r="E281" t="s">
        <v>17</v>
      </c>
      <c r="F281" t="s">
        <v>36</v>
      </c>
      <c r="G281" t="s">
        <v>43</v>
      </c>
      <c r="H281" t="s">
        <v>1059</v>
      </c>
      <c r="I281">
        <v>24000</v>
      </c>
      <c r="J281">
        <v>12</v>
      </c>
      <c r="K281">
        <v>288000</v>
      </c>
      <c r="L281">
        <v>1</v>
      </c>
      <c r="M281">
        <v>4</v>
      </c>
      <c r="N281">
        <v>7200</v>
      </c>
      <c r="O281">
        <v>80</v>
      </c>
      <c r="P281">
        <v>5</v>
      </c>
      <c r="Q281">
        <v>1</v>
      </c>
      <c r="R281" t="s">
        <v>37</v>
      </c>
      <c r="S281" t="s">
        <v>28</v>
      </c>
      <c r="T281">
        <v>20</v>
      </c>
      <c r="U281">
        <v>5000</v>
      </c>
      <c r="V281" t="s">
        <v>22</v>
      </c>
      <c r="W281" t="s">
        <v>1077</v>
      </c>
      <c r="X281" t="s">
        <v>20</v>
      </c>
      <c r="Y281">
        <v>25</v>
      </c>
    </row>
    <row r="282" spans="1:25">
      <c r="A282" t="s">
        <v>605</v>
      </c>
      <c r="B282" t="s">
        <v>606</v>
      </c>
      <c r="C282">
        <v>25</v>
      </c>
      <c r="D282" t="s">
        <v>25</v>
      </c>
      <c r="E282" t="s">
        <v>61</v>
      </c>
      <c r="F282" t="s">
        <v>18</v>
      </c>
      <c r="G282" t="s">
        <v>1048</v>
      </c>
      <c r="H282" t="s">
        <v>1060</v>
      </c>
      <c r="I282">
        <v>65000</v>
      </c>
      <c r="J282">
        <v>12</v>
      </c>
      <c r="K282">
        <v>780000</v>
      </c>
      <c r="L282">
        <v>5</v>
      </c>
      <c r="M282">
        <v>5</v>
      </c>
      <c r="N282">
        <v>19500</v>
      </c>
      <c r="O282">
        <v>88</v>
      </c>
      <c r="P282">
        <v>15</v>
      </c>
      <c r="Q282">
        <v>4</v>
      </c>
      <c r="R282" t="s">
        <v>21</v>
      </c>
      <c r="S282" t="s">
        <v>19</v>
      </c>
      <c r="U282">
        <v>0</v>
      </c>
      <c r="V282" t="s">
        <v>58</v>
      </c>
      <c r="W282" t="s">
        <v>1077</v>
      </c>
      <c r="X282" t="s">
        <v>20</v>
      </c>
      <c r="Y282">
        <v>10</v>
      </c>
    </row>
    <row r="283" spans="1:25">
      <c r="A283" t="s">
        <v>607</v>
      </c>
      <c r="B283" t="s">
        <v>608</v>
      </c>
      <c r="C283">
        <v>25</v>
      </c>
      <c r="D283" t="s">
        <v>1077</v>
      </c>
      <c r="E283" t="s">
        <v>17</v>
      </c>
      <c r="F283" t="s">
        <v>36</v>
      </c>
      <c r="G283" t="s">
        <v>43</v>
      </c>
      <c r="H283" t="s">
        <v>1059</v>
      </c>
      <c r="I283">
        <v>28000</v>
      </c>
      <c r="J283">
        <v>12</v>
      </c>
      <c r="K283">
        <v>336000</v>
      </c>
      <c r="L283">
        <v>2</v>
      </c>
      <c r="M283">
        <v>4</v>
      </c>
      <c r="N283">
        <v>8400</v>
      </c>
      <c r="O283">
        <v>90</v>
      </c>
      <c r="P283">
        <v>5</v>
      </c>
      <c r="Q283">
        <v>3</v>
      </c>
      <c r="S283" t="s">
        <v>28</v>
      </c>
      <c r="T283">
        <v>10</v>
      </c>
      <c r="U283">
        <v>2500</v>
      </c>
      <c r="V283" t="s">
        <v>22</v>
      </c>
      <c r="W283" t="s">
        <v>1077</v>
      </c>
      <c r="X283" t="s">
        <v>20</v>
      </c>
      <c r="Y283">
        <v>25</v>
      </c>
    </row>
    <row r="284" spans="1:25">
      <c r="A284" t="s">
        <v>609</v>
      </c>
      <c r="B284" t="s">
        <v>610</v>
      </c>
      <c r="C284">
        <v>23</v>
      </c>
      <c r="D284" t="s">
        <v>46</v>
      </c>
      <c r="E284" t="s">
        <v>64</v>
      </c>
      <c r="F284" t="s">
        <v>36</v>
      </c>
      <c r="G284" t="s">
        <v>43</v>
      </c>
      <c r="H284" t="s">
        <v>1060</v>
      </c>
      <c r="I284">
        <v>24000</v>
      </c>
      <c r="J284">
        <v>12</v>
      </c>
      <c r="K284">
        <v>288000</v>
      </c>
      <c r="L284">
        <v>1</v>
      </c>
      <c r="M284">
        <v>2</v>
      </c>
      <c r="N284" t="s">
        <v>1077</v>
      </c>
      <c r="O284">
        <v>88</v>
      </c>
      <c r="P284">
        <v>5</v>
      </c>
      <c r="Q284">
        <v>5</v>
      </c>
      <c r="S284" t="s">
        <v>38</v>
      </c>
      <c r="U284">
        <v>0</v>
      </c>
      <c r="V284" t="s">
        <v>39</v>
      </c>
      <c r="W284" t="s">
        <v>1077</v>
      </c>
      <c r="X284" t="s">
        <v>20</v>
      </c>
      <c r="Y284">
        <v>25</v>
      </c>
    </row>
    <row r="285" spans="1:25">
      <c r="A285" t="s">
        <v>611</v>
      </c>
      <c r="B285" t="s">
        <v>612</v>
      </c>
      <c r="C285">
        <v>23</v>
      </c>
      <c r="D285" t="s">
        <v>46</v>
      </c>
      <c r="E285" t="s">
        <v>47</v>
      </c>
      <c r="F285" t="s">
        <v>27</v>
      </c>
      <c r="G285" t="s">
        <v>43</v>
      </c>
      <c r="H285" t="s">
        <v>1060</v>
      </c>
      <c r="I285">
        <v>24000</v>
      </c>
      <c r="J285">
        <v>12</v>
      </c>
      <c r="K285">
        <v>288000</v>
      </c>
      <c r="L285">
        <v>1</v>
      </c>
      <c r="M285">
        <v>5</v>
      </c>
      <c r="N285">
        <v>7200</v>
      </c>
      <c r="O285">
        <v>88</v>
      </c>
      <c r="P285">
        <v>5</v>
      </c>
      <c r="Q285">
        <v>1</v>
      </c>
      <c r="R285" t="s">
        <v>37</v>
      </c>
      <c r="S285" t="s">
        <v>38</v>
      </c>
      <c r="T285">
        <v>20</v>
      </c>
      <c r="U285">
        <v>5000</v>
      </c>
      <c r="V285" t="s">
        <v>58</v>
      </c>
      <c r="W285" t="s">
        <v>1077</v>
      </c>
      <c r="X285" t="s">
        <v>20</v>
      </c>
      <c r="Y285">
        <v>12</v>
      </c>
    </row>
    <row r="286" spans="1:25">
      <c r="A286" t="s">
        <v>613</v>
      </c>
      <c r="B286" t="s">
        <v>614</v>
      </c>
      <c r="C286">
        <v>28</v>
      </c>
      <c r="D286" t="s">
        <v>46</v>
      </c>
      <c r="E286" t="s">
        <v>65</v>
      </c>
      <c r="F286" t="s">
        <v>66</v>
      </c>
      <c r="G286" t="s">
        <v>1048</v>
      </c>
      <c r="H286" t="s">
        <v>1060</v>
      </c>
      <c r="I286">
        <v>69500</v>
      </c>
      <c r="J286">
        <v>12</v>
      </c>
      <c r="K286">
        <v>834000</v>
      </c>
      <c r="L286">
        <v>5</v>
      </c>
      <c r="M286">
        <v>5</v>
      </c>
      <c r="N286">
        <v>20850</v>
      </c>
      <c r="O286">
        <v>88</v>
      </c>
      <c r="P286">
        <v>5</v>
      </c>
      <c r="Q286">
        <v>3</v>
      </c>
      <c r="R286" t="s">
        <v>21</v>
      </c>
      <c r="S286" t="s">
        <v>38</v>
      </c>
      <c r="T286">
        <v>10</v>
      </c>
      <c r="U286">
        <v>3000</v>
      </c>
      <c r="V286" t="s">
        <v>58</v>
      </c>
      <c r="W286" t="s">
        <v>1077</v>
      </c>
      <c r="X286" t="s">
        <v>33</v>
      </c>
      <c r="Y286">
        <v>20</v>
      </c>
    </row>
    <row r="287" spans="1:25">
      <c r="A287" t="s">
        <v>615</v>
      </c>
      <c r="B287" t="s">
        <v>616</v>
      </c>
      <c r="C287">
        <v>23</v>
      </c>
      <c r="D287" t="s">
        <v>1077</v>
      </c>
      <c r="E287" t="s">
        <v>50</v>
      </c>
      <c r="F287" t="s">
        <v>27</v>
      </c>
      <c r="G287" t="s">
        <v>43</v>
      </c>
      <c r="H287" t="s">
        <v>1060</v>
      </c>
      <c r="I287">
        <v>24000</v>
      </c>
      <c r="J287">
        <v>12</v>
      </c>
      <c r="K287">
        <v>288000</v>
      </c>
      <c r="L287">
        <v>1</v>
      </c>
      <c r="M287">
        <v>2</v>
      </c>
      <c r="N287" t="s">
        <v>1077</v>
      </c>
      <c r="O287">
        <v>90</v>
      </c>
      <c r="P287">
        <v>5</v>
      </c>
      <c r="Q287">
        <v>1</v>
      </c>
      <c r="R287" t="s">
        <v>37</v>
      </c>
      <c r="S287" t="s">
        <v>38</v>
      </c>
      <c r="T287">
        <v>20</v>
      </c>
      <c r="U287">
        <v>5000</v>
      </c>
      <c r="V287" t="s">
        <v>39</v>
      </c>
      <c r="W287" t="s">
        <v>1077</v>
      </c>
      <c r="X287" t="s">
        <v>20</v>
      </c>
      <c r="Y287">
        <v>12</v>
      </c>
    </row>
    <row r="288" spans="1:25">
      <c r="A288" t="s">
        <v>617</v>
      </c>
      <c r="B288" t="s">
        <v>618</v>
      </c>
      <c r="C288">
        <v>23</v>
      </c>
      <c r="D288" t="s">
        <v>46</v>
      </c>
      <c r="E288" t="s">
        <v>17</v>
      </c>
      <c r="F288" t="s">
        <v>18</v>
      </c>
      <c r="G288" t="s">
        <v>43</v>
      </c>
      <c r="H288" t="s">
        <v>1060</v>
      </c>
      <c r="I288">
        <v>24000</v>
      </c>
      <c r="J288">
        <v>12</v>
      </c>
      <c r="K288">
        <v>288000</v>
      </c>
      <c r="L288">
        <v>1</v>
      </c>
      <c r="M288">
        <v>5</v>
      </c>
      <c r="N288">
        <v>7200</v>
      </c>
      <c r="O288">
        <v>95</v>
      </c>
      <c r="P288">
        <v>12</v>
      </c>
      <c r="Q288">
        <v>2</v>
      </c>
      <c r="R288" t="s">
        <v>21</v>
      </c>
      <c r="S288" t="s">
        <v>38</v>
      </c>
      <c r="T288">
        <v>10</v>
      </c>
      <c r="U288">
        <v>2500</v>
      </c>
      <c r="V288" t="s">
        <v>58</v>
      </c>
      <c r="W288" t="s">
        <v>1077</v>
      </c>
      <c r="X288" t="s">
        <v>20</v>
      </c>
      <c r="Y288">
        <v>10</v>
      </c>
    </row>
    <row r="289" spans="1:25">
      <c r="A289" t="s">
        <v>619</v>
      </c>
      <c r="B289" t="s">
        <v>620</v>
      </c>
      <c r="C289">
        <v>25</v>
      </c>
      <c r="D289" t="s">
        <v>46</v>
      </c>
      <c r="E289" t="s">
        <v>57</v>
      </c>
      <c r="F289" t="s">
        <v>31</v>
      </c>
      <c r="G289" t="s">
        <v>43</v>
      </c>
      <c r="H289" t="s">
        <v>1060</v>
      </c>
      <c r="I289">
        <v>24000</v>
      </c>
      <c r="J289">
        <v>12</v>
      </c>
      <c r="K289">
        <v>288000</v>
      </c>
      <c r="L289">
        <v>1</v>
      </c>
      <c r="M289">
        <v>2</v>
      </c>
      <c r="N289" t="s">
        <v>1077</v>
      </c>
      <c r="O289">
        <v>95</v>
      </c>
      <c r="P289">
        <v>15</v>
      </c>
      <c r="Q289">
        <v>10</v>
      </c>
      <c r="R289" t="s">
        <v>37</v>
      </c>
      <c r="S289" t="s">
        <v>38</v>
      </c>
      <c r="U289">
        <v>0</v>
      </c>
      <c r="V289" t="s">
        <v>39</v>
      </c>
      <c r="W289" t="s">
        <v>1077</v>
      </c>
      <c r="X289" t="s">
        <v>33</v>
      </c>
      <c r="Y289">
        <v>13</v>
      </c>
    </row>
    <row r="290" spans="1:25">
      <c r="A290" t="s">
        <v>621</v>
      </c>
      <c r="B290" t="s">
        <v>622</v>
      </c>
      <c r="C290">
        <v>23</v>
      </c>
      <c r="D290" t="s">
        <v>46</v>
      </c>
      <c r="E290" t="s">
        <v>61</v>
      </c>
      <c r="F290" t="s">
        <v>66</v>
      </c>
      <c r="G290" t="s">
        <v>43</v>
      </c>
      <c r="H290" t="s">
        <v>1060</v>
      </c>
      <c r="I290">
        <v>28000</v>
      </c>
      <c r="J290">
        <v>12</v>
      </c>
      <c r="K290">
        <v>336000</v>
      </c>
      <c r="L290">
        <v>2</v>
      </c>
      <c r="M290">
        <v>2</v>
      </c>
      <c r="N290" t="s">
        <v>1077</v>
      </c>
      <c r="O290">
        <v>80</v>
      </c>
      <c r="P290">
        <v>12</v>
      </c>
      <c r="Q290">
        <v>5</v>
      </c>
      <c r="R290" t="s">
        <v>21</v>
      </c>
      <c r="S290" t="s">
        <v>38</v>
      </c>
      <c r="T290">
        <v>20</v>
      </c>
      <c r="U290">
        <v>5000</v>
      </c>
      <c r="V290" t="s">
        <v>39</v>
      </c>
      <c r="W290" t="s">
        <v>1077</v>
      </c>
      <c r="X290" t="s">
        <v>33</v>
      </c>
      <c r="Y290">
        <v>20</v>
      </c>
    </row>
    <row r="291" spans="1:25">
      <c r="A291" t="s">
        <v>623</v>
      </c>
      <c r="B291" t="s">
        <v>624</v>
      </c>
      <c r="C291">
        <v>23</v>
      </c>
      <c r="D291" t="s">
        <v>46</v>
      </c>
      <c r="E291" t="s">
        <v>61</v>
      </c>
      <c r="F291" t="s">
        <v>66</v>
      </c>
      <c r="G291" t="s">
        <v>43</v>
      </c>
      <c r="H291" t="s">
        <v>1060</v>
      </c>
      <c r="I291">
        <v>24000</v>
      </c>
      <c r="J291">
        <v>12</v>
      </c>
      <c r="K291">
        <v>288000</v>
      </c>
      <c r="L291">
        <v>1</v>
      </c>
      <c r="M291">
        <v>4</v>
      </c>
      <c r="N291">
        <v>7200</v>
      </c>
      <c r="O291">
        <v>95</v>
      </c>
      <c r="P291">
        <v>10</v>
      </c>
      <c r="Q291">
        <v>5</v>
      </c>
      <c r="R291" t="s">
        <v>37</v>
      </c>
      <c r="S291" t="s">
        <v>38</v>
      </c>
      <c r="U291">
        <v>0</v>
      </c>
      <c r="V291" t="s">
        <v>22</v>
      </c>
      <c r="W291" t="s">
        <v>1077</v>
      </c>
      <c r="X291" t="s">
        <v>33</v>
      </c>
      <c r="Y291">
        <v>20</v>
      </c>
    </row>
    <row r="292" spans="1:25">
      <c r="A292" t="s">
        <v>625</v>
      </c>
      <c r="B292" t="s">
        <v>626</v>
      </c>
      <c r="C292">
        <v>24</v>
      </c>
      <c r="D292" t="s">
        <v>25</v>
      </c>
      <c r="E292" t="s">
        <v>73</v>
      </c>
      <c r="F292" t="s">
        <v>66</v>
      </c>
      <c r="G292" t="s">
        <v>43</v>
      </c>
      <c r="H292" t="s">
        <v>1060</v>
      </c>
      <c r="I292">
        <v>24000</v>
      </c>
      <c r="J292">
        <v>12</v>
      </c>
      <c r="K292">
        <v>288000</v>
      </c>
      <c r="L292">
        <v>1</v>
      </c>
      <c r="M292">
        <v>3</v>
      </c>
      <c r="N292">
        <v>7200</v>
      </c>
      <c r="O292">
        <v>90</v>
      </c>
      <c r="P292">
        <v>5</v>
      </c>
      <c r="Q292">
        <v>2</v>
      </c>
      <c r="R292" t="s">
        <v>37</v>
      </c>
      <c r="S292" t="s">
        <v>19</v>
      </c>
      <c r="T292">
        <v>20</v>
      </c>
      <c r="U292">
        <v>5000</v>
      </c>
      <c r="V292" t="s">
        <v>22</v>
      </c>
      <c r="W292" t="s">
        <v>1077</v>
      </c>
      <c r="X292" t="s">
        <v>33</v>
      </c>
      <c r="Y292">
        <v>20</v>
      </c>
    </row>
    <row r="293" spans="1:25">
      <c r="A293" t="s">
        <v>627</v>
      </c>
      <c r="B293" t="s">
        <v>628</v>
      </c>
      <c r="C293">
        <v>23</v>
      </c>
      <c r="D293" t="s">
        <v>46</v>
      </c>
      <c r="E293" t="s">
        <v>65</v>
      </c>
      <c r="F293" t="s">
        <v>18</v>
      </c>
      <c r="G293" t="s">
        <v>43</v>
      </c>
      <c r="H293" t="s">
        <v>1060</v>
      </c>
      <c r="I293">
        <v>28000</v>
      </c>
      <c r="J293">
        <v>12</v>
      </c>
      <c r="K293">
        <v>336000</v>
      </c>
      <c r="L293">
        <v>2</v>
      </c>
      <c r="M293">
        <v>1</v>
      </c>
      <c r="N293" t="s">
        <v>1077</v>
      </c>
      <c r="O293">
        <v>85</v>
      </c>
      <c r="P293">
        <v>5</v>
      </c>
      <c r="Q293">
        <v>13</v>
      </c>
      <c r="R293" t="s">
        <v>21</v>
      </c>
      <c r="S293" t="s">
        <v>38</v>
      </c>
      <c r="U293">
        <v>0</v>
      </c>
      <c r="V293" t="s">
        <v>39</v>
      </c>
      <c r="W293" t="s">
        <v>1077</v>
      </c>
      <c r="X293" t="s">
        <v>20</v>
      </c>
      <c r="Y293">
        <v>10</v>
      </c>
    </row>
    <row r="294" spans="1:25">
      <c r="A294" t="s">
        <v>629</v>
      </c>
      <c r="B294" t="s">
        <v>630</v>
      </c>
      <c r="C294">
        <v>24</v>
      </c>
      <c r="D294" t="s">
        <v>25</v>
      </c>
      <c r="E294" t="s">
        <v>65</v>
      </c>
      <c r="F294" t="s">
        <v>36</v>
      </c>
      <c r="G294" t="s">
        <v>43</v>
      </c>
      <c r="H294" t="s">
        <v>1060</v>
      </c>
      <c r="I294">
        <v>24000</v>
      </c>
      <c r="J294">
        <v>12</v>
      </c>
      <c r="K294">
        <v>288000</v>
      </c>
      <c r="L294">
        <v>1</v>
      </c>
      <c r="M294">
        <v>2</v>
      </c>
      <c r="N294" t="s">
        <v>1077</v>
      </c>
      <c r="O294">
        <v>88</v>
      </c>
      <c r="P294">
        <v>12</v>
      </c>
      <c r="Q294">
        <v>1</v>
      </c>
      <c r="S294" t="s">
        <v>38</v>
      </c>
      <c r="T294">
        <v>10</v>
      </c>
      <c r="U294">
        <v>2500</v>
      </c>
      <c r="V294" t="s">
        <v>39</v>
      </c>
      <c r="W294" t="s">
        <v>1077</v>
      </c>
      <c r="X294" t="s">
        <v>20</v>
      </c>
      <c r="Y294">
        <v>25</v>
      </c>
    </row>
    <row r="295" spans="1:25">
      <c r="A295" t="s">
        <v>631</v>
      </c>
      <c r="B295" t="s">
        <v>632</v>
      </c>
      <c r="C295">
        <v>23</v>
      </c>
      <c r="D295" t="s">
        <v>1077</v>
      </c>
      <c r="E295" t="s">
        <v>64</v>
      </c>
      <c r="F295" t="s">
        <v>31</v>
      </c>
      <c r="G295" t="s">
        <v>43</v>
      </c>
      <c r="H295" t="s">
        <v>1060</v>
      </c>
      <c r="I295">
        <v>24000</v>
      </c>
      <c r="J295">
        <v>12</v>
      </c>
      <c r="K295">
        <v>288000</v>
      </c>
      <c r="L295">
        <v>1</v>
      </c>
      <c r="M295">
        <v>1</v>
      </c>
      <c r="N295" t="s">
        <v>1077</v>
      </c>
      <c r="O295">
        <v>85</v>
      </c>
      <c r="P295">
        <v>10</v>
      </c>
      <c r="Q295">
        <v>2</v>
      </c>
      <c r="S295" t="s">
        <v>19</v>
      </c>
      <c r="T295">
        <v>20</v>
      </c>
      <c r="U295">
        <v>5000</v>
      </c>
      <c r="V295" t="s">
        <v>39</v>
      </c>
      <c r="W295" t="s">
        <v>1077</v>
      </c>
      <c r="X295" t="s">
        <v>33</v>
      </c>
      <c r="Y295">
        <v>13</v>
      </c>
    </row>
    <row r="296" spans="1:25">
      <c r="A296" t="s">
        <v>633</v>
      </c>
      <c r="B296" t="s">
        <v>634</v>
      </c>
      <c r="C296">
        <v>25</v>
      </c>
      <c r="D296" t="s">
        <v>1077</v>
      </c>
      <c r="E296" t="s">
        <v>73</v>
      </c>
      <c r="F296" t="s">
        <v>36</v>
      </c>
      <c r="G296" t="s">
        <v>43</v>
      </c>
      <c r="H296" t="s">
        <v>1059</v>
      </c>
      <c r="I296">
        <v>28000</v>
      </c>
      <c r="J296">
        <v>12</v>
      </c>
      <c r="K296">
        <v>336000</v>
      </c>
      <c r="L296">
        <v>2</v>
      </c>
      <c r="M296">
        <v>4</v>
      </c>
      <c r="N296">
        <v>8400</v>
      </c>
      <c r="O296">
        <v>90</v>
      </c>
      <c r="P296">
        <v>12</v>
      </c>
      <c r="Q296">
        <v>5</v>
      </c>
      <c r="S296" t="s">
        <v>28</v>
      </c>
      <c r="T296">
        <v>10</v>
      </c>
      <c r="U296">
        <v>2500</v>
      </c>
      <c r="V296" t="s">
        <v>22</v>
      </c>
      <c r="W296" t="s">
        <v>1077</v>
      </c>
      <c r="X296" t="s">
        <v>20</v>
      </c>
      <c r="Y296">
        <v>25</v>
      </c>
    </row>
    <row r="297" spans="1:25">
      <c r="A297" t="s">
        <v>635</v>
      </c>
      <c r="B297" t="s">
        <v>636</v>
      </c>
      <c r="C297">
        <v>24</v>
      </c>
      <c r="D297" t="s">
        <v>46</v>
      </c>
      <c r="E297" t="s">
        <v>73</v>
      </c>
      <c r="F297" t="s">
        <v>18</v>
      </c>
      <c r="G297" t="s">
        <v>43</v>
      </c>
      <c r="H297" t="s">
        <v>1060</v>
      </c>
      <c r="I297">
        <v>28000</v>
      </c>
      <c r="J297">
        <v>12</v>
      </c>
      <c r="K297">
        <v>336000</v>
      </c>
      <c r="L297">
        <v>2</v>
      </c>
      <c r="M297">
        <v>3</v>
      </c>
      <c r="N297">
        <v>8400</v>
      </c>
      <c r="O297">
        <v>80</v>
      </c>
      <c r="P297">
        <v>10</v>
      </c>
      <c r="Q297">
        <v>2</v>
      </c>
      <c r="R297" t="s">
        <v>37</v>
      </c>
      <c r="S297" t="s">
        <v>38</v>
      </c>
      <c r="T297">
        <v>10</v>
      </c>
      <c r="U297">
        <v>2500</v>
      </c>
      <c r="V297" t="s">
        <v>22</v>
      </c>
      <c r="W297" t="s">
        <v>1077</v>
      </c>
      <c r="X297" t="s">
        <v>20</v>
      </c>
      <c r="Y297">
        <v>10</v>
      </c>
    </row>
    <row r="298" spans="1:25">
      <c r="A298" t="s">
        <v>637</v>
      </c>
      <c r="B298" t="s">
        <v>638</v>
      </c>
      <c r="C298">
        <v>24</v>
      </c>
      <c r="D298" t="s">
        <v>25</v>
      </c>
      <c r="E298" t="s">
        <v>57</v>
      </c>
      <c r="F298" t="s">
        <v>18</v>
      </c>
      <c r="G298" t="s">
        <v>43</v>
      </c>
      <c r="H298" t="s">
        <v>1060</v>
      </c>
      <c r="I298">
        <v>28000</v>
      </c>
      <c r="J298">
        <v>12</v>
      </c>
      <c r="K298">
        <v>336000</v>
      </c>
      <c r="L298">
        <v>2</v>
      </c>
      <c r="M298">
        <v>4</v>
      </c>
      <c r="N298">
        <v>8400</v>
      </c>
      <c r="O298">
        <v>88</v>
      </c>
      <c r="P298">
        <v>5</v>
      </c>
      <c r="Q298">
        <v>12</v>
      </c>
      <c r="S298" t="s">
        <v>38</v>
      </c>
      <c r="U298">
        <v>0</v>
      </c>
      <c r="V298" t="s">
        <v>22</v>
      </c>
      <c r="W298" t="s">
        <v>1077</v>
      </c>
      <c r="X298" t="s">
        <v>20</v>
      </c>
      <c r="Y298">
        <v>10</v>
      </c>
    </row>
    <row r="299" spans="1:25">
      <c r="A299" t="s">
        <v>639</v>
      </c>
      <c r="B299" t="s">
        <v>640</v>
      </c>
      <c r="C299">
        <v>24</v>
      </c>
      <c r="D299" t="s">
        <v>1077</v>
      </c>
      <c r="E299" t="s">
        <v>26</v>
      </c>
      <c r="F299" t="s">
        <v>31</v>
      </c>
      <c r="G299" t="s">
        <v>43</v>
      </c>
      <c r="H299" t="s">
        <v>1060</v>
      </c>
      <c r="I299">
        <v>24000</v>
      </c>
      <c r="J299">
        <v>12</v>
      </c>
      <c r="K299">
        <v>288000</v>
      </c>
      <c r="L299">
        <v>1</v>
      </c>
      <c r="M299">
        <v>1</v>
      </c>
      <c r="N299" t="s">
        <v>1077</v>
      </c>
      <c r="O299">
        <v>88</v>
      </c>
      <c r="P299">
        <v>15</v>
      </c>
      <c r="Q299">
        <v>2</v>
      </c>
      <c r="S299" t="s">
        <v>38</v>
      </c>
      <c r="U299">
        <v>0</v>
      </c>
      <c r="V299" t="s">
        <v>39</v>
      </c>
      <c r="W299" t="s">
        <v>1077</v>
      </c>
      <c r="X299" t="s">
        <v>33</v>
      </c>
      <c r="Y299">
        <v>13</v>
      </c>
    </row>
    <row r="300" spans="1:25">
      <c r="A300" t="s">
        <v>641</v>
      </c>
      <c r="B300" t="s">
        <v>642</v>
      </c>
      <c r="C300">
        <v>25</v>
      </c>
      <c r="D300" t="s">
        <v>1077</v>
      </c>
      <c r="E300" t="s">
        <v>50</v>
      </c>
      <c r="F300" t="s">
        <v>36</v>
      </c>
      <c r="G300" t="s">
        <v>43</v>
      </c>
      <c r="H300" t="s">
        <v>1060</v>
      </c>
      <c r="I300">
        <v>28000</v>
      </c>
      <c r="J300">
        <v>12</v>
      </c>
      <c r="K300">
        <v>336000</v>
      </c>
      <c r="L300">
        <v>2</v>
      </c>
      <c r="M300">
        <v>1</v>
      </c>
      <c r="N300" t="s">
        <v>1077</v>
      </c>
      <c r="O300">
        <v>90</v>
      </c>
      <c r="P300">
        <v>10</v>
      </c>
      <c r="Q300">
        <v>2</v>
      </c>
      <c r="R300" t="s">
        <v>21</v>
      </c>
      <c r="S300" t="s">
        <v>38</v>
      </c>
      <c r="T300">
        <v>5</v>
      </c>
      <c r="U300">
        <v>1250</v>
      </c>
      <c r="V300" t="s">
        <v>39</v>
      </c>
      <c r="W300" t="s">
        <v>1077</v>
      </c>
      <c r="X300" t="s">
        <v>20</v>
      </c>
      <c r="Y300">
        <v>25</v>
      </c>
    </row>
    <row r="301" spans="1:25">
      <c r="A301" t="s">
        <v>643</v>
      </c>
      <c r="B301" t="s">
        <v>644</v>
      </c>
      <c r="C301">
        <v>25</v>
      </c>
      <c r="D301" t="s">
        <v>25</v>
      </c>
      <c r="E301" t="s">
        <v>17</v>
      </c>
      <c r="F301" t="s">
        <v>31</v>
      </c>
      <c r="G301" t="s">
        <v>43</v>
      </c>
      <c r="H301" t="s">
        <v>1060</v>
      </c>
      <c r="I301">
        <v>24000</v>
      </c>
      <c r="J301">
        <v>12</v>
      </c>
      <c r="K301">
        <v>288000</v>
      </c>
      <c r="L301">
        <v>1</v>
      </c>
      <c r="M301">
        <v>3</v>
      </c>
      <c r="N301">
        <v>7200</v>
      </c>
      <c r="O301">
        <v>88</v>
      </c>
      <c r="P301">
        <v>5</v>
      </c>
      <c r="Q301">
        <v>2</v>
      </c>
      <c r="S301" t="s">
        <v>38</v>
      </c>
      <c r="U301">
        <v>0</v>
      </c>
      <c r="V301" t="s">
        <v>22</v>
      </c>
      <c r="W301" t="s">
        <v>1077</v>
      </c>
      <c r="X301" t="s">
        <v>33</v>
      </c>
      <c r="Y301">
        <v>13</v>
      </c>
    </row>
    <row r="302" spans="1:25">
      <c r="A302" t="s">
        <v>645</v>
      </c>
      <c r="B302" t="s">
        <v>646</v>
      </c>
      <c r="C302">
        <v>28</v>
      </c>
      <c r="D302" t="s">
        <v>1077</v>
      </c>
      <c r="E302" t="s">
        <v>26</v>
      </c>
      <c r="F302" t="s">
        <v>42</v>
      </c>
      <c r="G302" t="s">
        <v>1045</v>
      </c>
      <c r="H302" t="s">
        <v>1060</v>
      </c>
      <c r="I302">
        <v>78000</v>
      </c>
      <c r="J302">
        <v>12</v>
      </c>
      <c r="K302">
        <v>936000</v>
      </c>
      <c r="L302">
        <v>7</v>
      </c>
      <c r="M302">
        <v>4</v>
      </c>
      <c r="N302">
        <v>23400</v>
      </c>
      <c r="O302">
        <v>95</v>
      </c>
      <c r="P302">
        <v>10</v>
      </c>
      <c r="Q302">
        <v>9</v>
      </c>
      <c r="R302" t="s">
        <v>37</v>
      </c>
      <c r="S302" t="s">
        <v>38</v>
      </c>
      <c r="T302">
        <v>20</v>
      </c>
      <c r="U302">
        <v>6000</v>
      </c>
      <c r="V302" t="s">
        <v>58</v>
      </c>
      <c r="W302" t="s">
        <v>1077</v>
      </c>
      <c r="X302" t="s">
        <v>20</v>
      </c>
      <c r="Y302">
        <v>14</v>
      </c>
    </row>
    <row r="303" spans="1:25">
      <c r="A303" t="s">
        <v>647</v>
      </c>
      <c r="B303" t="s">
        <v>648</v>
      </c>
      <c r="C303">
        <v>29</v>
      </c>
      <c r="D303" t="s">
        <v>1077</v>
      </c>
      <c r="E303" t="s">
        <v>26</v>
      </c>
      <c r="F303" t="s">
        <v>31</v>
      </c>
      <c r="G303" t="s">
        <v>1045</v>
      </c>
      <c r="H303" t="s">
        <v>1060</v>
      </c>
      <c r="I303">
        <v>81000</v>
      </c>
      <c r="J303">
        <v>12</v>
      </c>
      <c r="K303">
        <v>972000</v>
      </c>
      <c r="L303">
        <v>6</v>
      </c>
      <c r="M303">
        <v>4</v>
      </c>
      <c r="N303">
        <v>24300</v>
      </c>
      <c r="O303">
        <v>88</v>
      </c>
      <c r="P303">
        <v>5</v>
      </c>
      <c r="Q303">
        <v>4</v>
      </c>
      <c r="R303" t="s">
        <v>37</v>
      </c>
      <c r="S303" t="s">
        <v>38</v>
      </c>
      <c r="T303">
        <v>10</v>
      </c>
      <c r="U303">
        <v>3000</v>
      </c>
      <c r="V303" t="s">
        <v>22</v>
      </c>
      <c r="W303" t="s">
        <v>1077</v>
      </c>
      <c r="X303" t="s">
        <v>33</v>
      </c>
      <c r="Y303">
        <v>13</v>
      </c>
    </row>
    <row r="304" spans="1:25">
      <c r="A304" t="s">
        <v>649</v>
      </c>
      <c r="B304" t="s">
        <v>650</v>
      </c>
      <c r="C304">
        <v>23</v>
      </c>
      <c r="D304" t="s">
        <v>25</v>
      </c>
      <c r="E304" t="s">
        <v>64</v>
      </c>
      <c r="F304" t="s">
        <v>42</v>
      </c>
      <c r="G304" t="s">
        <v>43</v>
      </c>
      <c r="H304" t="s">
        <v>1060</v>
      </c>
      <c r="I304">
        <v>28000</v>
      </c>
      <c r="J304">
        <v>12</v>
      </c>
      <c r="K304">
        <v>336000</v>
      </c>
      <c r="L304">
        <v>2</v>
      </c>
      <c r="M304">
        <v>2</v>
      </c>
      <c r="N304" t="s">
        <v>1077</v>
      </c>
      <c r="O304">
        <v>90</v>
      </c>
      <c r="P304">
        <v>12</v>
      </c>
      <c r="Q304">
        <v>2</v>
      </c>
      <c r="R304" t="s">
        <v>37</v>
      </c>
      <c r="S304" t="s">
        <v>38</v>
      </c>
      <c r="T304">
        <v>5</v>
      </c>
      <c r="U304">
        <v>1250</v>
      </c>
      <c r="V304" t="s">
        <v>39</v>
      </c>
      <c r="W304" t="s">
        <v>1077</v>
      </c>
      <c r="X304" t="s">
        <v>20</v>
      </c>
      <c r="Y304">
        <v>14</v>
      </c>
    </row>
    <row r="305" spans="1:25">
      <c r="A305" t="s">
        <v>651</v>
      </c>
      <c r="B305" t="s">
        <v>652</v>
      </c>
      <c r="C305">
        <v>25</v>
      </c>
      <c r="D305" t="s">
        <v>25</v>
      </c>
      <c r="E305" t="s">
        <v>65</v>
      </c>
      <c r="F305" t="s">
        <v>31</v>
      </c>
      <c r="G305" t="s">
        <v>43</v>
      </c>
      <c r="H305" t="s">
        <v>1059</v>
      </c>
      <c r="I305">
        <v>24000</v>
      </c>
      <c r="J305">
        <v>12</v>
      </c>
      <c r="K305">
        <v>288000</v>
      </c>
      <c r="L305">
        <v>1</v>
      </c>
      <c r="M305">
        <v>1</v>
      </c>
      <c r="N305" t="s">
        <v>1077</v>
      </c>
      <c r="O305">
        <v>95</v>
      </c>
      <c r="P305">
        <v>10</v>
      </c>
      <c r="Q305">
        <v>10</v>
      </c>
      <c r="R305" t="s">
        <v>37</v>
      </c>
      <c r="S305" t="s">
        <v>28</v>
      </c>
      <c r="T305">
        <v>5</v>
      </c>
      <c r="U305">
        <v>1250</v>
      </c>
      <c r="V305" t="s">
        <v>39</v>
      </c>
      <c r="W305" t="s">
        <v>1077</v>
      </c>
      <c r="X305" t="s">
        <v>33</v>
      </c>
      <c r="Y305">
        <v>13</v>
      </c>
    </row>
    <row r="306" spans="1:25">
      <c r="A306" t="s">
        <v>653</v>
      </c>
      <c r="B306" t="s">
        <v>654</v>
      </c>
      <c r="C306">
        <v>24</v>
      </c>
      <c r="D306" t="s">
        <v>25</v>
      </c>
      <c r="E306" t="s">
        <v>65</v>
      </c>
      <c r="F306" t="s">
        <v>31</v>
      </c>
      <c r="G306" t="s">
        <v>43</v>
      </c>
      <c r="H306" t="s">
        <v>1060</v>
      </c>
      <c r="I306">
        <v>24000</v>
      </c>
      <c r="J306">
        <v>12</v>
      </c>
      <c r="K306">
        <v>288000</v>
      </c>
      <c r="L306">
        <v>1</v>
      </c>
      <c r="M306">
        <v>3</v>
      </c>
      <c r="N306">
        <v>7200</v>
      </c>
      <c r="O306">
        <v>85</v>
      </c>
      <c r="P306">
        <v>5</v>
      </c>
      <c r="Q306">
        <v>10</v>
      </c>
      <c r="R306" t="s">
        <v>21</v>
      </c>
      <c r="S306" t="s">
        <v>38</v>
      </c>
      <c r="T306">
        <v>10</v>
      </c>
      <c r="U306">
        <v>2500</v>
      </c>
      <c r="V306" t="s">
        <v>22</v>
      </c>
      <c r="W306" t="s">
        <v>1077</v>
      </c>
      <c r="X306" t="s">
        <v>33</v>
      </c>
      <c r="Y306">
        <v>13</v>
      </c>
    </row>
    <row r="307" spans="1:25">
      <c r="A307" t="s">
        <v>655</v>
      </c>
      <c r="B307" t="s">
        <v>656</v>
      </c>
      <c r="C307">
        <v>25</v>
      </c>
      <c r="D307" t="s">
        <v>46</v>
      </c>
      <c r="E307" t="s">
        <v>57</v>
      </c>
      <c r="F307" t="s">
        <v>18</v>
      </c>
      <c r="G307" t="s">
        <v>43</v>
      </c>
      <c r="H307" t="s">
        <v>1060</v>
      </c>
      <c r="I307">
        <v>24000</v>
      </c>
      <c r="J307">
        <v>12</v>
      </c>
      <c r="K307">
        <v>288000</v>
      </c>
      <c r="L307">
        <v>1</v>
      </c>
      <c r="M307">
        <v>2</v>
      </c>
      <c r="N307" t="s">
        <v>1077</v>
      </c>
      <c r="O307">
        <v>85</v>
      </c>
      <c r="P307">
        <v>10</v>
      </c>
      <c r="Q307">
        <v>1</v>
      </c>
      <c r="R307" t="s">
        <v>37</v>
      </c>
      <c r="S307" t="s">
        <v>38</v>
      </c>
      <c r="T307">
        <v>20</v>
      </c>
      <c r="U307">
        <v>5000</v>
      </c>
      <c r="V307" t="s">
        <v>39</v>
      </c>
      <c r="W307" t="s">
        <v>1077</v>
      </c>
      <c r="X307" t="s">
        <v>20</v>
      </c>
      <c r="Y307">
        <v>10</v>
      </c>
    </row>
    <row r="308" spans="1:25">
      <c r="A308" t="s">
        <v>657</v>
      </c>
      <c r="B308" t="s">
        <v>658</v>
      </c>
      <c r="C308">
        <v>24</v>
      </c>
      <c r="D308" t="s">
        <v>46</v>
      </c>
      <c r="E308" t="s">
        <v>17</v>
      </c>
      <c r="F308" t="s">
        <v>31</v>
      </c>
      <c r="G308" t="s">
        <v>43</v>
      </c>
      <c r="H308" t="s">
        <v>1060</v>
      </c>
      <c r="I308">
        <v>28000</v>
      </c>
      <c r="J308">
        <v>12</v>
      </c>
      <c r="K308">
        <v>336000</v>
      </c>
      <c r="L308">
        <v>2</v>
      </c>
      <c r="M308">
        <v>2</v>
      </c>
      <c r="N308" t="s">
        <v>1077</v>
      </c>
      <c r="O308">
        <v>85</v>
      </c>
      <c r="P308">
        <v>15</v>
      </c>
      <c r="Q308">
        <v>3</v>
      </c>
      <c r="R308" t="s">
        <v>37</v>
      </c>
      <c r="S308" t="s">
        <v>38</v>
      </c>
      <c r="U308">
        <v>0</v>
      </c>
      <c r="V308" t="s">
        <v>39</v>
      </c>
      <c r="W308" t="s">
        <v>1077</v>
      </c>
      <c r="X308" t="s">
        <v>33</v>
      </c>
      <c r="Y308">
        <v>13</v>
      </c>
    </row>
    <row r="309" spans="1:25">
      <c r="A309" t="s">
        <v>659</v>
      </c>
      <c r="B309" t="s">
        <v>660</v>
      </c>
      <c r="C309">
        <v>24</v>
      </c>
      <c r="D309" t="s">
        <v>25</v>
      </c>
      <c r="E309" t="s">
        <v>65</v>
      </c>
      <c r="F309" t="s">
        <v>36</v>
      </c>
      <c r="G309" t="s">
        <v>43</v>
      </c>
      <c r="H309" t="s">
        <v>1060</v>
      </c>
      <c r="I309">
        <v>28000</v>
      </c>
      <c r="J309">
        <v>12</v>
      </c>
      <c r="K309">
        <v>336000</v>
      </c>
      <c r="L309">
        <v>2</v>
      </c>
      <c r="M309">
        <v>2</v>
      </c>
      <c r="N309" t="s">
        <v>1077</v>
      </c>
      <c r="O309">
        <v>85</v>
      </c>
      <c r="P309">
        <v>15</v>
      </c>
      <c r="Q309">
        <v>1</v>
      </c>
      <c r="R309" t="s">
        <v>21</v>
      </c>
      <c r="S309" t="s">
        <v>38</v>
      </c>
      <c r="T309">
        <v>5</v>
      </c>
      <c r="U309">
        <v>1250</v>
      </c>
      <c r="V309" t="s">
        <v>39</v>
      </c>
      <c r="W309" t="s">
        <v>1077</v>
      </c>
      <c r="X309" t="s">
        <v>20</v>
      </c>
      <c r="Y309">
        <v>25</v>
      </c>
    </row>
    <row r="310" spans="1:25">
      <c r="A310" t="s">
        <v>661</v>
      </c>
      <c r="B310" t="s">
        <v>662</v>
      </c>
      <c r="C310">
        <v>23</v>
      </c>
      <c r="D310" t="s">
        <v>25</v>
      </c>
      <c r="E310" t="s">
        <v>73</v>
      </c>
      <c r="F310" t="s">
        <v>42</v>
      </c>
      <c r="G310" t="s">
        <v>43</v>
      </c>
      <c r="H310" t="s">
        <v>1060</v>
      </c>
      <c r="I310">
        <v>28000</v>
      </c>
      <c r="J310">
        <v>12</v>
      </c>
      <c r="K310">
        <v>336000</v>
      </c>
      <c r="L310">
        <v>2</v>
      </c>
      <c r="M310">
        <v>1</v>
      </c>
      <c r="N310" t="s">
        <v>1077</v>
      </c>
      <c r="O310">
        <v>95</v>
      </c>
      <c r="P310">
        <v>10</v>
      </c>
      <c r="Q310">
        <v>11</v>
      </c>
      <c r="S310" t="s">
        <v>38</v>
      </c>
      <c r="T310">
        <v>5</v>
      </c>
      <c r="U310">
        <v>1250</v>
      </c>
      <c r="V310" t="s">
        <v>39</v>
      </c>
      <c r="W310" t="s">
        <v>1077</v>
      </c>
      <c r="X310" t="s">
        <v>20</v>
      </c>
      <c r="Y310">
        <v>14</v>
      </c>
    </row>
    <row r="311" spans="1:25">
      <c r="A311" t="s">
        <v>663</v>
      </c>
      <c r="B311" t="s">
        <v>664</v>
      </c>
      <c r="C311">
        <v>33</v>
      </c>
      <c r="D311" t="s">
        <v>25</v>
      </c>
      <c r="E311" t="s">
        <v>35</v>
      </c>
      <c r="F311" t="s">
        <v>27</v>
      </c>
      <c r="G311" t="s">
        <v>82</v>
      </c>
      <c r="H311" t="s">
        <v>1060</v>
      </c>
      <c r="I311">
        <v>89000</v>
      </c>
      <c r="J311">
        <v>12</v>
      </c>
      <c r="K311">
        <v>1068000</v>
      </c>
      <c r="L311">
        <v>8</v>
      </c>
      <c r="M311">
        <v>1</v>
      </c>
      <c r="N311" t="s">
        <v>1077</v>
      </c>
      <c r="O311">
        <v>88</v>
      </c>
      <c r="P311">
        <v>5</v>
      </c>
      <c r="Q311">
        <v>11</v>
      </c>
      <c r="S311" t="s">
        <v>38</v>
      </c>
      <c r="T311">
        <v>5</v>
      </c>
      <c r="U311">
        <v>1750</v>
      </c>
      <c r="V311" t="s">
        <v>39</v>
      </c>
      <c r="W311" t="s">
        <v>1077</v>
      </c>
      <c r="X311" t="s">
        <v>20</v>
      </c>
      <c r="Y311">
        <v>12</v>
      </c>
    </row>
    <row r="312" spans="1:25">
      <c r="A312" t="s">
        <v>665</v>
      </c>
      <c r="B312" t="s">
        <v>666</v>
      </c>
      <c r="C312">
        <v>23</v>
      </c>
      <c r="D312" t="s">
        <v>46</v>
      </c>
      <c r="E312" t="s">
        <v>64</v>
      </c>
      <c r="F312" t="s">
        <v>31</v>
      </c>
      <c r="G312" t="s">
        <v>43</v>
      </c>
      <c r="H312" t="s">
        <v>1060</v>
      </c>
      <c r="I312">
        <v>24000</v>
      </c>
      <c r="J312">
        <v>12</v>
      </c>
      <c r="K312">
        <v>288000</v>
      </c>
      <c r="L312">
        <v>1</v>
      </c>
      <c r="M312">
        <v>3</v>
      </c>
      <c r="N312">
        <v>7200</v>
      </c>
      <c r="O312">
        <v>88</v>
      </c>
      <c r="P312">
        <v>5</v>
      </c>
      <c r="Q312">
        <v>9</v>
      </c>
      <c r="S312" t="s">
        <v>38</v>
      </c>
      <c r="T312">
        <v>10</v>
      </c>
      <c r="U312">
        <v>2500</v>
      </c>
      <c r="V312" t="s">
        <v>22</v>
      </c>
      <c r="W312" t="s">
        <v>1077</v>
      </c>
      <c r="X312" t="s">
        <v>33</v>
      </c>
      <c r="Y312">
        <v>13</v>
      </c>
    </row>
    <row r="313" spans="1:25">
      <c r="A313" t="s">
        <v>667</v>
      </c>
      <c r="B313" t="s">
        <v>668</v>
      </c>
      <c r="C313">
        <v>24</v>
      </c>
      <c r="D313" t="s">
        <v>25</v>
      </c>
      <c r="E313" t="s">
        <v>73</v>
      </c>
      <c r="F313" t="s">
        <v>31</v>
      </c>
      <c r="G313" t="s">
        <v>43</v>
      </c>
      <c r="H313" t="s">
        <v>1060</v>
      </c>
      <c r="I313">
        <v>24000</v>
      </c>
      <c r="J313">
        <v>12</v>
      </c>
      <c r="K313">
        <v>288000</v>
      </c>
      <c r="L313">
        <v>1</v>
      </c>
      <c r="M313">
        <v>5</v>
      </c>
      <c r="N313">
        <v>7200</v>
      </c>
      <c r="O313">
        <v>90</v>
      </c>
      <c r="P313">
        <v>15</v>
      </c>
      <c r="Q313">
        <v>5</v>
      </c>
      <c r="S313" t="s">
        <v>38</v>
      </c>
      <c r="T313">
        <v>20</v>
      </c>
      <c r="U313">
        <v>5000</v>
      </c>
      <c r="V313" t="s">
        <v>58</v>
      </c>
      <c r="W313" t="s">
        <v>1077</v>
      </c>
      <c r="X313" t="s">
        <v>33</v>
      </c>
      <c r="Y313">
        <v>13</v>
      </c>
    </row>
    <row r="314" spans="1:25">
      <c r="A314" t="s">
        <v>669</v>
      </c>
      <c r="B314" t="s">
        <v>670</v>
      </c>
      <c r="C314">
        <v>23</v>
      </c>
      <c r="D314" t="s">
        <v>46</v>
      </c>
      <c r="E314" t="s">
        <v>61</v>
      </c>
      <c r="F314" t="s">
        <v>36</v>
      </c>
      <c r="G314" t="s">
        <v>43</v>
      </c>
      <c r="H314" t="s">
        <v>1059</v>
      </c>
      <c r="I314">
        <v>24000</v>
      </c>
      <c r="J314">
        <v>12</v>
      </c>
      <c r="K314">
        <v>288000</v>
      </c>
      <c r="L314">
        <v>1</v>
      </c>
      <c r="M314">
        <v>1</v>
      </c>
      <c r="N314" t="s">
        <v>1077</v>
      </c>
      <c r="O314">
        <v>95</v>
      </c>
      <c r="P314">
        <v>10</v>
      </c>
      <c r="Q314">
        <v>8</v>
      </c>
      <c r="S314" t="s">
        <v>28</v>
      </c>
      <c r="T314">
        <v>10</v>
      </c>
      <c r="U314">
        <v>2500</v>
      </c>
      <c r="V314" t="s">
        <v>39</v>
      </c>
      <c r="W314" t="s">
        <v>1077</v>
      </c>
      <c r="X314" t="s">
        <v>20</v>
      </c>
      <c r="Y314">
        <v>25</v>
      </c>
    </row>
    <row r="315" spans="1:25">
      <c r="A315" t="s">
        <v>671</v>
      </c>
      <c r="B315" t="s">
        <v>672</v>
      </c>
      <c r="C315">
        <v>25</v>
      </c>
      <c r="D315" t="s">
        <v>25</v>
      </c>
      <c r="E315" t="s">
        <v>65</v>
      </c>
      <c r="F315" t="s">
        <v>31</v>
      </c>
      <c r="G315" t="s">
        <v>43</v>
      </c>
      <c r="H315" t="s">
        <v>1060</v>
      </c>
      <c r="I315">
        <v>28000</v>
      </c>
      <c r="J315">
        <v>12</v>
      </c>
      <c r="K315">
        <v>336000</v>
      </c>
      <c r="L315">
        <v>2</v>
      </c>
      <c r="M315">
        <v>1</v>
      </c>
      <c r="N315" t="s">
        <v>1077</v>
      </c>
      <c r="O315">
        <v>90</v>
      </c>
      <c r="P315">
        <v>12</v>
      </c>
      <c r="Q315">
        <v>3</v>
      </c>
      <c r="R315" t="s">
        <v>37</v>
      </c>
      <c r="S315" t="s">
        <v>38</v>
      </c>
      <c r="T315">
        <v>5</v>
      </c>
      <c r="U315">
        <v>1250</v>
      </c>
      <c r="V315" t="s">
        <v>39</v>
      </c>
      <c r="W315" t="s">
        <v>1077</v>
      </c>
      <c r="X315" t="s">
        <v>33</v>
      </c>
      <c r="Y315">
        <v>13</v>
      </c>
    </row>
    <row r="316" spans="1:25">
      <c r="A316" t="s">
        <v>673</v>
      </c>
      <c r="B316" t="s">
        <v>674</v>
      </c>
      <c r="C316">
        <v>23</v>
      </c>
      <c r="D316" t="s">
        <v>25</v>
      </c>
      <c r="E316" t="s">
        <v>50</v>
      </c>
      <c r="F316" t="s">
        <v>42</v>
      </c>
      <c r="G316" t="s">
        <v>43</v>
      </c>
      <c r="H316" t="s">
        <v>1060</v>
      </c>
      <c r="I316">
        <v>24000</v>
      </c>
      <c r="J316">
        <v>12</v>
      </c>
      <c r="K316">
        <v>288000</v>
      </c>
      <c r="L316">
        <v>1</v>
      </c>
      <c r="M316">
        <v>2</v>
      </c>
      <c r="N316" t="s">
        <v>1077</v>
      </c>
      <c r="O316">
        <v>90</v>
      </c>
      <c r="P316">
        <v>5</v>
      </c>
      <c r="Q316">
        <v>1</v>
      </c>
      <c r="R316" t="s">
        <v>37</v>
      </c>
      <c r="S316" t="s">
        <v>19</v>
      </c>
      <c r="T316">
        <v>20</v>
      </c>
      <c r="U316">
        <v>5000</v>
      </c>
      <c r="V316" t="s">
        <v>39</v>
      </c>
      <c r="W316" t="s">
        <v>1077</v>
      </c>
      <c r="X316" t="s">
        <v>20</v>
      </c>
      <c r="Y316">
        <v>14</v>
      </c>
    </row>
    <row r="317" spans="1:25">
      <c r="A317" t="s">
        <v>675</v>
      </c>
      <c r="B317" t="s">
        <v>676</v>
      </c>
      <c r="C317">
        <v>25</v>
      </c>
      <c r="D317" t="s">
        <v>46</v>
      </c>
      <c r="E317" t="s">
        <v>64</v>
      </c>
      <c r="F317" t="s">
        <v>31</v>
      </c>
      <c r="G317" t="s">
        <v>43</v>
      </c>
      <c r="H317" t="s">
        <v>1060</v>
      </c>
      <c r="I317">
        <v>24000</v>
      </c>
      <c r="J317">
        <v>12</v>
      </c>
      <c r="K317">
        <v>288000</v>
      </c>
      <c r="L317">
        <v>1</v>
      </c>
      <c r="M317">
        <v>4</v>
      </c>
      <c r="N317">
        <v>7200</v>
      </c>
      <c r="O317">
        <v>80</v>
      </c>
      <c r="P317">
        <v>15</v>
      </c>
      <c r="Q317">
        <v>3</v>
      </c>
      <c r="S317" t="s">
        <v>19</v>
      </c>
      <c r="T317">
        <v>5</v>
      </c>
      <c r="U317">
        <v>1250</v>
      </c>
      <c r="V317" t="s">
        <v>22</v>
      </c>
      <c r="W317" t="s">
        <v>1077</v>
      </c>
      <c r="X317" t="s">
        <v>33</v>
      </c>
      <c r="Y317">
        <v>13</v>
      </c>
    </row>
    <row r="318" spans="1:25">
      <c r="A318" t="s">
        <v>677</v>
      </c>
      <c r="B318" t="s">
        <v>678</v>
      </c>
      <c r="C318">
        <v>25</v>
      </c>
      <c r="D318" t="s">
        <v>46</v>
      </c>
      <c r="E318" t="s">
        <v>47</v>
      </c>
      <c r="F318" t="s">
        <v>31</v>
      </c>
      <c r="G318" t="s">
        <v>43</v>
      </c>
      <c r="H318" t="s">
        <v>1060</v>
      </c>
      <c r="I318">
        <v>24000</v>
      </c>
      <c r="J318">
        <v>12</v>
      </c>
      <c r="K318">
        <v>288000</v>
      </c>
      <c r="L318">
        <v>1</v>
      </c>
      <c r="M318">
        <v>2</v>
      </c>
      <c r="N318" t="s">
        <v>1077</v>
      </c>
      <c r="O318">
        <v>88</v>
      </c>
      <c r="P318">
        <v>15</v>
      </c>
      <c r="Q318">
        <v>3</v>
      </c>
      <c r="S318" t="s">
        <v>38</v>
      </c>
      <c r="T318">
        <v>5</v>
      </c>
      <c r="U318">
        <v>1250</v>
      </c>
      <c r="V318" t="s">
        <v>39</v>
      </c>
      <c r="W318" t="s">
        <v>1077</v>
      </c>
      <c r="X318" t="s">
        <v>33</v>
      </c>
      <c r="Y318">
        <v>13</v>
      </c>
    </row>
    <row r="319" spans="1:25">
      <c r="A319" t="s">
        <v>679</v>
      </c>
      <c r="B319" t="s">
        <v>680</v>
      </c>
      <c r="C319">
        <v>25</v>
      </c>
      <c r="D319" t="s">
        <v>1077</v>
      </c>
      <c r="E319" t="s">
        <v>64</v>
      </c>
      <c r="F319" t="s">
        <v>18</v>
      </c>
      <c r="G319" t="s">
        <v>43</v>
      </c>
      <c r="H319" t="s">
        <v>1060</v>
      </c>
      <c r="I319">
        <v>28000</v>
      </c>
      <c r="J319">
        <v>12</v>
      </c>
      <c r="K319">
        <v>336000</v>
      </c>
      <c r="L319">
        <v>2</v>
      </c>
      <c r="M319">
        <v>5</v>
      </c>
      <c r="N319">
        <v>8400</v>
      </c>
      <c r="O319">
        <v>90</v>
      </c>
      <c r="P319">
        <v>10</v>
      </c>
      <c r="Q319">
        <v>5</v>
      </c>
      <c r="S319" t="s">
        <v>38</v>
      </c>
      <c r="T319">
        <v>10</v>
      </c>
      <c r="U319">
        <v>2500</v>
      </c>
      <c r="V319" t="s">
        <v>58</v>
      </c>
      <c r="W319" t="s">
        <v>1077</v>
      </c>
      <c r="X319" t="s">
        <v>20</v>
      </c>
      <c r="Y319">
        <v>10</v>
      </c>
    </row>
    <row r="320" spans="1:25">
      <c r="A320" t="s">
        <v>681</v>
      </c>
      <c r="B320" t="s">
        <v>682</v>
      </c>
      <c r="C320">
        <v>29</v>
      </c>
      <c r="D320" t="s">
        <v>1077</v>
      </c>
      <c r="E320" t="s">
        <v>35</v>
      </c>
      <c r="F320" t="s">
        <v>31</v>
      </c>
      <c r="G320" t="s">
        <v>1045</v>
      </c>
      <c r="H320" t="s">
        <v>1060</v>
      </c>
      <c r="I320">
        <v>78000</v>
      </c>
      <c r="J320">
        <v>12</v>
      </c>
      <c r="K320">
        <v>936000</v>
      </c>
      <c r="L320">
        <v>7</v>
      </c>
      <c r="M320">
        <v>3</v>
      </c>
      <c r="N320">
        <v>23400</v>
      </c>
      <c r="O320">
        <v>80</v>
      </c>
      <c r="P320">
        <v>12</v>
      </c>
      <c r="Q320">
        <v>5</v>
      </c>
      <c r="R320" t="s">
        <v>21</v>
      </c>
      <c r="S320" t="s">
        <v>38</v>
      </c>
      <c r="T320">
        <v>20</v>
      </c>
      <c r="U320">
        <v>6000</v>
      </c>
      <c r="V320" t="s">
        <v>22</v>
      </c>
      <c r="W320" t="s">
        <v>1077</v>
      </c>
      <c r="X320" t="s">
        <v>33</v>
      </c>
      <c r="Y320">
        <v>13</v>
      </c>
    </row>
    <row r="321" spans="1:25">
      <c r="A321" t="s">
        <v>683</v>
      </c>
      <c r="B321" t="s">
        <v>684</v>
      </c>
      <c r="C321">
        <v>25</v>
      </c>
      <c r="D321" t="s">
        <v>46</v>
      </c>
      <c r="E321" t="s">
        <v>17</v>
      </c>
      <c r="F321" t="s">
        <v>66</v>
      </c>
      <c r="G321" t="s">
        <v>43</v>
      </c>
      <c r="H321" t="s">
        <v>1060</v>
      </c>
      <c r="I321">
        <v>24000</v>
      </c>
      <c r="J321">
        <v>12</v>
      </c>
      <c r="K321">
        <v>288000</v>
      </c>
      <c r="L321">
        <v>1</v>
      </c>
      <c r="M321">
        <v>3</v>
      </c>
      <c r="N321">
        <v>7200</v>
      </c>
      <c r="O321">
        <v>85</v>
      </c>
      <c r="P321">
        <v>10</v>
      </c>
      <c r="Q321">
        <v>10</v>
      </c>
      <c r="R321" t="s">
        <v>21</v>
      </c>
      <c r="S321" t="s">
        <v>38</v>
      </c>
      <c r="U321">
        <v>0</v>
      </c>
      <c r="V321" t="s">
        <v>22</v>
      </c>
      <c r="W321" t="s">
        <v>1077</v>
      </c>
      <c r="X321" t="s">
        <v>33</v>
      </c>
      <c r="Y321">
        <v>20</v>
      </c>
    </row>
    <row r="322" spans="1:25">
      <c r="A322" t="s">
        <v>685</v>
      </c>
      <c r="B322" t="s">
        <v>686</v>
      </c>
      <c r="C322">
        <v>36</v>
      </c>
      <c r="D322" t="s">
        <v>25</v>
      </c>
      <c r="E322" t="s">
        <v>50</v>
      </c>
      <c r="F322" t="s">
        <v>66</v>
      </c>
      <c r="G322" t="s">
        <v>82</v>
      </c>
      <c r="H322" t="s">
        <v>1059</v>
      </c>
      <c r="I322">
        <v>89000</v>
      </c>
      <c r="J322">
        <v>12</v>
      </c>
      <c r="K322">
        <v>1068000</v>
      </c>
      <c r="L322">
        <v>6</v>
      </c>
      <c r="M322">
        <v>2</v>
      </c>
      <c r="N322" t="s">
        <v>1077</v>
      </c>
      <c r="O322">
        <v>90</v>
      </c>
      <c r="P322">
        <v>15</v>
      </c>
      <c r="Q322">
        <v>2</v>
      </c>
      <c r="R322" t="s">
        <v>21</v>
      </c>
      <c r="S322" t="s">
        <v>28</v>
      </c>
      <c r="T322">
        <v>10</v>
      </c>
      <c r="U322">
        <v>3500</v>
      </c>
      <c r="V322" t="s">
        <v>39</v>
      </c>
      <c r="W322" t="s">
        <v>1077</v>
      </c>
      <c r="X322" t="s">
        <v>33</v>
      </c>
      <c r="Y322">
        <v>20</v>
      </c>
    </row>
    <row r="323" spans="1:25">
      <c r="A323" t="s">
        <v>687</v>
      </c>
      <c r="B323" t="s">
        <v>688</v>
      </c>
      <c r="C323">
        <v>23</v>
      </c>
      <c r="D323" t="s">
        <v>46</v>
      </c>
      <c r="E323" t="s">
        <v>26</v>
      </c>
      <c r="F323" t="s">
        <v>42</v>
      </c>
      <c r="G323" t="s">
        <v>43</v>
      </c>
      <c r="H323" t="s">
        <v>1060</v>
      </c>
      <c r="I323">
        <v>28000</v>
      </c>
      <c r="J323">
        <v>12</v>
      </c>
      <c r="K323">
        <v>336000</v>
      </c>
      <c r="L323">
        <v>2</v>
      </c>
      <c r="M323">
        <v>2</v>
      </c>
      <c r="N323" t="s">
        <v>1077</v>
      </c>
      <c r="O323">
        <v>85</v>
      </c>
      <c r="P323">
        <v>10</v>
      </c>
      <c r="Q323">
        <v>1</v>
      </c>
      <c r="R323" t="s">
        <v>37</v>
      </c>
      <c r="S323" t="s">
        <v>38</v>
      </c>
      <c r="U323">
        <v>0</v>
      </c>
      <c r="V323" t="s">
        <v>39</v>
      </c>
      <c r="W323" t="s">
        <v>1077</v>
      </c>
      <c r="X323" t="s">
        <v>20</v>
      </c>
      <c r="Y323">
        <v>14</v>
      </c>
    </row>
    <row r="324" spans="1:25">
      <c r="A324" t="s">
        <v>689</v>
      </c>
      <c r="B324" t="s">
        <v>690</v>
      </c>
      <c r="C324">
        <v>33</v>
      </c>
      <c r="D324" t="s">
        <v>46</v>
      </c>
      <c r="E324" t="s">
        <v>73</v>
      </c>
      <c r="F324" t="s">
        <v>66</v>
      </c>
      <c r="G324" t="s">
        <v>82</v>
      </c>
      <c r="H324" t="s">
        <v>1060</v>
      </c>
      <c r="I324">
        <v>89000</v>
      </c>
      <c r="J324">
        <v>12</v>
      </c>
      <c r="K324">
        <v>1068000</v>
      </c>
      <c r="L324">
        <v>9</v>
      </c>
      <c r="M324">
        <v>2</v>
      </c>
      <c r="N324" t="s">
        <v>1077</v>
      </c>
      <c r="O324">
        <v>95</v>
      </c>
      <c r="P324">
        <v>5</v>
      </c>
      <c r="Q324">
        <v>3</v>
      </c>
      <c r="R324" t="s">
        <v>37</v>
      </c>
      <c r="S324" t="s">
        <v>38</v>
      </c>
      <c r="T324">
        <v>5</v>
      </c>
      <c r="U324">
        <v>1750</v>
      </c>
      <c r="V324" t="s">
        <v>39</v>
      </c>
      <c r="W324" t="s">
        <v>1077</v>
      </c>
      <c r="X324" t="s">
        <v>33</v>
      </c>
      <c r="Y324">
        <v>20</v>
      </c>
    </row>
    <row r="325" spans="1:25">
      <c r="A325" t="s">
        <v>113</v>
      </c>
      <c r="B325" t="s">
        <v>114</v>
      </c>
      <c r="C325">
        <v>33</v>
      </c>
      <c r="D325" t="s">
        <v>25</v>
      </c>
      <c r="E325" t="s">
        <v>64</v>
      </c>
      <c r="F325" t="s">
        <v>66</v>
      </c>
      <c r="G325" t="s">
        <v>82</v>
      </c>
      <c r="H325" t="s">
        <v>1059</v>
      </c>
      <c r="I325">
        <v>90000</v>
      </c>
      <c r="J325">
        <v>12</v>
      </c>
      <c r="K325">
        <v>1080000</v>
      </c>
      <c r="L325">
        <v>9</v>
      </c>
      <c r="M325">
        <v>3</v>
      </c>
      <c r="N325">
        <v>27000</v>
      </c>
      <c r="O325">
        <v>85</v>
      </c>
      <c r="P325">
        <v>12</v>
      </c>
      <c r="Q325">
        <v>3</v>
      </c>
      <c r="R325" t="s">
        <v>37</v>
      </c>
      <c r="S325" t="s">
        <v>28</v>
      </c>
      <c r="U325">
        <v>0</v>
      </c>
      <c r="V325" t="s">
        <v>22</v>
      </c>
      <c r="W325" t="s">
        <v>1077</v>
      </c>
      <c r="X325" t="s">
        <v>33</v>
      </c>
      <c r="Y325">
        <v>20</v>
      </c>
    </row>
    <row r="326" spans="1:25">
      <c r="A326" t="s">
        <v>691</v>
      </c>
      <c r="B326" t="s">
        <v>692</v>
      </c>
      <c r="C326">
        <v>25</v>
      </c>
      <c r="D326" t="s">
        <v>25</v>
      </c>
      <c r="E326" t="s">
        <v>73</v>
      </c>
      <c r="F326" t="s">
        <v>18</v>
      </c>
      <c r="G326" t="s">
        <v>43</v>
      </c>
      <c r="H326" t="s">
        <v>1060</v>
      </c>
      <c r="I326">
        <v>28000</v>
      </c>
      <c r="J326">
        <v>12</v>
      </c>
      <c r="K326">
        <v>336000</v>
      </c>
      <c r="L326">
        <v>2</v>
      </c>
      <c r="M326">
        <v>3</v>
      </c>
      <c r="N326">
        <v>8400</v>
      </c>
      <c r="O326">
        <v>80</v>
      </c>
      <c r="P326">
        <v>10</v>
      </c>
      <c r="Q326">
        <v>3</v>
      </c>
      <c r="R326" t="s">
        <v>21</v>
      </c>
      <c r="S326" t="s">
        <v>38</v>
      </c>
      <c r="T326">
        <v>5</v>
      </c>
      <c r="U326">
        <v>1250</v>
      </c>
      <c r="V326" t="s">
        <v>22</v>
      </c>
      <c r="W326" t="s">
        <v>1077</v>
      </c>
      <c r="X326" t="s">
        <v>20</v>
      </c>
      <c r="Y326">
        <v>10</v>
      </c>
    </row>
    <row r="327" spans="1:25">
      <c r="A327" t="s">
        <v>693</v>
      </c>
      <c r="B327" t="s">
        <v>694</v>
      </c>
      <c r="C327">
        <v>24</v>
      </c>
      <c r="D327" t="s">
        <v>1077</v>
      </c>
      <c r="E327" t="s">
        <v>64</v>
      </c>
      <c r="F327" t="s">
        <v>27</v>
      </c>
      <c r="G327" t="s">
        <v>43</v>
      </c>
      <c r="H327" t="s">
        <v>1060</v>
      </c>
      <c r="I327">
        <v>28000</v>
      </c>
      <c r="J327">
        <v>12</v>
      </c>
      <c r="K327">
        <v>336000</v>
      </c>
      <c r="L327">
        <v>2</v>
      </c>
      <c r="M327">
        <v>2</v>
      </c>
      <c r="N327" t="s">
        <v>1077</v>
      </c>
      <c r="O327">
        <v>85</v>
      </c>
      <c r="P327">
        <v>15</v>
      </c>
      <c r="Q327">
        <v>2</v>
      </c>
      <c r="S327" t="s">
        <v>38</v>
      </c>
      <c r="T327">
        <v>20</v>
      </c>
      <c r="U327">
        <v>5000</v>
      </c>
      <c r="V327" t="s">
        <v>39</v>
      </c>
      <c r="W327" t="s">
        <v>1077</v>
      </c>
      <c r="X327" t="s">
        <v>20</v>
      </c>
      <c r="Y327">
        <v>12</v>
      </c>
    </row>
    <row r="328" spans="1:25">
      <c r="A328" t="s">
        <v>695</v>
      </c>
      <c r="B328" t="s">
        <v>696</v>
      </c>
      <c r="C328">
        <v>24</v>
      </c>
      <c r="D328" t="s">
        <v>25</v>
      </c>
      <c r="E328" t="s">
        <v>73</v>
      </c>
      <c r="F328" t="s">
        <v>66</v>
      </c>
      <c r="G328" t="s">
        <v>1048</v>
      </c>
      <c r="H328" t="s">
        <v>1060</v>
      </c>
      <c r="I328">
        <v>65000</v>
      </c>
      <c r="J328">
        <v>12</v>
      </c>
      <c r="K328">
        <v>780000</v>
      </c>
      <c r="L328">
        <v>5</v>
      </c>
      <c r="M328">
        <v>1</v>
      </c>
      <c r="N328" t="s">
        <v>1077</v>
      </c>
      <c r="O328">
        <v>88</v>
      </c>
      <c r="P328">
        <v>15</v>
      </c>
      <c r="Q328">
        <v>1</v>
      </c>
      <c r="R328" t="s">
        <v>37</v>
      </c>
      <c r="S328" t="s">
        <v>38</v>
      </c>
      <c r="T328">
        <v>5</v>
      </c>
      <c r="U328">
        <v>1500</v>
      </c>
      <c r="V328" t="s">
        <v>39</v>
      </c>
      <c r="W328" t="s">
        <v>1077</v>
      </c>
      <c r="X328" t="s">
        <v>33</v>
      </c>
      <c r="Y328">
        <v>20</v>
      </c>
    </row>
    <row r="329" spans="1:25">
      <c r="A329" t="s">
        <v>697</v>
      </c>
      <c r="B329" t="s">
        <v>698</v>
      </c>
      <c r="C329">
        <v>23</v>
      </c>
      <c r="D329" t="s">
        <v>25</v>
      </c>
      <c r="E329" t="s">
        <v>47</v>
      </c>
      <c r="F329" t="s">
        <v>18</v>
      </c>
      <c r="G329" t="s">
        <v>43</v>
      </c>
      <c r="H329" t="s">
        <v>1060</v>
      </c>
      <c r="I329">
        <v>28000</v>
      </c>
      <c r="J329">
        <v>12</v>
      </c>
      <c r="K329">
        <v>336000</v>
      </c>
      <c r="L329">
        <v>2</v>
      </c>
      <c r="M329">
        <v>4</v>
      </c>
      <c r="N329">
        <v>8400</v>
      </c>
      <c r="O329">
        <v>95</v>
      </c>
      <c r="P329">
        <v>5</v>
      </c>
      <c r="Q329">
        <v>5</v>
      </c>
      <c r="R329" t="s">
        <v>37</v>
      </c>
      <c r="S329" t="s">
        <v>38</v>
      </c>
      <c r="T329">
        <v>10</v>
      </c>
      <c r="U329">
        <v>2500</v>
      </c>
      <c r="V329" t="s">
        <v>22</v>
      </c>
      <c r="W329" t="s">
        <v>1077</v>
      </c>
      <c r="X329" t="s">
        <v>20</v>
      </c>
      <c r="Y329">
        <v>10</v>
      </c>
    </row>
    <row r="330" spans="1:25">
      <c r="A330" t="s">
        <v>699</v>
      </c>
      <c r="B330" t="s">
        <v>700</v>
      </c>
      <c r="C330">
        <v>24</v>
      </c>
      <c r="D330" t="s">
        <v>25</v>
      </c>
      <c r="E330" t="s">
        <v>64</v>
      </c>
      <c r="F330" t="s">
        <v>31</v>
      </c>
      <c r="G330" t="s">
        <v>43</v>
      </c>
      <c r="H330" t="s">
        <v>1060</v>
      </c>
      <c r="I330">
        <v>24000</v>
      </c>
      <c r="J330">
        <v>12</v>
      </c>
      <c r="K330">
        <v>288000</v>
      </c>
      <c r="L330">
        <v>1</v>
      </c>
      <c r="M330">
        <v>1</v>
      </c>
      <c r="N330" t="s">
        <v>1077</v>
      </c>
      <c r="O330">
        <v>80</v>
      </c>
      <c r="P330">
        <v>10</v>
      </c>
      <c r="Q330">
        <v>3</v>
      </c>
      <c r="R330" t="s">
        <v>21</v>
      </c>
      <c r="S330" t="s">
        <v>38</v>
      </c>
      <c r="T330">
        <v>20</v>
      </c>
      <c r="U330">
        <v>5000</v>
      </c>
      <c r="V330" t="s">
        <v>39</v>
      </c>
      <c r="W330" t="s">
        <v>1077</v>
      </c>
      <c r="X330" t="s">
        <v>33</v>
      </c>
      <c r="Y330">
        <v>13</v>
      </c>
    </row>
    <row r="331" spans="1:25">
      <c r="A331" t="s">
        <v>701</v>
      </c>
      <c r="B331" t="s">
        <v>702</v>
      </c>
      <c r="C331">
        <v>24</v>
      </c>
      <c r="D331" t="s">
        <v>1077</v>
      </c>
      <c r="E331" t="s">
        <v>47</v>
      </c>
      <c r="F331" t="s">
        <v>42</v>
      </c>
      <c r="G331" t="s">
        <v>1045</v>
      </c>
      <c r="H331" t="s">
        <v>1060</v>
      </c>
      <c r="I331">
        <v>78000</v>
      </c>
      <c r="J331">
        <v>12</v>
      </c>
      <c r="K331">
        <v>936000</v>
      </c>
      <c r="L331">
        <v>7</v>
      </c>
      <c r="M331">
        <v>1</v>
      </c>
      <c r="N331" t="s">
        <v>1077</v>
      </c>
      <c r="O331">
        <v>85</v>
      </c>
      <c r="P331">
        <v>10</v>
      </c>
      <c r="Q331">
        <v>5</v>
      </c>
      <c r="R331" t="s">
        <v>37</v>
      </c>
      <c r="S331" t="s">
        <v>19</v>
      </c>
      <c r="U331">
        <v>0</v>
      </c>
      <c r="V331" t="s">
        <v>39</v>
      </c>
      <c r="W331" t="s">
        <v>1077</v>
      </c>
      <c r="X331" t="s">
        <v>20</v>
      </c>
      <c r="Y331">
        <v>14</v>
      </c>
    </row>
    <row r="332" spans="1:25">
      <c r="A332" t="s">
        <v>703</v>
      </c>
      <c r="B332" t="s">
        <v>704</v>
      </c>
      <c r="C332">
        <v>23</v>
      </c>
      <c r="D332" t="s">
        <v>25</v>
      </c>
      <c r="E332" t="s">
        <v>73</v>
      </c>
      <c r="F332" t="s">
        <v>36</v>
      </c>
      <c r="G332" t="s">
        <v>43</v>
      </c>
      <c r="H332" t="s">
        <v>1060</v>
      </c>
      <c r="I332">
        <v>24000</v>
      </c>
      <c r="J332">
        <v>12</v>
      </c>
      <c r="K332">
        <v>288000</v>
      </c>
      <c r="L332">
        <v>1</v>
      </c>
      <c r="M332">
        <v>1</v>
      </c>
      <c r="N332" t="s">
        <v>1077</v>
      </c>
      <c r="O332">
        <v>90</v>
      </c>
      <c r="P332">
        <v>31</v>
      </c>
      <c r="Q332">
        <v>2</v>
      </c>
      <c r="R332" t="s">
        <v>21</v>
      </c>
      <c r="S332" t="s">
        <v>38</v>
      </c>
      <c r="T332">
        <v>5</v>
      </c>
      <c r="U332">
        <v>1250</v>
      </c>
      <c r="V332" t="s">
        <v>39</v>
      </c>
      <c r="W332" t="s">
        <v>1077</v>
      </c>
      <c r="X332" t="s">
        <v>20</v>
      </c>
      <c r="Y332">
        <v>25</v>
      </c>
    </row>
    <row r="333" spans="1:25">
      <c r="A333" t="s">
        <v>705</v>
      </c>
      <c r="B333" t="s">
        <v>706</v>
      </c>
      <c r="C333">
        <v>24</v>
      </c>
      <c r="D333" t="s">
        <v>25</v>
      </c>
      <c r="E333" t="s">
        <v>73</v>
      </c>
      <c r="F333" t="s">
        <v>27</v>
      </c>
      <c r="G333" t="s">
        <v>43</v>
      </c>
      <c r="H333" t="s">
        <v>1060</v>
      </c>
      <c r="I333">
        <v>24000</v>
      </c>
      <c r="J333">
        <v>12</v>
      </c>
      <c r="K333">
        <v>288000</v>
      </c>
      <c r="L333">
        <v>1</v>
      </c>
      <c r="M333">
        <v>1</v>
      </c>
      <c r="N333" t="s">
        <v>1077</v>
      </c>
      <c r="O333">
        <v>90</v>
      </c>
      <c r="P333">
        <v>15</v>
      </c>
      <c r="Q333">
        <v>9</v>
      </c>
      <c r="S333" t="s">
        <v>38</v>
      </c>
      <c r="T333">
        <v>20</v>
      </c>
      <c r="U333">
        <v>5000</v>
      </c>
      <c r="V333" t="s">
        <v>39</v>
      </c>
      <c r="W333" t="s">
        <v>1077</v>
      </c>
      <c r="X333" t="s">
        <v>20</v>
      </c>
      <c r="Y333">
        <v>12</v>
      </c>
    </row>
    <row r="334" spans="1:25">
      <c r="A334" t="s">
        <v>707</v>
      </c>
      <c r="B334" t="s">
        <v>708</v>
      </c>
      <c r="C334">
        <v>26</v>
      </c>
      <c r="D334" t="s">
        <v>25</v>
      </c>
      <c r="E334" t="s">
        <v>57</v>
      </c>
      <c r="F334" t="s">
        <v>42</v>
      </c>
      <c r="G334" t="s">
        <v>1045</v>
      </c>
      <c r="H334" t="s">
        <v>1060</v>
      </c>
      <c r="I334">
        <v>78000</v>
      </c>
      <c r="J334">
        <v>12</v>
      </c>
      <c r="K334">
        <v>936000</v>
      </c>
      <c r="L334">
        <v>7</v>
      </c>
      <c r="M334">
        <v>3</v>
      </c>
      <c r="N334">
        <v>23400</v>
      </c>
      <c r="O334">
        <v>80</v>
      </c>
      <c r="P334">
        <v>5</v>
      </c>
      <c r="Q334">
        <v>1</v>
      </c>
      <c r="R334" t="s">
        <v>21</v>
      </c>
      <c r="S334" t="s">
        <v>38</v>
      </c>
      <c r="T334">
        <v>10</v>
      </c>
      <c r="U334">
        <v>3000</v>
      </c>
      <c r="V334" t="s">
        <v>22</v>
      </c>
      <c r="W334" t="s">
        <v>1077</v>
      </c>
      <c r="X334" t="s">
        <v>20</v>
      </c>
      <c r="Y334">
        <v>14</v>
      </c>
    </row>
    <row r="335" spans="1:25">
      <c r="A335" t="s">
        <v>709</v>
      </c>
      <c r="B335" t="s">
        <v>710</v>
      </c>
      <c r="C335">
        <v>28</v>
      </c>
      <c r="D335" t="s">
        <v>25</v>
      </c>
      <c r="E335" t="s">
        <v>64</v>
      </c>
      <c r="F335" t="s">
        <v>31</v>
      </c>
      <c r="G335" t="s">
        <v>1045</v>
      </c>
      <c r="H335" t="s">
        <v>1060</v>
      </c>
      <c r="I335">
        <v>77500</v>
      </c>
      <c r="J335">
        <v>12</v>
      </c>
      <c r="K335">
        <v>930000</v>
      </c>
      <c r="L335">
        <v>5</v>
      </c>
      <c r="M335">
        <v>5</v>
      </c>
      <c r="N335">
        <v>23250</v>
      </c>
      <c r="O335">
        <v>80</v>
      </c>
      <c r="P335">
        <v>10</v>
      </c>
      <c r="Q335">
        <v>5</v>
      </c>
      <c r="S335" t="s">
        <v>19</v>
      </c>
      <c r="T335">
        <v>5</v>
      </c>
      <c r="U335">
        <v>1500</v>
      </c>
      <c r="V335" t="s">
        <v>58</v>
      </c>
      <c r="W335" t="s">
        <v>1077</v>
      </c>
      <c r="X335" t="s">
        <v>33</v>
      </c>
      <c r="Y335">
        <v>13</v>
      </c>
    </row>
    <row r="336" spans="1:25">
      <c r="A336" t="s">
        <v>711</v>
      </c>
      <c r="B336" t="s">
        <v>712</v>
      </c>
      <c r="C336">
        <v>24</v>
      </c>
      <c r="D336" t="s">
        <v>46</v>
      </c>
      <c r="E336" t="s">
        <v>26</v>
      </c>
      <c r="F336" t="s">
        <v>27</v>
      </c>
      <c r="G336" t="s">
        <v>43</v>
      </c>
      <c r="H336" t="s">
        <v>1060</v>
      </c>
      <c r="I336">
        <v>28000</v>
      </c>
      <c r="J336">
        <v>12</v>
      </c>
      <c r="K336">
        <v>336000</v>
      </c>
      <c r="L336">
        <v>2</v>
      </c>
      <c r="M336">
        <v>1</v>
      </c>
      <c r="N336" t="s">
        <v>1077</v>
      </c>
      <c r="O336">
        <v>90</v>
      </c>
      <c r="P336">
        <v>15</v>
      </c>
      <c r="Q336">
        <v>11</v>
      </c>
      <c r="S336" t="s">
        <v>38</v>
      </c>
      <c r="T336">
        <v>10</v>
      </c>
      <c r="U336">
        <v>2500</v>
      </c>
      <c r="V336" t="s">
        <v>39</v>
      </c>
      <c r="W336" t="s">
        <v>1077</v>
      </c>
      <c r="X336" t="s">
        <v>20</v>
      </c>
      <c r="Y336">
        <v>12</v>
      </c>
    </row>
    <row r="337" spans="1:25">
      <c r="A337" t="s">
        <v>713</v>
      </c>
      <c r="B337" t="s">
        <v>714</v>
      </c>
      <c r="C337">
        <v>25</v>
      </c>
      <c r="D337" t="s">
        <v>25</v>
      </c>
      <c r="E337" t="s">
        <v>26</v>
      </c>
      <c r="F337" t="s">
        <v>42</v>
      </c>
      <c r="G337" t="s">
        <v>1048</v>
      </c>
      <c r="H337" t="s">
        <v>1060</v>
      </c>
      <c r="I337">
        <v>65000</v>
      </c>
      <c r="J337">
        <v>12</v>
      </c>
      <c r="K337">
        <v>780000</v>
      </c>
      <c r="L337">
        <v>5</v>
      </c>
      <c r="M337">
        <v>4</v>
      </c>
      <c r="N337">
        <v>19500</v>
      </c>
      <c r="O337">
        <v>90</v>
      </c>
      <c r="P337">
        <v>10</v>
      </c>
      <c r="Q337">
        <v>3</v>
      </c>
      <c r="R337" t="s">
        <v>37</v>
      </c>
      <c r="S337" t="s">
        <v>28</v>
      </c>
      <c r="T337">
        <v>5</v>
      </c>
      <c r="U337">
        <v>1500</v>
      </c>
      <c r="V337" t="s">
        <v>22</v>
      </c>
      <c r="W337" t="s">
        <v>1077</v>
      </c>
      <c r="X337" t="s">
        <v>20</v>
      </c>
      <c r="Y337">
        <v>14</v>
      </c>
    </row>
    <row r="338" spans="1:25">
      <c r="A338" t="s">
        <v>715</v>
      </c>
      <c r="B338" t="s">
        <v>716</v>
      </c>
      <c r="C338">
        <v>25</v>
      </c>
      <c r="D338" t="s">
        <v>46</v>
      </c>
      <c r="E338" t="s">
        <v>65</v>
      </c>
      <c r="F338" t="s">
        <v>31</v>
      </c>
      <c r="G338" t="s">
        <v>43</v>
      </c>
      <c r="H338" t="s">
        <v>1060</v>
      </c>
      <c r="I338">
        <v>24000</v>
      </c>
      <c r="J338">
        <v>12</v>
      </c>
      <c r="K338">
        <v>288000</v>
      </c>
      <c r="L338">
        <v>1</v>
      </c>
      <c r="M338">
        <v>1</v>
      </c>
      <c r="N338" t="s">
        <v>1077</v>
      </c>
      <c r="O338">
        <v>90</v>
      </c>
      <c r="P338">
        <v>5</v>
      </c>
      <c r="Q338">
        <v>3</v>
      </c>
      <c r="R338" t="s">
        <v>21</v>
      </c>
      <c r="S338" t="s">
        <v>38</v>
      </c>
      <c r="T338">
        <v>5</v>
      </c>
      <c r="U338">
        <v>1250</v>
      </c>
      <c r="V338" t="s">
        <v>39</v>
      </c>
      <c r="W338" t="s">
        <v>1077</v>
      </c>
      <c r="X338" t="s">
        <v>33</v>
      </c>
      <c r="Y338">
        <v>13</v>
      </c>
    </row>
    <row r="339" spans="1:25">
      <c r="A339" t="s">
        <v>717</v>
      </c>
      <c r="B339" t="s">
        <v>718</v>
      </c>
      <c r="C339">
        <v>24</v>
      </c>
      <c r="D339" t="s">
        <v>46</v>
      </c>
      <c r="E339" t="s">
        <v>73</v>
      </c>
      <c r="F339" t="s">
        <v>31</v>
      </c>
      <c r="G339" t="s">
        <v>1045</v>
      </c>
      <c r="H339" t="s">
        <v>1060</v>
      </c>
      <c r="I339">
        <v>73000</v>
      </c>
      <c r="J339">
        <v>12</v>
      </c>
      <c r="K339">
        <v>876000</v>
      </c>
      <c r="L339">
        <v>5</v>
      </c>
      <c r="M339">
        <v>4</v>
      </c>
      <c r="N339">
        <v>21900</v>
      </c>
      <c r="O339">
        <v>95</v>
      </c>
      <c r="P339">
        <v>13</v>
      </c>
      <c r="Q339">
        <v>1</v>
      </c>
      <c r="R339" t="s">
        <v>21</v>
      </c>
      <c r="S339" t="s">
        <v>19</v>
      </c>
      <c r="T339">
        <v>5</v>
      </c>
      <c r="U339">
        <v>1500</v>
      </c>
      <c r="V339" t="s">
        <v>22</v>
      </c>
      <c r="W339" t="s">
        <v>1077</v>
      </c>
      <c r="X339" t="s">
        <v>33</v>
      </c>
      <c r="Y339">
        <v>13</v>
      </c>
    </row>
    <row r="340" spans="1:25">
      <c r="A340" t="s">
        <v>719</v>
      </c>
      <c r="B340" t="s">
        <v>720</v>
      </c>
      <c r="C340">
        <v>23</v>
      </c>
      <c r="D340" t="s">
        <v>25</v>
      </c>
      <c r="E340" t="s">
        <v>26</v>
      </c>
      <c r="F340" t="s">
        <v>27</v>
      </c>
      <c r="G340" t="s">
        <v>43</v>
      </c>
      <c r="H340" t="s">
        <v>1059</v>
      </c>
      <c r="I340">
        <v>28000</v>
      </c>
      <c r="J340">
        <v>12</v>
      </c>
      <c r="K340">
        <v>336000</v>
      </c>
      <c r="L340">
        <v>2</v>
      </c>
      <c r="M340">
        <v>2</v>
      </c>
      <c r="N340" t="s">
        <v>1077</v>
      </c>
      <c r="O340">
        <v>85</v>
      </c>
      <c r="P340">
        <v>5</v>
      </c>
      <c r="Q340">
        <v>2</v>
      </c>
      <c r="S340" t="s">
        <v>28</v>
      </c>
      <c r="T340">
        <v>10</v>
      </c>
      <c r="U340">
        <v>2500</v>
      </c>
      <c r="V340" t="s">
        <v>39</v>
      </c>
      <c r="W340" t="s">
        <v>1077</v>
      </c>
      <c r="X340" t="s">
        <v>20</v>
      </c>
      <c r="Y340">
        <v>12</v>
      </c>
    </row>
    <row r="341" spans="1:25">
      <c r="A341" t="s">
        <v>721</v>
      </c>
      <c r="B341" t="s">
        <v>722</v>
      </c>
      <c r="C341">
        <v>23</v>
      </c>
      <c r="D341" t="s">
        <v>25</v>
      </c>
      <c r="E341" t="s">
        <v>26</v>
      </c>
      <c r="F341" t="s">
        <v>18</v>
      </c>
      <c r="G341" t="s">
        <v>43</v>
      </c>
      <c r="H341" t="s">
        <v>1060</v>
      </c>
      <c r="I341">
        <v>24000</v>
      </c>
      <c r="J341">
        <v>12</v>
      </c>
      <c r="K341">
        <v>288000</v>
      </c>
      <c r="L341">
        <v>1</v>
      </c>
      <c r="M341">
        <v>1</v>
      </c>
      <c r="N341" t="s">
        <v>1077</v>
      </c>
      <c r="O341">
        <v>90</v>
      </c>
      <c r="P341">
        <v>15</v>
      </c>
      <c r="Q341">
        <v>8</v>
      </c>
      <c r="S341" t="s">
        <v>38</v>
      </c>
      <c r="T341">
        <v>5</v>
      </c>
      <c r="U341">
        <v>1250</v>
      </c>
      <c r="V341" t="s">
        <v>39</v>
      </c>
      <c r="W341" t="s">
        <v>1077</v>
      </c>
      <c r="X341" t="s">
        <v>20</v>
      </c>
      <c r="Y341">
        <v>10</v>
      </c>
    </row>
    <row r="342" spans="1:25">
      <c r="A342" t="s">
        <v>723</v>
      </c>
      <c r="B342" t="s">
        <v>724</v>
      </c>
      <c r="C342">
        <v>24</v>
      </c>
      <c r="D342" t="s">
        <v>25</v>
      </c>
      <c r="E342" t="s">
        <v>17</v>
      </c>
      <c r="F342" t="s">
        <v>31</v>
      </c>
      <c r="G342" t="s">
        <v>43</v>
      </c>
      <c r="H342" t="s">
        <v>1060</v>
      </c>
      <c r="I342">
        <v>24000</v>
      </c>
      <c r="J342">
        <v>12</v>
      </c>
      <c r="K342">
        <v>288000</v>
      </c>
      <c r="L342">
        <v>1</v>
      </c>
      <c r="M342">
        <v>2</v>
      </c>
      <c r="N342" t="s">
        <v>1077</v>
      </c>
      <c r="O342">
        <v>95</v>
      </c>
      <c r="P342">
        <v>10</v>
      </c>
      <c r="Q342">
        <v>5</v>
      </c>
      <c r="R342" t="s">
        <v>21</v>
      </c>
      <c r="S342" t="s">
        <v>38</v>
      </c>
      <c r="U342">
        <v>0</v>
      </c>
      <c r="V342" t="s">
        <v>39</v>
      </c>
      <c r="W342" t="s">
        <v>1077</v>
      </c>
      <c r="X342" t="s">
        <v>33</v>
      </c>
      <c r="Y342">
        <v>13</v>
      </c>
    </row>
    <row r="343" spans="1:25">
      <c r="A343" t="s">
        <v>725</v>
      </c>
      <c r="B343" t="s">
        <v>726</v>
      </c>
      <c r="C343">
        <v>25</v>
      </c>
      <c r="D343" t="s">
        <v>46</v>
      </c>
      <c r="E343" t="s">
        <v>73</v>
      </c>
      <c r="F343" t="s">
        <v>36</v>
      </c>
      <c r="G343" t="s">
        <v>1048</v>
      </c>
      <c r="H343" t="s">
        <v>1060</v>
      </c>
      <c r="I343">
        <v>57000</v>
      </c>
      <c r="J343">
        <v>12</v>
      </c>
      <c r="K343">
        <v>684000</v>
      </c>
      <c r="L343">
        <v>3</v>
      </c>
      <c r="M343">
        <v>4</v>
      </c>
      <c r="N343">
        <v>17100</v>
      </c>
      <c r="O343">
        <v>95</v>
      </c>
      <c r="P343">
        <v>5</v>
      </c>
      <c r="Q343">
        <v>3</v>
      </c>
      <c r="R343" t="s">
        <v>37</v>
      </c>
      <c r="S343" t="s">
        <v>19</v>
      </c>
      <c r="T343">
        <v>10</v>
      </c>
      <c r="U343">
        <v>3000</v>
      </c>
      <c r="V343" t="s">
        <v>58</v>
      </c>
      <c r="W343" t="s">
        <v>1077</v>
      </c>
      <c r="X343" t="s">
        <v>20</v>
      </c>
      <c r="Y343">
        <v>25</v>
      </c>
    </row>
    <row r="344" spans="1:25">
      <c r="A344" t="s">
        <v>727</v>
      </c>
      <c r="B344" t="s">
        <v>728</v>
      </c>
      <c r="C344">
        <v>23</v>
      </c>
      <c r="D344" t="s">
        <v>46</v>
      </c>
      <c r="E344" t="s">
        <v>73</v>
      </c>
      <c r="F344" t="s">
        <v>36</v>
      </c>
      <c r="G344" t="s">
        <v>43</v>
      </c>
      <c r="H344" t="s">
        <v>1060</v>
      </c>
      <c r="I344">
        <v>24000</v>
      </c>
      <c r="J344">
        <v>12</v>
      </c>
      <c r="K344">
        <v>288000</v>
      </c>
      <c r="L344">
        <v>1</v>
      </c>
      <c r="M344">
        <v>4</v>
      </c>
      <c r="N344">
        <v>7200</v>
      </c>
      <c r="O344">
        <v>95</v>
      </c>
      <c r="P344">
        <v>15</v>
      </c>
      <c r="Q344">
        <v>11</v>
      </c>
      <c r="R344" t="s">
        <v>37</v>
      </c>
      <c r="S344" t="s">
        <v>38</v>
      </c>
      <c r="U344">
        <v>0</v>
      </c>
      <c r="V344" t="s">
        <v>22</v>
      </c>
      <c r="W344" t="s">
        <v>1077</v>
      </c>
      <c r="X344" t="s">
        <v>20</v>
      </c>
      <c r="Y344">
        <v>25</v>
      </c>
    </row>
    <row r="345" spans="1:25">
      <c r="A345" t="s">
        <v>729</v>
      </c>
      <c r="B345" t="s">
        <v>730</v>
      </c>
      <c r="C345">
        <v>24</v>
      </c>
      <c r="D345" t="s">
        <v>25</v>
      </c>
      <c r="E345" t="s">
        <v>73</v>
      </c>
      <c r="F345" t="s">
        <v>31</v>
      </c>
      <c r="G345" t="s">
        <v>43</v>
      </c>
      <c r="H345" t="s">
        <v>1060</v>
      </c>
      <c r="I345">
        <v>28000</v>
      </c>
      <c r="J345">
        <v>12</v>
      </c>
      <c r="K345">
        <v>336000</v>
      </c>
      <c r="L345">
        <v>2</v>
      </c>
      <c r="M345">
        <v>1</v>
      </c>
      <c r="N345" t="s">
        <v>1077</v>
      </c>
      <c r="O345">
        <v>88</v>
      </c>
      <c r="P345">
        <v>5</v>
      </c>
      <c r="Q345">
        <v>3</v>
      </c>
      <c r="R345" t="s">
        <v>21</v>
      </c>
      <c r="S345" t="s">
        <v>38</v>
      </c>
      <c r="T345">
        <v>10</v>
      </c>
      <c r="U345">
        <v>2500</v>
      </c>
      <c r="V345" t="s">
        <v>39</v>
      </c>
      <c r="W345" t="s">
        <v>1077</v>
      </c>
      <c r="X345" t="s">
        <v>33</v>
      </c>
      <c r="Y345">
        <v>13</v>
      </c>
    </row>
    <row r="346" spans="1:25">
      <c r="A346" t="s">
        <v>731</v>
      </c>
      <c r="B346" t="s">
        <v>732</v>
      </c>
      <c r="C346">
        <v>23</v>
      </c>
      <c r="D346" t="s">
        <v>46</v>
      </c>
      <c r="E346" t="s">
        <v>47</v>
      </c>
      <c r="F346" t="s">
        <v>18</v>
      </c>
      <c r="G346" t="s">
        <v>43</v>
      </c>
      <c r="H346" t="s">
        <v>1060</v>
      </c>
      <c r="I346">
        <v>24000</v>
      </c>
      <c r="J346">
        <v>12</v>
      </c>
      <c r="K346">
        <v>288000</v>
      </c>
      <c r="L346">
        <v>1</v>
      </c>
      <c r="M346">
        <v>2</v>
      </c>
      <c r="N346" t="s">
        <v>1077</v>
      </c>
      <c r="O346">
        <v>88</v>
      </c>
      <c r="P346">
        <v>10</v>
      </c>
      <c r="Q346">
        <v>2</v>
      </c>
      <c r="R346" t="s">
        <v>37</v>
      </c>
      <c r="S346" t="s">
        <v>38</v>
      </c>
      <c r="U346">
        <v>0</v>
      </c>
      <c r="V346" t="s">
        <v>39</v>
      </c>
      <c r="W346" t="s">
        <v>1077</v>
      </c>
      <c r="X346" t="s">
        <v>20</v>
      </c>
      <c r="Y346">
        <v>10</v>
      </c>
    </row>
    <row r="347" spans="1:25">
      <c r="A347" t="s">
        <v>733</v>
      </c>
      <c r="B347" t="s">
        <v>734</v>
      </c>
      <c r="C347">
        <v>25</v>
      </c>
      <c r="D347" t="s">
        <v>1077</v>
      </c>
      <c r="E347" t="s">
        <v>61</v>
      </c>
      <c r="F347" t="s">
        <v>31</v>
      </c>
      <c r="G347" t="s">
        <v>43</v>
      </c>
      <c r="H347" t="s">
        <v>1060</v>
      </c>
      <c r="I347">
        <v>24000</v>
      </c>
      <c r="J347">
        <v>12</v>
      </c>
      <c r="K347">
        <v>288000</v>
      </c>
      <c r="L347">
        <v>1</v>
      </c>
      <c r="M347">
        <v>1</v>
      </c>
      <c r="N347" t="s">
        <v>1077</v>
      </c>
      <c r="O347">
        <v>72</v>
      </c>
      <c r="P347">
        <v>13</v>
      </c>
      <c r="Q347">
        <v>2</v>
      </c>
      <c r="R347" t="s">
        <v>21</v>
      </c>
      <c r="S347" t="s">
        <v>38</v>
      </c>
      <c r="T347">
        <v>5</v>
      </c>
      <c r="U347">
        <v>1250</v>
      </c>
      <c r="V347" t="s">
        <v>39</v>
      </c>
      <c r="W347" t="s">
        <v>1077</v>
      </c>
      <c r="X347" t="s">
        <v>33</v>
      </c>
      <c r="Y347">
        <v>13</v>
      </c>
    </row>
    <row r="348" spans="1:25">
      <c r="A348" t="s">
        <v>735</v>
      </c>
      <c r="B348" t="s">
        <v>736</v>
      </c>
      <c r="C348">
        <v>25</v>
      </c>
      <c r="D348" t="s">
        <v>25</v>
      </c>
      <c r="E348" t="s">
        <v>35</v>
      </c>
      <c r="F348" t="s">
        <v>31</v>
      </c>
      <c r="G348" t="s">
        <v>43</v>
      </c>
      <c r="H348" t="s">
        <v>1060</v>
      </c>
      <c r="I348">
        <v>28000</v>
      </c>
      <c r="J348">
        <v>12</v>
      </c>
      <c r="K348">
        <v>336000</v>
      </c>
      <c r="L348">
        <v>2</v>
      </c>
      <c r="M348">
        <v>3</v>
      </c>
      <c r="N348">
        <v>8400</v>
      </c>
      <c r="O348">
        <v>95</v>
      </c>
      <c r="P348">
        <v>13</v>
      </c>
      <c r="Q348">
        <v>2</v>
      </c>
      <c r="R348" t="s">
        <v>21</v>
      </c>
      <c r="S348" t="s">
        <v>38</v>
      </c>
      <c r="T348">
        <v>10</v>
      </c>
      <c r="U348">
        <v>2500</v>
      </c>
      <c r="V348" t="s">
        <v>22</v>
      </c>
      <c r="W348" t="s">
        <v>1077</v>
      </c>
      <c r="X348" t="s">
        <v>33</v>
      </c>
      <c r="Y348">
        <v>13</v>
      </c>
    </row>
    <row r="349" spans="1:25">
      <c r="A349" t="s">
        <v>737</v>
      </c>
      <c r="B349" t="s">
        <v>738</v>
      </c>
      <c r="C349">
        <v>24</v>
      </c>
      <c r="D349" t="s">
        <v>25</v>
      </c>
      <c r="E349" t="s">
        <v>35</v>
      </c>
      <c r="F349" t="s">
        <v>66</v>
      </c>
      <c r="G349" t="s">
        <v>43</v>
      </c>
      <c r="H349" t="s">
        <v>1060</v>
      </c>
      <c r="I349">
        <v>24000</v>
      </c>
      <c r="J349">
        <v>12</v>
      </c>
      <c r="K349">
        <v>288000</v>
      </c>
      <c r="L349">
        <v>1</v>
      </c>
      <c r="M349">
        <v>4</v>
      </c>
      <c r="N349">
        <v>7200</v>
      </c>
      <c r="O349">
        <v>88</v>
      </c>
      <c r="P349">
        <v>10</v>
      </c>
      <c r="Q349">
        <v>2</v>
      </c>
      <c r="S349" t="s">
        <v>38</v>
      </c>
      <c r="T349">
        <v>20</v>
      </c>
      <c r="U349">
        <v>5000</v>
      </c>
      <c r="V349" t="s">
        <v>58</v>
      </c>
      <c r="W349" t="s">
        <v>1077</v>
      </c>
      <c r="X349" t="s">
        <v>33</v>
      </c>
      <c r="Y349">
        <v>20</v>
      </c>
    </row>
    <row r="350" spans="1:25">
      <c r="A350" t="s">
        <v>739</v>
      </c>
      <c r="B350" t="s">
        <v>740</v>
      </c>
      <c r="C350">
        <v>27</v>
      </c>
      <c r="D350" t="s">
        <v>46</v>
      </c>
      <c r="E350" t="s">
        <v>47</v>
      </c>
      <c r="F350" t="s">
        <v>42</v>
      </c>
      <c r="G350" t="s">
        <v>1048</v>
      </c>
      <c r="H350" t="s">
        <v>1060</v>
      </c>
      <c r="I350">
        <v>60000</v>
      </c>
      <c r="J350">
        <v>12</v>
      </c>
      <c r="K350">
        <v>720000</v>
      </c>
      <c r="L350">
        <v>4</v>
      </c>
      <c r="M350">
        <v>2</v>
      </c>
      <c r="N350" t="s">
        <v>1077</v>
      </c>
      <c r="O350">
        <v>85</v>
      </c>
      <c r="P350">
        <v>15</v>
      </c>
      <c r="Q350">
        <v>3</v>
      </c>
      <c r="R350" t="s">
        <v>37</v>
      </c>
      <c r="S350" t="s">
        <v>19</v>
      </c>
      <c r="T350">
        <v>20</v>
      </c>
      <c r="U350">
        <v>6000</v>
      </c>
      <c r="V350" t="s">
        <v>39</v>
      </c>
      <c r="W350" t="s">
        <v>1077</v>
      </c>
      <c r="X350" t="s">
        <v>20</v>
      </c>
      <c r="Y350">
        <v>14</v>
      </c>
    </row>
    <row r="351" spans="1:25">
      <c r="A351" t="s">
        <v>741</v>
      </c>
      <c r="B351" t="s">
        <v>742</v>
      </c>
      <c r="C351">
        <v>24</v>
      </c>
      <c r="D351" t="s">
        <v>25</v>
      </c>
      <c r="E351" t="s">
        <v>50</v>
      </c>
      <c r="F351" t="s">
        <v>31</v>
      </c>
      <c r="G351" t="s">
        <v>43</v>
      </c>
      <c r="H351" t="s">
        <v>1060</v>
      </c>
      <c r="I351">
        <v>24000</v>
      </c>
      <c r="J351">
        <v>12</v>
      </c>
      <c r="K351">
        <v>288000</v>
      </c>
      <c r="L351">
        <v>1</v>
      </c>
      <c r="M351">
        <v>3</v>
      </c>
      <c r="N351">
        <v>7200</v>
      </c>
      <c r="O351">
        <v>90</v>
      </c>
      <c r="P351">
        <v>15</v>
      </c>
      <c r="Q351">
        <v>7</v>
      </c>
      <c r="S351" t="s">
        <v>38</v>
      </c>
      <c r="T351">
        <v>5</v>
      </c>
      <c r="U351">
        <v>1250</v>
      </c>
      <c r="V351" t="s">
        <v>22</v>
      </c>
      <c r="W351" t="s">
        <v>1077</v>
      </c>
      <c r="X351" t="s">
        <v>33</v>
      </c>
      <c r="Y351">
        <v>13</v>
      </c>
    </row>
    <row r="352" spans="1:25">
      <c r="A352" t="s">
        <v>743</v>
      </c>
      <c r="B352" t="s">
        <v>744</v>
      </c>
      <c r="C352">
        <v>24</v>
      </c>
      <c r="D352" t="s">
        <v>46</v>
      </c>
      <c r="E352" t="s">
        <v>61</v>
      </c>
      <c r="F352" t="s">
        <v>18</v>
      </c>
      <c r="G352" t="s">
        <v>43</v>
      </c>
      <c r="H352" t="s">
        <v>1060</v>
      </c>
      <c r="I352">
        <v>28000</v>
      </c>
      <c r="J352">
        <v>12</v>
      </c>
      <c r="K352">
        <v>336000</v>
      </c>
      <c r="L352">
        <v>2</v>
      </c>
      <c r="M352">
        <v>4</v>
      </c>
      <c r="N352">
        <v>8400</v>
      </c>
      <c r="O352">
        <v>95</v>
      </c>
      <c r="P352">
        <v>13</v>
      </c>
      <c r="Q352">
        <v>13</v>
      </c>
      <c r="R352" t="s">
        <v>37</v>
      </c>
      <c r="S352" t="s">
        <v>19</v>
      </c>
      <c r="T352">
        <v>10</v>
      </c>
      <c r="U352">
        <v>2500</v>
      </c>
      <c r="V352" t="s">
        <v>22</v>
      </c>
      <c r="W352" t="s">
        <v>1077</v>
      </c>
      <c r="X352" t="s">
        <v>20</v>
      </c>
      <c r="Y352">
        <v>10</v>
      </c>
    </row>
    <row r="353" spans="1:25">
      <c r="A353" t="s">
        <v>745</v>
      </c>
      <c r="B353" t="s">
        <v>746</v>
      </c>
      <c r="C353">
        <v>25</v>
      </c>
      <c r="D353" t="s">
        <v>1077</v>
      </c>
      <c r="E353" t="s">
        <v>73</v>
      </c>
      <c r="F353" t="s">
        <v>66</v>
      </c>
      <c r="G353" t="s">
        <v>1048</v>
      </c>
      <c r="H353" t="s">
        <v>1059</v>
      </c>
      <c r="I353">
        <v>56000</v>
      </c>
      <c r="J353">
        <v>12</v>
      </c>
      <c r="K353">
        <v>672000</v>
      </c>
      <c r="L353">
        <v>3</v>
      </c>
      <c r="M353">
        <v>2</v>
      </c>
      <c r="N353" t="s">
        <v>1077</v>
      </c>
      <c r="O353">
        <v>95</v>
      </c>
      <c r="P353">
        <v>10</v>
      </c>
      <c r="Q353">
        <v>3</v>
      </c>
      <c r="S353" t="s">
        <v>28</v>
      </c>
      <c r="T353">
        <v>5</v>
      </c>
      <c r="U353">
        <v>1500</v>
      </c>
      <c r="V353" t="s">
        <v>39</v>
      </c>
      <c r="W353" t="s">
        <v>1077</v>
      </c>
      <c r="X353" t="s">
        <v>33</v>
      </c>
      <c r="Y353">
        <v>20</v>
      </c>
    </row>
    <row r="354" spans="1:25">
      <c r="A354" t="s">
        <v>747</v>
      </c>
      <c r="B354" t="s">
        <v>748</v>
      </c>
      <c r="C354">
        <v>23</v>
      </c>
      <c r="D354" t="s">
        <v>25</v>
      </c>
      <c r="E354" t="s">
        <v>26</v>
      </c>
      <c r="F354" t="s">
        <v>18</v>
      </c>
      <c r="G354" t="s">
        <v>43</v>
      </c>
      <c r="H354" t="s">
        <v>1060</v>
      </c>
      <c r="I354">
        <v>22000</v>
      </c>
      <c r="J354">
        <v>12</v>
      </c>
      <c r="K354">
        <v>264000</v>
      </c>
      <c r="L354">
        <v>1</v>
      </c>
      <c r="M354">
        <v>1</v>
      </c>
      <c r="N354" t="s">
        <v>1077</v>
      </c>
      <c r="O354">
        <v>90</v>
      </c>
      <c r="P354">
        <v>5</v>
      </c>
      <c r="Q354">
        <v>2</v>
      </c>
      <c r="R354" t="s">
        <v>21</v>
      </c>
      <c r="S354" t="s">
        <v>38</v>
      </c>
      <c r="T354">
        <v>10</v>
      </c>
      <c r="U354">
        <v>2500</v>
      </c>
      <c r="V354" t="s">
        <v>39</v>
      </c>
      <c r="W354" t="s">
        <v>1077</v>
      </c>
      <c r="X354" t="s">
        <v>20</v>
      </c>
      <c r="Y354">
        <v>10</v>
      </c>
    </row>
    <row r="355" spans="1:25">
      <c r="A355" t="s">
        <v>749</v>
      </c>
      <c r="B355" t="s">
        <v>750</v>
      </c>
      <c r="C355">
        <v>23</v>
      </c>
      <c r="D355" t="s">
        <v>1077</v>
      </c>
      <c r="E355" t="s">
        <v>35</v>
      </c>
      <c r="F355" t="s">
        <v>18</v>
      </c>
      <c r="G355" t="s">
        <v>43</v>
      </c>
      <c r="H355" t="s">
        <v>1060</v>
      </c>
      <c r="I355">
        <v>28000</v>
      </c>
      <c r="J355">
        <v>12</v>
      </c>
      <c r="K355">
        <v>336000</v>
      </c>
      <c r="L355">
        <v>2</v>
      </c>
      <c r="M355">
        <v>1</v>
      </c>
      <c r="N355" t="s">
        <v>1077</v>
      </c>
      <c r="O355">
        <v>88</v>
      </c>
      <c r="P355">
        <v>13</v>
      </c>
      <c r="Q355">
        <v>3</v>
      </c>
      <c r="R355" t="s">
        <v>21</v>
      </c>
      <c r="S355" t="s">
        <v>38</v>
      </c>
      <c r="T355">
        <v>5</v>
      </c>
      <c r="U355">
        <v>1250</v>
      </c>
      <c r="V355" t="s">
        <v>39</v>
      </c>
      <c r="W355" t="s">
        <v>1077</v>
      </c>
      <c r="X355" t="s">
        <v>20</v>
      </c>
      <c r="Y355">
        <v>10</v>
      </c>
    </row>
    <row r="356" spans="1:25">
      <c r="A356" t="s">
        <v>751</v>
      </c>
      <c r="B356" t="s">
        <v>752</v>
      </c>
      <c r="C356">
        <v>25</v>
      </c>
      <c r="D356" t="s">
        <v>46</v>
      </c>
      <c r="E356" t="s">
        <v>35</v>
      </c>
      <c r="F356" t="s">
        <v>18</v>
      </c>
      <c r="G356" t="s">
        <v>43</v>
      </c>
      <c r="H356" t="s">
        <v>1060</v>
      </c>
      <c r="I356">
        <v>28000</v>
      </c>
      <c r="J356">
        <v>12</v>
      </c>
      <c r="K356">
        <v>336000</v>
      </c>
      <c r="L356">
        <v>2</v>
      </c>
      <c r="M356">
        <v>1</v>
      </c>
      <c r="N356" t="s">
        <v>1077</v>
      </c>
      <c r="O356">
        <v>90</v>
      </c>
      <c r="P356">
        <v>13</v>
      </c>
      <c r="Q356">
        <v>1</v>
      </c>
      <c r="R356" t="s">
        <v>37</v>
      </c>
      <c r="S356" t="s">
        <v>38</v>
      </c>
      <c r="T356">
        <v>10</v>
      </c>
      <c r="U356">
        <v>2500</v>
      </c>
      <c r="V356" t="s">
        <v>39</v>
      </c>
      <c r="W356" t="s">
        <v>1077</v>
      </c>
      <c r="X356" t="s">
        <v>20</v>
      </c>
      <c r="Y356">
        <v>10</v>
      </c>
    </row>
    <row r="357" spans="1:25">
      <c r="A357" t="s">
        <v>753</v>
      </c>
      <c r="B357" t="s">
        <v>754</v>
      </c>
      <c r="C357">
        <v>23</v>
      </c>
      <c r="D357" t="s">
        <v>25</v>
      </c>
      <c r="E357" t="s">
        <v>35</v>
      </c>
      <c r="F357" t="s">
        <v>18</v>
      </c>
      <c r="G357" t="s">
        <v>43</v>
      </c>
      <c r="H357" t="s">
        <v>1060</v>
      </c>
      <c r="I357">
        <v>21000</v>
      </c>
      <c r="J357">
        <v>12</v>
      </c>
      <c r="K357">
        <v>252000</v>
      </c>
      <c r="L357">
        <v>1</v>
      </c>
      <c r="M357">
        <v>1</v>
      </c>
      <c r="N357" t="s">
        <v>1077</v>
      </c>
      <c r="O357">
        <v>85</v>
      </c>
      <c r="P357">
        <v>5</v>
      </c>
      <c r="Q357">
        <v>5</v>
      </c>
      <c r="S357" t="s">
        <v>38</v>
      </c>
      <c r="U357">
        <v>0</v>
      </c>
      <c r="V357" t="s">
        <v>39</v>
      </c>
      <c r="W357" t="s">
        <v>1077</v>
      </c>
      <c r="X357" t="s">
        <v>20</v>
      </c>
      <c r="Y357">
        <v>10</v>
      </c>
    </row>
    <row r="358" spans="1:25">
      <c r="A358" t="s">
        <v>755</v>
      </c>
      <c r="B358" t="s">
        <v>756</v>
      </c>
      <c r="C358">
        <v>25</v>
      </c>
      <c r="D358" t="s">
        <v>25</v>
      </c>
      <c r="E358" t="s">
        <v>57</v>
      </c>
      <c r="F358" t="s">
        <v>27</v>
      </c>
      <c r="G358" t="s">
        <v>43</v>
      </c>
      <c r="H358" t="s">
        <v>1060</v>
      </c>
      <c r="I358">
        <v>28000</v>
      </c>
      <c r="J358">
        <v>12</v>
      </c>
      <c r="K358">
        <v>336000</v>
      </c>
      <c r="L358">
        <v>2</v>
      </c>
      <c r="N358" t="s">
        <v>1077</v>
      </c>
      <c r="O358">
        <v>88</v>
      </c>
      <c r="P358">
        <v>15</v>
      </c>
      <c r="Q358">
        <v>3</v>
      </c>
      <c r="R358" t="s">
        <v>21</v>
      </c>
      <c r="S358" t="s">
        <v>38</v>
      </c>
      <c r="T358">
        <v>10</v>
      </c>
      <c r="U358">
        <v>2500</v>
      </c>
      <c r="V358" t="s">
        <v>1054</v>
      </c>
      <c r="W358" t="s">
        <v>1077</v>
      </c>
      <c r="X358" t="s">
        <v>20</v>
      </c>
      <c r="Y358">
        <v>12</v>
      </c>
    </row>
    <row r="359" spans="1:25">
      <c r="A359" t="s">
        <v>757</v>
      </c>
      <c r="B359" t="s">
        <v>758</v>
      </c>
      <c r="C359">
        <v>24</v>
      </c>
      <c r="D359" t="s">
        <v>1077</v>
      </c>
      <c r="E359" t="s">
        <v>17</v>
      </c>
      <c r="F359" t="s">
        <v>31</v>
      </c>
      <c r="G359" t="s">
        <v>1048</v>
      </c>
      <c r="H359" t="s">
        <v>1060</v>
      </c>
      <c r="I359">
        <v>56000</v>
      </c>
      <c r="J359">
        <v>12</v>
      </c>
      <c r="K359">
        <v>672000</v>
      </c>
      <c r="L359">
        <v>3</v>
      </c>
      <c r="M359">
        <v>1</v>
      </c>
      <c r="N359" t="s">
        <v>1077</v>
      </c>
      <c r="O359">
        <v>90</v>
      </c>
      <c r="P359">
        <v>10</v>
      </c>
      <c r="Q359">
        <v>7</v>
      </c>
      <c r="S359" t="s">
        <v>38</v>
      </c>
      <c r="T359">
        <v>5</v>
      </c>
      <c r="U359">
        <v>1500</v>
      </c>
      <c r="V359" t="s">
        <v>39</v>
      </c>
      <c r="W359" t="s">
        <v>1077</v>
      </c>
      <c r="X359" t="s">
        <v>33</v>
      </c>
      <c r="Y359">
        <v>13</v>
      </c>
    </row>
    <row r="360" spans="1:25">
      <c r="A360" t="s">
        <v>759</v>
      </c>
      <c r="B360" t="s">
        <v>760</v>
      </c>
      <c r="C360">
        <v>23</v>
      </c>
      <c r="D360" t="s">
        <v>25</v>
      </c>
      <c r="E360" t="s">
        <v>26</v>
      </c>
      <c r="F360" t="s">
        <v>18</v>
      </c>
      <c r="G360" t="s">
        <v>43</v>
      </c>
      <c r="H360" t="s">
        <v>1060</v>
      </c>
      <c r="I360">
        <v>20000</v>
      </c>
      <c r="J360">
        <v>12</v>
      </c>
      <c r="K360">
        <v>240000</v>
      </c>
      <c r="L360">
        <v>1</v>
      </c>
      <c r="M360">
        <v>2</v>
      </c>
      <c r="N360" t="s">
        <v>1077</v>
      </c>
      <c r="O360">
        <v>80</v>
      </c>
      <c r="P360">
        <v>15</v>
      </c>
      <c r="Q360">
        <v>2</v>
      </c>
      <c r="R360" t="s">
        <v>21</v>
      </c>
      <c r="S360" t="s">
        <v>38</v>
      </c>
      <c r="T360">
        <v>5</v>
      </c>
      <c r="U360">
        <v>1250</v>
      </c>
      <c r="V360" t="s">
        <v>39</v>
      </c>
      <c r="W360" t="s">
        <v>1077</v>
      </c>
      <c r="X360" t="s">
        <v>20</v>
      </c>
      <c r="Y360">
        <v>10</v>
      </c>
    </row>
    <row r="361" spans="1:25">
      <c r="A361" t="s">
        <v>761</v>
      </c>
      <c r="B361" t="s">
        <v>762</v>
      </c>
      <c r="C361">
        <v>25</v>
      </c>
      <c r="D361" t="s">
        <v>1077</v>
      </c>
      <c r="E361" t="s">
        <v>73</v>
      </c>
      <c r="F361" t="s">
        <v>27</v>
      </c>
      <c r="G361" t="s">
        <v>43</v>
      </c>
      <c r="H361" t="s">
        <v>1060</v>
      </c>
      <c r="I361">
        <v>28000</v>
      </c>
      <c r="J361">
        <v>12</v>
      </c>
      <c r="K361">
        <v>336000</v>
      </c>
      <c r="L361">
        <v>2</v>
      </c>
      <c r="M361">
        <v>4</v>
      </c>
      <c r="N361">
        <v>8400</v>
      </c>
      <c r="O361">
        <v>85</v>
      </c>
      <c r="P361">
        <v>5</v>
      </c>
      <c r="Q361">
        <v>5</v>
      </c>
      <c r="S361" t="s">
        <v>38</v>
      </c>
      <c r="T361">
        <v>10</v>
      </c>
      <c r="U361">
        <v>2500</v>
      </c>
      <c r="V361" t="s">
        <v>58</v>
      </c>
      <c r="W361" t="s">
        <v>1077</v>
      </c>
      <c r="X361" t="s">
        <v>20</v>
      </c>
      <c r="Y361">
        <v>12</v>
      </c>
    </row>
    <row r="362" spans="1:25">
      <c r="A362" t="s">
        <v>763</v>
      </c>
      <c r="B362" t="s">
        <v>764</v>
      </c>
      <c r="C362">
        <v>25</v>
      </c>
      <c r="D362" t="s">
        <v>25</v>
      </c>
      <c r="E362" t="s">
        <v>50</v>
      </c>
      <c r="F362" t="s">
        <v>42</v>
      </c>
      <c r="G362" t="s">
        <v>43</v>
      </c>
      <c r="H362" t="s">
        <v>1060</v>
      </c>
      <c r="I362">
        <v>28000</v>
      </c>
      <c r="J362">
        <v>12</v>
      </c>
      <c r="K362">
        <v>336000</v>
      </c>
      <c r="L362">
        <v>2</v>
      </c>
      <c r="M362">
        <v>2</v>
      </c>
      <c r="N362" t="s">
        <v>1077</v>
      </c>
      <c r="O362">
        <v>85</v>
      </c>
      <c r="P362">
        <v>10</v>
      </c>
      <c r="Q362">
        <v>3</v>
      </c>
      <c r="R362" t="s">
        <v>21</v>
      </c>
      <c r="S362" t="s">
        <v>38</v>
      </c>
      <c r="T362">
        <v>20</v>
      </c>
      <c r="U362">
        <v>5000</v>
      </c>
      <c r="V362" t="s">
        <v>39</v>
      </c>
      <c r="W362" t="s">
        <v>1077</v>
      </c>
      <c r="X362" t="s">
        <v>20</v>
      </c>
      <c r="Y362">
        <v>14</v>
      </c>
    </row>
    <row r="363" spans="1:25">
      <c r="A363" t="s">
        <v>765</v>
      </c>
      <c r="B363" t="s">
        <v>766</v>
      </c>
      <c r="C363">
        <v>23</v>
      </c>
      <c r="D363" t="s">
        <v>1077</v>
      </c>
      <c r="E363" t="s">
        <v>26</v>
      </c>
      <c r="F363" t="s">
        <v>36</v>
      </c>
      <c r="G363" t="s">
        <v>43</v>
      </c>
      <c r="H363" t="s">
        <v>1060</v>
      </c>
      <c r="I363">
        <v>28000</v>
      </c>
      <c r="J363">
        <v>12</v>
      </c>
      <c r="K363">
        <v>336000</v>
      </c>
      <c r="L363">
        <v>2</v>
      </c>
      <c r="M363">
        <v>1</v>
      </c>
      <c r="N363" t="s">
        <v>1077</v>
      </c>
      <c r="O363">
        <v>80</v>
      </c>
      <c r="P363">
        <v>15</v>
      </c>
      <c r="Q363">
        <v>5</v>
      </c>
      <c r="R363" t="s">
        <v>37</v>
      </c>
      <c r="S363" t="s">
        <v>38</v>
      </c>
      <c r="T363">
        <v>5</v>
      </c>
      <c r="U363">
        <v>1250</v>
      </c>
      <c r="V363" t="s">
        <v>39</v>
      </c>
      <c r="W363" t="s">
        <v>1077</v>
      </c>
      <c r="X363" t="s">
        <v>20</v>
      </c>
      <c r="Y363">
        <v>25</v>
      </c>
    </row>
    <row r="364" spans="1:25">
      <c r="A364" t="s">
        <v>767</v>
      </c>
      <c r="B364" t="s">
        <v>768</v>
      </c>
      <c r="C364">
        <v>25</v>
      </c>
      <c r="D364" t="s">
        <v>25</v>
      </c>
      <c r="E364" t="s">
        <v>50</v>
      </c>
      <c r="F364" t="s">
        <v>66</v>
      </c>
      <c r="G364" t="s">
        <v>43</v>
      </c>
      <c r="H364" t="s">
        <v>1060</v>
      </c>
      <c r="I364">
        <v>28000</v>
      </c>
      <c r="J364">
        <v>12</v>
      </c>
      <c r="K364">
        <v>336000</v>
      </c>
      <c r="L364">
        <v>2</v>
      </c>
      <c r="M364">
        <v>1</v>
      </c>
      <c r="N364" t="s">
        <v>1077</v>
      </c>
      <c r="O364">
        <v>90</v>
      </c>
      <c r="P364">
        <v>15</v>
      </c>
      <c r="Q364">
        <v>5</v>
      </c>
      <c r="S364" t="s">
        <v>28</v>
      </c>
      <c r="T364">
        <v>10</v>
      </c>
      <c r="U364">
        <v>2500</v>
      </c>
      <c r="V364" t="s">
        <v>39</v>
      </c>
      <c r="W364" t="s">
        <v>1077</v>
      </c>
      <c r="X364" t="s">
        <v>33</v>
      </c>
      <c r="Y364">
        <v>20</v>
      </c>
    </row>
    <row r="365" spans="1:25">
      <c r="A365" t="s">
        <v>769</v>
      </c>
      <c r="B365" t="s">
        <v>770</v>
      </c>
      <c r="C365">
        <v>24</v>
      </c>
      <c r="D365" t="s">
        <v>46</v>
      </c>
      <c r="E365" t="s">
        <v>50</v>
      </c>
      <c r="F365" t="s">
        <v>27</v>
      </c>
      <c r="G365" t="s">
        <v>43</v>
      </c>
      <c r="H365" t="s">
        <v>1060</v>
      </c>
      <c r="I365">
        <v>24000</v>
      </c>
      <c r="J365">
        <v>12</v>
      </c>
      <c r="K365">
        <v>288000</v>
      </c>
      <c r="L365">
        <v>1</v>
      </c>
      <c r="M365">
        <v>3</v>
      </c>
      <c r="N365">
        <v>7200</v>
      </c>
      <c r="O365">
        <v>80</v>
      </c>
      <c r="P365">
        <v>5</v>
      </c>
      <c r="Q365">
        <v>8</v>
      </c>
      <c r="R365" t="s">
        <v>21</v>
      </c>
      <c r="S365" t="s">
        <v>19</v>
      </c>
      <c r="T365">
        <v>5</v>
      </c>
      <c r="U365">
        <v>1250</v>
      </c>
      <c r="V365" t="s">
        <v>22</v>
      </c>
      <c r="W365" t="s">
        <v>1077</v>
      </c>
      <c r="X365" t="s">
        <v>20</v>
      </c>
      <c r="Y365">
        <v>12</v>
      </c>
    </row>
    <row r="366" spans="1:25">
      <c r="A366" t="s">
        <v>771</v>
      </c>
      <c r="B366" t="s">
        <v>772</v>
      </c>
      <c r="C366">
        <v>23</v>
      </c>
      <c r="D366" t="s">
        <v>46</v>
      </c>
      <c r="E366" t="s">
        <v>47</v>
      </c>
      <c r="F366" t="s">
        <v>42</v>
      </c>
      <c r="G366" t="s">
        <v>43</v>
      </c>
      <c r="H366" t="s">
        <v>1060</v>
      </c>
      <c r="I366">
        <v>28000</v>
      </c>
      <c r="J366">
        <v>12</v>
      </c>
      <c r="K366">
        <v>336000</v>
      </c>
      <c r="L366">
        <v>2</v>
      </c>
      <c r="M366">
        <v>2</v>
      </c>
      <c r="N366" t="s">
        <v>1077</v>
      </c>
      <c r="O366">
        <v>90</v>
      </c>
      <c r="P366">
        <v>15</v>
      </c>
      <c r="Q366">
        <v>2</v>
      </c>
      <c r="S366" t="s">
        <v>38</v>
      </c>
      <c r="U366">
        <v>0</v>
      </c>
      <c r="V366" t="s">
        <v>39</v>
      </c>
      <c r="W366" t="s">
        <v>1077</v>
      </c>
      <c r="X366" t="s">
        <v>20</v>
      </c>
      <c r="Y366">
        <v>14</v>
      </c>
    </row>
    <row r="367" spans="1:25">
      <c r="A367" t="s">
        <v>773</v>
      </c>
      <c r="B367" t="s">
        <v>774</v>
      </c>
      <c r="C367">
        <v>24</v>
      </c>
      <c r="D367" t="s">
        <v>1077</v>
      </c>
      <c r="E367" t="s">
        <v>57</v>
      </c>
      <c r="F367" t="s">
        <v>66</v>
      </c>
      <c r="G367" t="s">
        <v>43</v>
      </c>
      <c r="H367" t="s">
        <v>1060</v>
      </c>
      <c r="I367">
        <v>24000</v>
      </c>
      <c r="J367">
        <v>12</v>
      </c>
      <c r="K367">
        <v>288000</v>
      </c>
      <c r="L367">
        <v>1</v>
      </c>
      <c r="M367">
        <v>3</v>
      </c>
      <c r="N367">
        <v>7200</v>
      </c>
      <c r="O367">
        <v>95</v>
      </c>
      <c r="P367">
        <v>10</v>
      </c>
      <c r="Q367">
        <v>3</v>
      </c>
      <c r="R367" t="s">
        <v>37</v>
      </c>
      <c r="S367" t="s">
        <v>38</v>
      </c>
      <c r="T367">
        <v>5</v>
      </c>
      <c r="U367">
        <v>1250</v>
      </c>
      <c r="V367" t="s">
        <v>22</v>
      </c>
      <c r="W367" t="s">
        <v>1077</v>
      </c>
      <c r="X367" t="s">
        <v>33</v>
      </c>
      <c r="Y367">
        <v>20</v>
      </c>
    </row>
    <row r="368" spans="1:25">
      <c r="A368" t="s">
        <v>775</v>
      </c>
      <c r="B368" t="s">
        <v>776</v>
      </c>
      <c r="C368">
        <v>25</v>
      </c>
      <c r="D368" t="s">
        <v>46</v>
      </c>
      <c r="E368" t="s">
        <v>61</v>
      </c>
      <c r="F368" t="s">
        <v>18</v>
      </c>
      <c r="G368" t="s">
        <v>43</v>
      </c>
      <c r="H368" t="s">
        <v>1060</v>
      </c>
      <c r="I368">
        <v>28000</v>
      </c>
      <c r="J368">
        <v>12</v>
      </c>
      <c r="K368">
        <v>336000</v>
      </c>
      <c r="L368">
        <v>2</v>
      </c>
      <c r="M368">
        <v>5</v>
      </c>
      <c r="N368">
        <v>8400</v>
      </c>
      <c r="O368">
        <v>95</v>
      </c>
      <c r="P368">
        <v>13</v>
      </c>
      <c r="Q368">
        <v>5</v>
      </c>
      <c r="R368" t="s">
        <v>37</v>
      </c>
      <c r="S368" t="s">
        <v>19</v>
      </c>
      <c r="T368">
        <v>10</v>
      </c>
      <c r="U368">
        <v>2500</v>
      </c>
      <c r="V368" t="s">
        <v>58</v>
      </c>
      <c r="W368" t="s">
        <v>1077</v>
      </c>
      <c r="X368" t="s">
        <v>20</v>
      </c>
      <c r="Y368">
        <v>10</v>
      </c>
    </row>
    <row r="369" spans="1:25">
      <c r="A369" t="s">
        <v>777</v>
      </c>
      <c r="B369" t="s">
        <v>778</v>
      </c>
      <c r="C369">
        <v>24</v>
      </c>
      <c r="D369" t="s">
        <v>25</v>
      </c>
      <c r="E369" t="s">
        <v>73</v>
      </c>
      <c r="F369" t="s">
        <v>18</v>
      </c>
      <c r="G369" t="s">
        <v>43</v>
      </c>
      <c r="H369" t="s">
        <v>1059</v>
      </c>
      <c r="I369">
        <v>21000</v>
      </c>
      <c r="J369">
        <v>12</v>
      </c>
      <c r="K369">
        <v>252000</v>
      </c>
      <c r="L369">
        <v>1</v>
      </c>
      <c r="M369">
        <v>2</v>
      </c>
      <c r="N369" t="s">
        <v>1077</v>
      </c>
      <c r="O369">
        <v>95</v>
      </c>
      <c r="P369">
        <v>13</v>
      </c>
      <c r="Q369">
        <v>3</v>
      </c>
      <c r="R369" t="s">
        <v>37</v>
      </c>
      <c r="S369" t="s">
        <v>28</v>
      </c>
      <c r="T369">
        <v>5</v>
      </c>
      <c r="U369">
        <v>1250</v>
      </c>
      <c r="V369" t="s">
        <v>39</v>
      </c>
      <c r="W369" t="s">
        <v>1077</v>
      </c>
      <c r="X369" t="s">
        <v>20</v>
      </c>
      <c r="Y369">
        <v>10</v>
      </c>
    </row>
    <row r="370" spans="1:25">
      <c r="A370" t="s">
        <v>779</v>
      </c>
      <c r="B370" t="s">
        <v>780</v>
      </c>
      <c r="C370">
        <v>23</v>
      </c>
      <c r="D370" t="s">
        <v>25</v>
      </c>
      <c r="E370" t="s">
        <v>57</v>
      </c>
      <c r="F370" t="s">
        <v>18</v>
      </c>
      <c r="G370" t="s">
        <v>43</v>
      </c>
      <c r="H370" t="s">
        <v>1060</v>
      </c>
      <c r="I370">
        <v>20000</v>
      </c>
      <c r="J370">
        <v>12</v>
      </c>
      <c r="K370">
        <v>240000</v>
      </c>
      <c r="L370">
        <v>1</v>
      </c>
      <c r="M370">
        <v>2</v>
      </c>
      <c r="N370" t="s">
        <v>1077</v>
      </c>
      <c r="O370">
        <v>90</v>
      </c>
      <c r="P370">
        <v>10</v>
      </c>
      <c r="Q370">
        <v>1</v>
      </c>
      <c r="R370" t="s">
        <v>21</v>
      </c>
      <c r="S370" t="s">
        <v>38</v>
      </c>
      <c r="T370">
        <v>20</v>
      </c>
      <c r="U370">
        <v>5000</v>
      </c>
      <c r="V370" t="s">
        <v>39</v>
      </c>
      <c r="W370" t="s">
        <v>1077</v>
      </c>
      <c r="X370" t="s">
        <v>20</v>
      </c>
      <c r="Y370">
        <v>10</v>
      </c>
    </row>
    <row r="371" spans="1:25">
      <c r="A371" t="s">
        <v>781</v>
      </c>
      <c r="B371" t="s">
        <v>782</v>
      </c>
      <c r="C371">
        <v>25</v>
      </c>
      <c r="D371" t="s">
        <v>46</v>
      </c>
      <c r="E371" t="s">
        <v>64</v>
      </c>
      <c r="F371" t="s">
        <v>66</v>
      </c>
      <c r="G371" t="s">
        <v>43</v>
      </c>
      <c r="H371" t="s">
        <v>1060</v>
      </c>
      <c r="I371">
        <v>28000</v>
      </c>
      <c r="J371">
        <v>12</v>
      </c>
      <c r="K371">
        <v>336000</v>
      </c>
      <c r="L371">
        <v>2</v>
      </c>
      <c r="M371">
        <v>2</v>
      </c>
      <c r="N371" t="s">
        <v>1077</v>
      </c>
      <c r="O371">
        <v>85</v>
      </c>
      <c r="P371">
        <v>5</v>
      </c>
      <c r="Q371">
        <v>5</v>
      </c>
      <c r="R371" t="s">
        <v>37</v>
      </c>
      <c r="S371" t="s">
        <v>38</v>
      </c>
      <c r="T371">
        <v>20</v>
      </c>
      <c r="U371">
        <v>5000</v>
      </c>
      <c r="V371" t="s">
        <v>39</v>
      </c>
      <c r="W371" t="s">
        <v>1077</v>
      </c>
      <c r="X371" t="s">
        <v>33</v>
      </c>
      <c r="Y371">
        <v>20</v>
      </c>
    </row>
    <row r="372" spans="1:25">
      <c r="A372" t="s">
        <v>783</v>
      </c>
      <c r="B372" t="s">
        <v>784</v>
      </c>
      <c r="C372">
        <v>25</v>
      </c>
      <c r="D372" t="s">
        <v>1077</v>
      </c>
      <c r="E372" t="s">
        <v>73</v>
      </c>
      <c r="F372" t="s">
        <v>36</v>
      </c>
      <c r="G372" t="s">
        <v>43</v>
      </c>
      <c r="H372" t="s">
        <v>1060</v>
      </c>
      <c r="I372">
        <v>24000</v>
      </c>
      <c r="J372">
        <v>12</v>
      </c>
      <c r="K372">
        <v>288000</v>
      </c>
      <c r="L372">
        <v>1</v>
      </c>
      <c r="M372">
        <v>2</v>
      </c>
      <c r="N372" t="s">
        <v>1077</v>
      </c>
      <c r="O372">
        <v>88</v>
      </c>
      <c r="P372">
        <v>10</v>
      </c>
      <c r="Q372">
        <v>1</v>
      </c>
      <c r="R372" t="s">
        <v>21</v>
      </c>
      <c r="S372" t="s">
        <v>38</v>
      </c>
      <c r="T372">
        <v>5</v>
      </c>
      <c r="U372">
        <v>1250</v>
      </c>
      <c r="V372" t="s">
        <v>39</v>
      </c>
      <c r="W372" t="s">
        <v>1077</v>
      </c>
      <c r="X372" t="s">
        <v>20</v>
      </c>
      <c r="Y372">
        <v>25</v>
      </c>
    </row>
    <row r="373" spans="1:25">
      <c r="A373" t="s">
        <v>785</v>
      </c>
      <c r="B373" t="s">
        <v>786</v>
      </c>
      <c r="C373">
        <v>24</v>
      </c>
      <c r="D373" t="s">
        <v>1077</v>
      </c>
      <c r="E373" t="s">
        <v>73</v>
      </c>
      <c r="F373" t="s">
        <v>27</v>
      </c>
      <c r="G373" t="s">
        <v>43</v>
      </c>
      <c r="H373" t="s">
        <v>1059</v>
      </c>
      <c r="I373">
        <v>23000</v>
      </c>
      <c r="J373">
        <v>12</v>
      </c>
      <c r="K373">
        <v>276000</v>
      </c>
      <c r="L373">
        <v>2</v>
      </c>
      <c r="M373">
        <v>4</v>
      </c>
      <c r="N373">
        <v>6900</v>
      </c>
      <c r="O373">
        <v>88</v>
      </c>
      <c r="P373">
        <v>10</v>
      </c>
      <c r="Q373">
        <v>5</v>
      </c>
      <c r="R373" t="s">
        <v>37</v>
      </c>
      <c r="S373" t="s">
        <v>28</v>
      </c>
      <c r="T373">
        <v>5</v>
      </c>
      <c r="U373">
        <v>1250</v>
      </c>
      <c r="V373" t="s">
        <v>22</v>
      </c>
      <c r="W373" t="s">
        <v>1077</v>
      </c>
      <c r="X373" t="s">
        <v>20</v>
      </c>
      <c r="Y373">
        <v>12</v>
      </c>
    </row>
    <row r="374" spans="1:25">
      <c r="A374" t="s">
        <v>787</v>
      </c>
      <c r="B374" t="s">
        <v>788</v>
      </c>
      <c r="C374">
        <v>23</v>
      </c>
      <c r="D374" t="s">
        <v>46</v>
      </c>
      <c r="E374" t="s">
        <v>50</v>
      </c>
      <c r="F374" t="s">
        <v>18</v>
      </c>
      <c r="G374" t="s">
        <v>43</v>
      </c>
      <c r="H374" t="s">
        <v>1060</v>
      </c>
      <c r="I374">
        <v>23000</v>
      </c>
      <c r="J374">
        <v>12</v>
      </c>
      <c r="K374">
        <v>276000</v>
      </c>
      <c r="L374">
        <v>2</v>
      </c>
      <c r="M374">
        <v>1</v>
      </c>
      <c r="N374" t="s">
        <v>1077</v>
      </c>
      <c r="O374">
        <v>85</v>
      </c>
      <c r="P374">
        <v>15</v>
      </c>
      <c r="Q374">
        <v>2</v>
      </c>
      <c r="R374" t="s">
        <v>37</v>
      </c>
      <c r="S374" t="s">
        <v>28</v>
      </c>
      <c r="T374">
        <v>10</v>
      </c>
      <c r="U374">
        <v>2500</v>
      </c>
      <c r="V374" t="s">
        <v>39</v>
      </c>
      <c r="W374" t="s">
        <v>1077</v>
      </c>
      <c r="X374" t="s">
        <v>20</v>
      </c>
      <c r="Y374">
        <v>10</v>
      </c>
    </row>
    <row r="375" spans="1:25">
      <c r="A375" t="s">
        <v>789</v>
      </c>
      <c r="B375" t="s">
        <v>790</v>
      </c>
      <c r="C375">
        <v>25</v>
      </c>
      <c r="D375" t="s">
        <v>46</v>
      </c>
      <c r="E375" t="s">
        <v>65</v>
      </c>
      <c r="F375" t="s">
        <v>42</v>
      </c>
      <c r="G375" t="s">
        <v>43</v>
      </c>
      <c r="H375" t="s">
        <v>1060</v>
      </c>
      <c r="I375">
        <v>23000</v>
      </c>
      <c r="J375">
        <v>12</v>
      </c>
      <c r="K375">
        <v>276000</v>
      </c>
      <c r="L375">
        <v>2</v>
      </c>
      <c r="M375">
        <v>2</v>
      </c>
      <c r="N375" t="s">
        <v>1077</v>
      </c>
      <c r="O375">
        <v>80</v>
      </c>
      <c r="P375">
        <v>13</v>
      </c>
      <c r="Q375">
        <v>2</v>
      </c>
      <c r="R375" t="s">
        <v>21</v>
      </c>
      <c r="S375" t="s">
        <v>38</v>
      </c>
      <c r="T375">
        <v>5</v>
      </c>
      <c r="U375">
        <v>1250</v>
      </c>
      <c r="V375" t="s">
        <v>39</v>
      </c>
      <c r="W375" t="s">
        <v>1077</v>
      </c>
      <c r="X375" t="s">
        <v>20</v>
      </c>
      <c r="Y375">
        <v>14</v>
      </c>
    </row>
    <row r="376" spans="1:25">
      <c r="A376" t="s">
        <v>791</v>
      </c>
      <c r="B376" t="s">
        <v>792</v>
      </c>
      <c r="C376">
        <v>25</v>
      </c>
      <c r="D376" t="s">
        <v>46</v>
      </c>
      <c r="E376" t="s">
        <v>57</v>
      </c>
      <c r="F376" t="s">
        <v>18</v>
      </c>
      <c r="G376" t="s">
        <v>43</v>
      </c>
      <c r="H376" t="s">
        <v>1060</v>
      </c>
      <c r="I376">
        <v>9700</v>
      </c>
      <c r="J376">
        <v>12</v>
      </c>
      <c r="K376">
        <v>116400</v>
      </c>
      <c r="L376">
        <v>1</v>
      </c>
      <c r="M376">
        <v>4</v>
      </c>
      <c r="N376">
        <v>2910</v>
      </c>
      <c r="O376">
        <v>85</v>
      </c>
      <c r="P376">
        <v>13</v>
      </c>
      <c r="Q376">
        <v>2</v>
      </c>
      <c r="R376" t="s">
        <v>37</v>
      </c>
      <c r="S376" t="s">
        <v>38</v>
      </c>
      <c r="U376">
        <v>0</v>
      </c>
      <c r="V376" t="s">
        <v>22</v>
      </c>
      <c r="W376" t="s">
        <v>1077</v>
      </c>
      <c r="X376" t="s">
        <v>20</v>
      </c>
      <c r="Y376">
        <v>10</v>
      </c>
    </row>
    <row r="377" spans="1:25">
      <c r="A377" t="s">
        <v>793</v>
      </c>
      <c r="B377" t="s">
        <v>794</v>
      </c>
      <c r="C377">
        <v>25</v>
      </c>
      <c r="D377" t="s">
        <v>46</v>
      </c>
      <c r="E377" t="s">
        <v>47</v>
      </c>
      <c r="F377" t="s">
        <v>18</v>
      </c>
      <c r="G377" t="s">
        <v>43</v>
      </c>
      <c r="H377" t="s">
        <v>1060</v>
      </c>
      <c r="I377">
        <v>23000</v>
      </c>
      <c r="J377">
        <v>12</v>
      </c>
      <c r="K377">
        <v>276000</v>
      </c>
      <c r="L377">
        <v>2</v>
      </c>
      <c r="M377">
        <v>2</v>
      </c>
      <c r="N377" t="s">
        <v>1077</v>
      </c>
      <c r="O377">
        <v>85</v>
      </c>
      <c r="P377">
        <v>10</v>
      </c>
      <c r="Q377">
        <v>1</v>
      </c>
      <c r="R377" t="s">
        <v>21</v>
      </c>
      <c r="S377" t="s">
        <v>38</v>
      </c>
      <c r="U377">
        <v>0</v>
      </c>
      <c r="V377" t="s">
        <v>39</v>
      </c>
      <c r="W377" t="s">
        <v>1077</v>
      </c>
      <c r="X377" t="s">
        <v>20</v>
      </c>
      <c r="Y377">
        <v>10</v>
      </c>
    </row>
    <row r="378" spans="1:25">
      <c r="A378" t="s">
        <v>795</v>
      </c>
      <c r="B378" t="s">
        <v>796</v>
      </c>
      <c r="C378">
        <v>25</v>
      </c>
      <c r="D378" t="s">
        <v>25</v>
      </c>
      <c r="E378" t="s">
        <v>50</v>
      </c>
      <c r="F378" t="s">
        <v>42</v>
      </c>
      <c r="G378" t="s">
        <v>43</v>
      </c>
      <c r="H378" t="s">
        <v>1059</v>
      </c>
      <c r="I378">
        <v>24000</v>
      </c>
      <c r="J378">
        <v>12</v>
      </c>
      <c r="K378">
        <v>288000</v>
      </c>
      <c r="L378">
        <v>1</v>
      </c>
      <c r="M378">
        <v>1</v>
      </c>
      <c r="N378" t="s">
        <v>1077</v>
      </c>
      <c r="O378">
        <v>95</v>
      </c>
      <c r="P378">
        <v>13</v>
      </c>
      <c r="Q378">
        <v>2</v>
      </c>
      <c r="S378" t="s">
        <v>28</v>
      </c>
      <c r="T378">
        <v>5</v>
      </c>
      <c r="U378">
        <v>1250</v>
      </c>
      <c r="V378" t="s">
        <v>39</v>
      </c>
      <c r="W378" t="s">
        <v>1077</v>
      </c>
      <c r="X378" t="s">
        <v>20</v>
      </c>
      <c r="Y378">
        <v>14</v>
      </c>
    </row>
    <row r="379" spans="1:25">
      <c r="A379" t="s">
        <v>797</v>
      </c>
      <c r="B379" t="s">
        <v>798</v>
      </c>
      <c r="C379">
        <v>25</v>
      </c>
      <c r="D379" t="s">
        <v>1077</v>
      </c>
      <c r="E379" t="s">
        <v>17</v>
      </c>
      <c r="F379" t="s">
        <v>27</v>
      </c>
      <c r="G379" t="s">
        <v>43</v>
      </c>
      <c r="H379" t="s">
        <v>1060</v>
      </c>
      <c r="I379">
        <v>23000</v>
      </c>
      <c r="J379">
        <v>12</v>
      </c>
      <c r="K379">
        <v>276000</v>
      </c>
      <c r="L379">
        <v>2</v>
      </c>
      <c r="M379">
        <v>1</v>
      </c>
      <c r="N379" t="s">
        <v>1077</v>
      </c>
      <c r="O379">
        <v>85</v>
      </c>
      <c r="P379">
        <v>5</v>
      </c>
      <c r="Q379">
        <v>5</v>
      </c>
      <c r="R379" t="s">
        <v>21</v>
      </c>
      <c r="S379" t="s">
        <v>38</v>
      </c>
      <c r="U379">
        <v>0</v>
      </c>
      <c r="V379" t="s">
        <v>39</v>
      </c>
      <c r="W379" t="s">
        <v>1077</v>
      </c>
      <c r="X379" t="s">
        <v>20</v>
      </c>
      <c r="Y379">
        <v>12</v>
      </c>
    </row>
    <row r="380" spans="1:25">
      <c r="A380" t="s">
        <v>799</v>
      </c>
      <c r="B380" t="s">
        <v>800</v>
      </c>
      <c r="C380">
        <v>23</v>
      </c>
      <c r="D380" t="s">
        <v>25</v>
      </c>
      <c r="E380" t="s">
        <v>35</v>
      </c>
      <c r="F380" t="s">
        <v>42</v>
      </c>
      <c r="G380" t="s">
        <v>43</v>
      </c>
      <c r="H380" t="s">
        <v>1060</v>
      </c>
      <c r="I380">
        <v>23000</v>
      </c>
      <c r="J380">
        <v>12</v>
      </c>
      <c r="K380">
        <v>276000</v>
      </c>
      <c r="L380">
        <v>2</v>
      </c>
      <c r="M380">
        <v>1</v>
      </c>
      <c r="N380" t="s">
        <v>1077</v>
      </c>
      <c r="O380">
        <v>88</v>
      </c>
      <c r="P380">
        <v>10</v>
      </c>
      <c r="Q380">
        <v>5</v>
      </c>
      <c r="R380" t="s">
        <v>21</v>
      </c>
      <c r="S380" t="s">
        <v>38</v>
      </c>
      <c r="T380">
        <v>5</v>
      </c>
      <c r="U380">
        <v>1250</v>
      </c>
      <c r="V380" t="s">
        <v>39</v>
      </c>
      <c r="W380" t="s">
        <v>1077</v>
      </c>
      <c r="X380" t="s">
        <v>20</v>
      </c>
      <c r="Y380">
        <v>14</v>
      </c>
    </row>
    <row r="381" spans="1:25">
      <c r="A381" t="s">
        <v>801</v>
      </c>
      <c r="B381" t="s">
        <v>802</v>
      </c>
      <c r="C381">
        <v>23</v>
      </c>
      <c r="D381" t="s">
        <v>25</v>
      </c>
      <c r="E381" t="s">
        <v>64</v>
      </c>
      <c r="F381" t="s">
        <v>18</v>
      </c>
      <c r="G381" t="s">
        <v>43</v>
      </c>
      <c r="H381" t="s">
        <v>1060</v>
      </c>
      <c r="I381">
        <v>19500</v>
      </c>
      <c r="J381">
        <v>12</v>
      </c>
      <c r="K381">
        <v>234000</v>
      </c>
      <c r="L381">
        <v>1</v>
      </c>
      <c r="N381" t="s">
        <v>1077</v>
      </c>
      <c r="O381">
        <v>85</v>
      </c>
      <c r="P381">
        <v>10</v>
      </c>
      <c r="Q381">
        <v>8</v>
      </c>
      <c r="S381" t="s">
        <v>28</v>
      </c>
      <c r="U381">
        <v>0</v>
      </c>
      <c r="V381" t="s">
        <v>1054</v>
      </c>
      <c r="W381" t="s">
        <v>1077</v>
      </c>
      <c r="X381" t="s">
        <v>20</v>
      </c>
      <c r="Y381">
        <v>10</v>
      </c>
    </row>
    <row r="382" spans="1:25">
      <c r="A382" t="s">
        <v>803</v>
      </c>
      <c r="B382" t="s">
        <v>804</v>
      </c>
      <c r="C382">
        <v>26</v>
      </c>
      <c r="D382" t="s">
        <v>25</v>
      </c>
      <c r="E382" t="s">
        <v>50</v>
      </c>
      <c r="F382" t="s">
        <v>42</v>
      </c>
      <c r="G382" t="s">
        <v>1048</v>
      </c>
      <c r="H382" t="s">
        <v>1060</v>
      </c>
      <c r="I382">
        <v>60000</v>
      </c>
      <c r="J382">
        <v>12</v>
      </c>
      <c r="K382">
        <v>720000</v>
      </c>
      <c r="L382">
        <v>4</v>
      </c>
      <c r="M382">
        <v>2</v>
      </c>
      <c r="N382" t="s">
        <v>1077</v>
      </c>
      <c r="O382">
        <v>90</v>
      </c>
      <c r="P382">
        <v>5</v>
      </c>
      <c r="Q382">
        <v>2</v>
      </c>
      <c r="R382" t="s">
        <v>37</v>
      </c>
      <c r="S382" t="s">
        <v>38</v>
      </c>
      <c r="T382">
        <v>5</v>
      </c>
      <c r="U382">
        <v>1500</v>
      </c>
      <c r="V382" t="s">
        <v>39</v>
      </c>
      <c r="W382" t="s">
        <v>1077</v>
      </c>
      <c r="X382" t="s">
        <v>20</v>
      </c>
      <c r="Y382">
        <v>14</v>
      </c>
    </row>
    <row r="383" spans="1:25">
      <c r="A383" t="s">
        <v>805</v>
      </c>
      <c r="B383" t="s">
        <v>806</v>
      </c>
      <c r="C383">
        <v>26</v>
      </c>
      <c r="D383" t="s">
        <v>46</v>
      </c>
      <c r="E383" t="s">
        <v>17</v>
      </c>
      <c r="F383" t="s">
        <v>42</v>
      </c>
      <c r="G383" t="s">
        <v>1045</v>
      </c>
      <c r="H383" t="s">
        <v>1060</v>
      </c>
      <c r="I383">
        <v>78000</v>
      </c>
      <c r="J383">
        <v>12</v>
      </c>
      <c r="K383">
        <v>936000</v>
      </c>
      <c r="L383">
        <v>7</v>
      </c>
      <c r="M383">
        <v>2</v>
      </c>
      <c r="N383" t="s">
        <v>1077</v>
      </c>
      <c r="O383">
        <v>95</v>
      </c>
      <c r="P383">
        <v>15</v>
      </c>
      <c r="Q383">
        <v>3</v>
      </c>
      <c r="R383" t="s">
        <v>37</v>
      </c>
      <c r="S383" t="s">
        <v>19</v>
      </c>
      <c r="U383">
        <v>0</v>
      </c>
      <c r="V383" t="s">
        <v>39</v>
      </c>
      <c r="W383" t="s">
        <v>1077</v>
      </c>
      <c r="X383" t="s">
        <v>20</v>
      </c>
      <c r="Y383">
        <v>14</v>
      </c>
    </row>
    <row r="384" spans="1:25">
      <c r="A384" t="s">
        <v>807</v>
      </c>
      <c r="B384" t="s">
        <v>808</v>
      </c>
      <c r="C384">
        <v>23</v>
      </c>
      <c r="D384" t="s">
        <v>25</v>
      </c>
      <c r="E384" t="s">
        <v>57</v>
      </c>
      <c r="F384" t="s">
        <v>42</v>
      </c>
      <c r="G384" t="s">
        <v>43</v>
      </c>
      <c r="H384" t="s">
        <v>1060</v>
      </c>
      <c r="I384">
        <v>24000</v>
      </c>
      <c r="J384">
        <v>12</v>
      </c>
      <c r="K384">
        <v>288000</v>
      </c>
      <c r="L384">
        <v>1</v>
      </c>
      <c r="M384">
        <v>2</v>
      </c>
      <c r="N384" t="s">
        <v>1077</v>
      </c>
      <c r="O384">
        <v>80</v>
      </c>
      <c r="P384">
        <v>10</v>
      </c>
      <c r="Q384">
        <v>2</v>
      </c>
      <c r="R384" t="s">
        <v>21</v>
      </c>
      <c r="S384" t="s">
        <v>38</v>
      </c>
      <c r="T384">
        <v>5</v>
      </c>
      <c r="U384">
        <v>1250</v>
      </c>
      <c r="V384" t="s">
        <v>39</v>
      </c>
      <c r="W384" t="s">
        <v>1077</v>
      </c>
      <c r="X384" t="s">
        <v>20</v>
      </c>
      <c r="Y384">
        <v>14</v>
      </c>
    </row>
    <row r="385" spans="1:25">
      <c r="A385" t="s">
        <v>809</v>
      </c>
      <c r="B385" t="s">
        <v>810</v>
      </c>
      <c r="C385">
        <v>28</v>
      </c>
      <c r="D385" t="s">
        <v>25</v>
      </c>
      <c r="E385" t="s">
        <v>64</v>
      </c>
      <c r="F385" t="s">
        <v>36</v>
      </c>
      <c r="G385" t="s">
        <v>1048</v>
      </c>
      <c r="H385" t="s">
        <v>1060</v>
      </c>
      <c r="I385">
        <v>69000</v>
      </c>
      <c r="J385">
        <v>12</v>
      </c>
      <c r="K385">
        <v>828000</v>
      </c>
      <c r="L385">
        <v>5</v>
      </c>
      <c r="M385">
        <v>1</v>
      </c>
      <c r="N385" t="s">
        <v>1077</v>
      </c>
      <c r="O385">
        <v>90</v>
      </c>
      <c r="P385">
        <v>5</v>
      </c>
      <c r="Q385">
        <v>3</v>
      </c>
      <c r="S385" t="s">
        <v>38</v>
      </c>
      <c r="T385">
        <v>20</v>
      </c>
      <c r="U385">
        <v>6000</v>
      </c>
      <c r="V385" t="s">
        <v>39</v>
      </c>
      <c r="W385" t="s">
        <v>1077</v>
      </c>
      <c r="X385" t="s">
        <v>20</v>
      </c>
      <c r="Y385">
        <v>25</v>
      </c>
    </row>
    <row r="386" spans="1:25">
      <c r="A386" t="s">
        <v>811</v>
      </c>
      <c r="B386" t="s">
        <v>812</v>
      </c>
      <c r="C386">
        <v>25</v>
      </c>
      <c r="D386" t="s">
        <v>46</v>
      </c>
      <c r="E386" t="s">
        <v>47</v>
      </c>
      <c r="F386" t="s">
        <v>42</v>
      </c>
      <c r="G386" t="s">
        <v>43</v>
      </c>
      <c r="H386" t="s">
        <v>1060</v>
      </c>
      <c r="I386">
        <v>24000</v>
      </c>
      <c r="J386">
        <v>12</v>
      </c>
      <c r="K386">
        <v>288000</v>
      </c>
      <c r="L386">
        <v>1</v>
      </c>
      <c r="M386">
        <v>4</v>
      </c>
      <c r="N386">
        <v>7200</v>
      </c>
      <c r="O386">
        <v>95</v>
      </c>
      <c r="P386">
        <v>13</v>
      </c>
      <c r="Q386">
        <v>5</v>
      </c>
      <c r="R386" t="s">
        <v>21</v>
      </c>
      <c r="S386" t="s">
        <v>28</v>
      </c>
      <c r="U386">
        <v>0</v>
      </c>
      <c r="V386" t="s">
        <v>58</v>
      </c>
      <c r="W386" t="s">
        <v>1077</v>
      </c>
      <c r="X386" t="s">
        <v>20</v>
      </c>
      <c r="Y386">
        <v>14</v>
      </c>
    </row>
    <row r="387" spans="1:25">
      <c r="A387" t="s">
        <v>813</v>
      </c>
      <c r="B387" t="s">
        <v>814</v>
      </c>
      <c r="C387">
        <v>24</v>
      </c>
      <c r="D387" t="s">
        <v>46</v>
      </c>
      <c r="E387" t="s">
        <v>17</v>
      </c>
      <c r="F387" t="s">
        <v>27</v>
      </c>
      <c r="G387" t="s">
        <v>43</v>
      </c>
      <c r="H387" t="s">
        <v>1060</v>
      </c>
      <c r="I387">
        <v>28000</v>
      </c>
      <c r="J387">
        <v>12</v>
      </c>
      <c r="K387">
        <v>336000</v>
      </c>
      <c r="L387">
        <v>2</v>
      </c>
      <c r="M387">
        <v>3</v>
      </c>
      <c r="N387">
        <v>8400</v>
      </c>
      <c r="O387">
        <v>95</v>
      </c>
      <c r="P387">
        <v>5</v>
      </c>
      <c r="Q387">
        <v>6</v>
      </c>
      <c r="R387" t="s">
        <v>37</v>
      </c>
      <c r="S387" t="s">
        <v>38</v>
      </c>
      <c r="U387">
        <v>0</v>
      </c>
      <c r="V387" t="s">
        <v>22</v>
      </c>
      <c r="W387" t="s">
        <v>1077</v>
      </c>
      <c r="X387" t="s">
        <v>20</v>
      </c>
      <c r="Y387">
        <v>12</v>
      </c>
    </row>
    <row r="388" spans="1:25">
      <c r="A388" t="s">
        <v>815</v>
      </c>
      <c r="B388" t="s">
        <v>816</v>
      </c>
      <c r="C388">
        <v>25</v>
      </c>
      <c r="D388" t="s">
        <v>25</v>
      </c>
      <c r="E388" t="s">
        <v>50</v>
      </c>
      <c r="F388" t="s">
        <v>36</v>
      </c>
      <c r="G388" t="s">
        <v>43</v>
      </c>
      <c r="H388" t="s">
        <v>1060</v>
      </c>
      <c r="I388">
        <v>24000</v>
      </c>
      <c r="J388">
        <v>12</v>
      </c>
      <c r="K388">
        <v>288000</v>
      </c>
      <c r="L388">
        <v>1</v>
      </c>
      <c r="M388">
        <v>4</v>
      </c>
      <c r="N388">
        <v>7200</v>
      </c>
      <c r="O388">
        <v>90</v>
      </c>
      <c r="P388">
        <v>15</v>
      </c>
      <c r="Q388">
        <v>11</v>
      </c>
      <c r="S388" t="s">
        <v>38</v>
      </c>
      <c r="U388">
        <v>0</v>
      </c>
      <c r="V388" t="s">
        <v>22</v>
      </c>
      <c r="W388" t="s">
        <v>1077</v>
      </c>
      <c r="X388" t="s">
        <v>20</v>
      </c>
      <c r="Y388">
        <v>25</v>
      </c>
    </row>
    <row r="389" spans="1:25">
      <c r="A389" t="s">
        <v>817</v>
      </c>
      <c r="B389" t="s">
        <v>818</v>
      </c>
      <c r="C389">
        <v>24</v>
      </c>
      <c r="D389" t="s">
        <v>25</v>
      </c>
      <c r="E389" t="s">
        <v>26</v>
      </c>
      <c r="F389" t="s">
        <v>66</v>
      </c>
      <c r="G389" t="s">
        <v>43</v>
      </c>
      <c r="H389" t="s">
        <v>1059</v>
      </c>
      <c r="I389">
        <v>28000</v>
      </c>
      <c r="J389">
        <v>12</v>
      </c>
      <c r="K389">
        <v>336000</v>
      </c>
      <c r="L389">
        <v>2</v>
      </c>
      <c r="M389">
        <v>1</v>
      </c>
      <c r="N389" t="s">
        <v>1077</v>
      </c>
      <c r="O389">
        <v>85</v>
      </c>
      <c r="P389">
        <v>10</v>
      </c>
      <c r="Q389">
        <v>5</v>
      </c>
      <c r="S389" t="s">
        <v>28</v>
      </c>
      <c r="U389">
        <v>0</v>
      </c>
      <c r="V389" t="s">
        <v>39</v>
      </c>
      <c r="W389" t="s">
        <v>1077</v>
      </c>
      <c r="X389" t="s">
        <v>33</v>
      </c>
      <c r="Y389">
        <v>20</v>
      </c>
    </row>
    <row r="390" spans="1:25">
      <c r="A390" t="s">
        <v>819</v>
      </c>
      <c r="B390" t="s">
        <v>820</v>
      </c>
      <c r="C390">
        <v>30</v>
      </c>
      <c r="D390" t="s">
        <v>46</v>
      </c>
      <c r="E390" t="s">
        <v>35</v>
      </c>
      <c r="F390" t="s">
        <v>42</v>
      </c>
      <c r="G390" t="s">
        <v>1045</v>
      </c>
      <c r="H390" t="s">
        <v>1060</v>
      </c>
      <c r="I390">
        <v>78000</v>
      </c>
      <c r="J390">
        <v>12</v>
      </c>
      <c r="K390">
        <v>936000</v>
      </c>
      <c r="L390">
        <v>5</v>
      </c>
      <c r="M390">
        <v>5</v>
      </c>
      <c r="N390">
        <v>23400</v>
      </c>
      <c r="O390">
        <v>90</v>
      </c>
      <c r="P390">
        <v>15</v>
      </c>
      <c r="Q390">
        <v>1</v>
      </c>
      <c r="S390" t="s">
        <v>38</v>
      </c>
      <c r="T390">
        <v>20</v>
      </c>
      <c r="U390">
        <v>6000</v>
      </c>
      <c r="V390" t="s">
        <v>58</v>
      </c>
      <c r="W390" t="s">
        <v>1077</v>
      </c>
      <c r="X390" t="s">
        <v>20</v>
      </c>
      <c r="Y390">
        <v>14</v>
      </c>
    </row>
    <row r="391" spans="1:25">
      <c r="A391" t="s">
        <v>821</v>
      </c>
      <c r="B391" t="s">
        <v>822</v>
      </c>
      <c r="C391">
        <v>24</v>
      </c>
      <c r="D391" t="s">
        <v>46</v>
      </c>
      <c r="E391" t="s">
        <v>73</v>
      </c>
      <c r="F391" t="s">
        <v>42</v>
      </c>
      <c r="G391" t="s">
        <v>43</v>
      </c>
      <c r="H391" t="s">
        <v>1059</v>
      </c>
      <c r="I391">
        <v>28000</v>
      </c>
      <c r="J391">
        <v>12</v>
      </c>
      <c r="K391">
        <v>336000</v>
      </c>
      <c r="L391">
        <v>2</v>
      </c>
      <c r="M391">
        <v>3</v>
      </c>
      <c r="N391">
        <v>8400</v>
      </c>
      <c r="O391">
        <v>80</v>
      </c>
      <c r="P391">
        <v>15</v>
      </c>
      <c r="Q391">
        <v>3</v>
      </c>
      <c r="S391" t="s">
        <v>28</v>
      </c>
      <c r="T391">
        <v>20</v>
      </c>
      <c r="U391">
        <v>5000</v>
      </c>
      <c r="V391" t="s">
        <v>22</v>
      </c>
      <c r="W391" t="s">
        <v>1077</v>
      </c>
      <c r="X391" t="s">
        <v>20</v>
      </c>
      <c r="Y391">
        <v>14</v>
      </c>
    </row>
    <row r="392" spans="1:25">
      <c r="A392" t="s">
        <v>823</v>
      </c>
      <c r="B392" t="s">
        <v>824</v>
      </c>
      <c r="C392">
        <v>23</v>
      </c>
      <c r="D392" t="s">
        <v>46</v>
      </c>
      <c r="E392" t="s">
        <v>47</v>
      </c>
      <c r="F392" t="s">
        <v>18</v>
      </c>
      <c r="G392" t="s">
        <v>43</v>
      </c>
      <c r="H392" t="s">
        <v>1060</v>
      </c>
      <c r="I392">
        <v>28000</v>
      </c>
      <c r="J392">
        <v>12</v>
      </c>
      <c r="K392">
        <v>336000</v>
      </c>
      <c r="L392">
        <v>2</v>
      </c>
      <c r="M392">
        <v>1</v>
      </c>
      <c r="N392" t="s">
        <v>1077</v>
      </c>
      <c r="O392">
        <v>85</v>
      </c>
      <c r="P392">
        <v>15</v>
      </c>
      <c r="Q392">
        <v>2</v>
      </c>
      <c r="R392" t="s">
        <v>37</v>
      </c>
      <c r="S392" t="s">
        <v>38</v>
      </c>
      <c r="T392">
        <v>10</v>
      </c>
      <c r="U392">
        <v>2500</v>
      </c>
      <c r="V392" t="s">
        <v>39</v>
      </c>
      <c r="W392" t="s">
        <v>1077</v>
      </c>
      <c r="X392" t="s">
        <v>20</v>
      </c>
      <c r="Y392">
        <v>10</v>
      </c>
    </row>
    <row r="393" spans="1:25">
      <c r="A393" t="s">
        <v>825</v>
      </c>
      <c r="B393" t="s">
        <v>826</v>
      </c>
      <c r="C393">
        <v>23</v>
      </c>
      <c r="D393" t="s">
        <v>46</v>
      </c>
      <c r="E393" t="s">
        <v>61</v>
      </c>
      <c r="F393" t="s">
        <v>42</v>
      </c>
      <c r="G393" t="s">
        <v>43</v>
      </c>
      <c r="H393" t="s">
        <v>1060</v>
      </c>
      <c r="I393">
        <v>24000</v>
      </c>
      <c r="J393">
        <v>12</v>
      </c>
      <c r="K393">
        <v>288000</v>
      </c>
      <c r="L393">
        <v>1</v>
      </c>
      <c r="M393">
        <v>4</v>
      </c>
      <c r="N393">
        <v>7200</v>
      </c>
      <c r="O393">
        <v>95</v>
      </c>
      <c r="P393">
        <v>13</v>
      </c>
      <c r="Q393">
        <v>5</v>
      </c>
      <c r="S393" t="s">
        <v>38</v>
      </c>
      <c r="T393">
        <v>20</v>
      </c>
      <c r="U393">
        <v>5000</v>
      </c>
      <c r="V393" t="s">
        <v>58</v>
      </c>
      <c r="W393" t="s">
        <v>1077</v>
      </c>
      <c r="X393" t="s">
        <v>20</v>
      </c>
      <c r="Y393">
        <v>14</v>
      </c>
    </row>
    <row r="394" spans="1:25">
      <c r="A394" t="s">
        <v>827</v>
      </c>
      <c r="B394" t="s">
        <v>828</v>
      </c>
      <c r="C394">
        <v>27</v>
      </c>
      <c r="D394" t="s">
        <v>25</v>
      </c>
      <c r="E394" t="s">
        <v>17</v>
      </c>
      <c r="F394" t="s">
        <v>31</v>
      </c>
      <c r="G394" t="s">
        <v>1045</v>
      </c>
      <c r="H394" t="s">
        <v>1060</v>
      </c>
      <c r="I394">
        <v>82000</v>
      </c>
      <c r="J394">
        <v>12</v>
      </c>
      <c r="K394">
        <v>984000</v>
      </c>
      <c r="L394">
        <v>6</v>
      </c>
      <c r="M394">
        <v>2</v>
      </c>
      <c r="N394" t="s">
        <v>1077</v>
      </c>
      <c r="O394">
        <v>85</v>
      </c>
      <c r="P394">
        <v>15</v>
      </c>
      <c r="Q394">
        <v>5</v>
      </c>
      <c r="R394" t="s">
        <v>37</v>
      </c>
      <c r="S394" t="s">
        <v>28</v>
      </c>
      <c r="U394">
        <v>0</v>
      </c>
      <c r="V394" t="s">
        <v>39</v>
      </c>
      <c r="W394" t="s">
        <v>1077</v>
      </c>
      <c r="X394" t="s">
        <v>33</v>
      </c>
      <c r="Y394">
        <v>13</v>
      </c>
    </row>
    <row r="395" spans="1:25">
      <c r="A395" t="s">
        <v>829</v>
      </c>
      <c r="B395" t="s">
        <v>830</v>
      </c>
      <c r="C395">
        <v>24</v>
      </c>
      <c r="D395" t="s">
        <v>46</v>
      </c>
      <c r="E395" t="s">
        <v>64</v>
      </c>
      <c r="F395" t="s">
        <v>42</v>
      </c>
      <c r="G395" t="s">
        <v>43</v>
      </c>
      <c r="H395" t="s">
        <v>1060</v>
      </c>
      <c r="I395">
        <v>25000</v>
      </c>
      <c r="J395">
        <v>12</v>
      </c>
      <c r="K395">
        <v>300000</v>
      </c>
      <c r="L395">
        <v>1</v>
      </c>
      <c r="M395">
        <v>1</v>
      </c>
      <c r="N395" t="s">
        <v>1077</v>
      </c>
      <c r="O395">
        <v>85</v>
      </c>
      <c r="P395">
        <v>15</v>
      </c>
      <c r="Q395">
        <v>9</v>
      </c>
      <c r="S395" t="s">
        <v>38</v>
      </c>
      <c r="T395">
        <v>10</v>
      </c>
      <c r="U395">
        <v>2500</v>
      </c>
      <c r="V395" t="s">
        <v>39</v>
      </c>
      <c r="W395" t="s">
        <v>1077</v>
      </c>
      <c r="X395" t="s">
        <v>20</v>
      </c>
      <c r="Y395">
        <v>14</v>
      </c>
    </row>
    <row r="396" spans="1:25">
      <c r="A396" t="s">
        <v>831</v>
      </c>
      <c r="B396" t="s">
        <v>832</v>
      </c>
      <c r="C396">
        <v>24</v>
      </c>
      <c r="D396" t="s">
        <v>25</v>
      </c>
      <c r="E396" t="s">
        <v>61</v>
      </c>
      <c r="F396" t="s">
        <v>42</v>
      </c>
      <c r="G396" t="s">
        <v>43</v>
      </c>
      <c r="H396" t="s">
        <v>1060</v>
      </c>
      <c r="I396">
        <v>24000</v>
      </c>
      <c r="J396">
        <v>12</v>
      </c>
      <c r="K396">
        <v>288000</v>
      </c>
      <c r="L396">
        <v>1</v>
      </c>
      <c r="M396">
        <v>4</v>
      </c>
      <c r="N396">
        <v>7200</v>
      </c>
      <c r="O396">
        <v>95</v>
      </c>
      <c r="P396">
        <v>15</v>
      </c>
      <c r="Q396">
        <v>3</v>
      </c>
      <c r="R396" t="s">
        <v>21</v>
      </c>
      <c r="S396" t="s">
        <v>38</v>
      </c>
      <c r="U396">
        <v>0</v>
      </c>
      <c r="V396" t="s">
        <v>58</v>
      </c>
      <c r="W396" t="s">
        <v>1077</v>
      </c>
      <c r="X396" t="s">
        <v>20</v>
      </c>
      <c r="Y396">
        <v>14</v>
      </c>
    </row>
    <row r="397" spans="1:25">
      <c r="A397" t="s">
        <v>833</v>
      </c>
      <c r="B397" t="s">
        <v>834</v>
      </c>
      <c r="C397">
        <v>24</v>
      </c>
      <c r="D397" t="s">
        <v>25</v>
      </c>
      <c r="E397" t="s">
        <v>64</v>
      </c>
      <c r="F397" t="s">
        <v>31</v>
      </c>
      <c r="G397" t="s">
        <v>43</v>
      </c>
      <c r="H397" t="s">
        <v>1060</v>
      </c>
      <c r="I397">
        <v>24000</v>
      </c>
      <c r="J397">
        <v>12</v>
      </c>
      <c r="K397">
        <v>288000</v>
      </c>
      <c r="L397">
        <v>1</v>
      </c>
      <c r="M397">
        <v>1</v>
      </c>
      <c r="N397" t="s">
        <v>1077</v>
      </c>
      <c r="O397">
        <v>85</v>
      </c>
      <c r="P397">
        <v>10</v>
      </c>
      <c r="Q397">
        <v>5</v>
      </c>
      <c r="R397" t="s">
        <v>21</v>
      </c>
      <c r="S397" t="s">
        <v>38</v>
      </c>
      <c r="T397">
        <v>5</v>
      </c>
      <c r="U397">
        <v>1250</v>
      </c>
      <c r="V397" t="s">
        <v>39</v>
      </c>
      <c r="W397" t="s">
        <v>1077</v>
      </c>
      <c r="X397" t="s">
        <v>33</v>
      </c>
      <c r="Y397">
        <v>13</v>
      </c>
    </row>
    <row r="398" spans="1:25">
      <c r="A398" t="s">
        <v>835</v>
      </c>
      <c r="B398" t="s">
        <v>836</v>
      </c>
      <c r="C398">
        <v>23</v>
      </c>
      <c r="D398" t="s">
        <v>1077</v>
      </c>
      <c r="E398" t="s">
        <v>57</v>
      </c>
      <c r="F398" t="s">
        <v>66</v>
      </c>
      <c r="G398" t="s">
        <v>43</v>
      </c>
      <c r="H398" t="s">
        <v>1060</v>
      </c>
      <c r="I398">
        <v>24000</v>
      </c>
      <c r="J398">
        <v>12</v>
      </c>
      <c r="K398">
        <v>288000</v>
      </c>
      <c r="L398">
        <v>1</v>
      </c>
      <c r="M398">
        <v>1</v>
      </c>
      <c r="N398" t="s">
        <v>1077</v>
      </c>
      <c r="O398">
        <v>80</v>
      </c>
      <c r="P398">
        <v>13</v>
      </c>
      <c r="Q398">
        <v>5</v>
      </c>
      <c r="R398" t="s">
        <v>21</v>
      </c>
      <c r="S398" t="s">
        <v>19</v>
      </c>
      <c r="T398">
        <v>20</v>
      </c>
      <c r="U398">
        <v>5000</v>
      </c>
      <c r="V398" t="s">
        <v>39</v>
      </c>
      <c r="W398" t="s">
        <v>1077</v>
      </c>
      <c r="X398" t="s">
        <v>33</v>
      </c>
      <c r="Y398">
        <v>20</v>
      </c>
    </row>
    <row r="399" spans="1:25">
      <c r="A399" t="s">
        <v>837</v>
      </c>
      <c r="B399" t="s">
        <v>838</v>
      </c>
      <c r="C399">
        <v>24</v>
      </c>
      <c r="D399" t="s">
        <v>25</v>
      </c>
      <c r="E399" t="s">
        <v>65</v>
      </c>
      <c r="F399" t="s">
        <v>42</v>
      </c>
      <c r="G399" t="s">
        <v>1045</v>
      </c>
      <c r="H399" t="s">
        <v>1059</v>
      </c>
      <c r="I399">
        <v>81000</v>
      </c>
      <c r="J399">
        <v>12</v>
      </c>
      <c r="K399">
        <v>972000</v>
      </c>
      <c r="L399">
        <v>6</v>
      </c>
      <c r="M399">
        <v>5</v>
      </c>
      <c r="N399">
        <v>24300</v>
      </c>
      <c r="O399">
        <v>85</v>
      </c>
      <c r="P399">
        <v>13</v>
      </c>
      <c r="Q399">
        <v>1</v>
      </c>
      <c r="R399" t="s">
        <v>37</v>
      </c>
      <c r="S399" t="s">
        <v>28</v>
      </c>
      <c r="T399">
        <v>20</v>
      </c>
      <c r="U399">
        <v>6000</v>
      </c>
      <c r="V399" t="s">
        <v>58</v>
      </c>
      <c r="W399" t="s">
        <v>1077</v>
      </c>
      <c r="X399" t="s">
        <v>20</v>
      </c>
      <c r="Y399">
        <v>14</v>
      </c>
    </row>
    <row r="400" spans="1:25">
      <c r="A400" t="s">
        <v>839</v>
      </c>
      <c r="B400" t="s">
        <v>840</v>
      </c>
      <c r="C400">
        <v>23</v>
      </c>
      <c r="D400" t="s">
        <v>46</v>
      </c>
      <c r="E400" t="s">
        <v>73</v>
      </c>
      <c r="F400" t="s">
        <v>66</v>
      </c>
      <c r="G400" t="s">
        <v>43</v>
      </c>
      <c r="H400" t="s">
        <v>1060</v>
      </c>
      <c r="I400">
        <v>29000</v>
      </c>
      <c r="J400">
        <v>12</v>
      </c>
      <c r="K400">
        <v>348000</v>
      </c>
      <c r="L400">
        <v>2</v>
      </c>
      <c r="M400">
        <v>5</v>
      </c>
      <c r="N400">
        <v>8700</v>
      </c>
      <c r="O400">
        <v>95</v>
      </c>
      <c r="P400">
        <v>10</v>
      </c>
      <c r="Q400">
        <v>2</v>
      </c>
      <c r="S400" t="s">
        <v>38</v>
      </c>
      <c r="U400">
        <v>0</v>
      </c>
      <c r="V400" t="s">
        <v>58</v>
      </c>
      <c r="W400" t="s">
        <v>1077</v>
      </c>
      <c r="X400" t="s">
        <v>33</v>
      </c>
      <c r="Y400">
        <v>20</v>
      </c>
    </row>
    <row r="401" spans="1:25">
      <c r="A401" t="s">
        <v>841</v>
      </c>
      <c r="B401" t="s">
        <v>842</v>
      </c>
      <c r="C401">
        <v>24</v>
      </c>
      <c r="D401" t="s">
        <v>25</v>
      </c>
      <c r="E401" t="s">
        <v>73</v>
      </c>
      <c r="F401" t="s">
        <v>42</v>
      </c>
      <c r="G401" t="s">
        <v>43</v>
      </c>
      <c r="H401" t="s">
        <v>1059</v>
      </c>
      <c r="I401">
        <v>29000</v>
      </c>
      <c r="J401">
        <v>12</v>
      </c>
      <c r="K401">
        <v>348000</v>
      </c>
      <c r="L401">
        <v>2</v>
      </c>
      <c r="M401">
        <v>4</v>
      </c>
      <c r="N401">
        <v>8700</v>
      </c>
      <c r="O401">
        <v>90</v>
      </c>
      <c r="P401">
        <v>15</v>
      </c>
      <c r="Q401">
        <v>3</v>
      </c>
      <c r="R401" t="s">
        <v>21</v>
      </c>
      <c r="S401" t="s">
        <v>28</v>
      </c>
      <c r="T401">
        <v>5</v>
      </c>
      <c r="U401">
        <v>1250</v>
      </c>
      <c r="V401" t="s">
        <v>22</v>
      </c>
      <c r="W401" t="s">
        <v>1077</v>
      </c>
      <c r="X401" t="s">
        <v>20</v>
      </c>
      <c r="Y401">
        <v>14</v>
      </c>
    </row>
    <row r="402" spans="1:25">
      <c r="A402" t="s">
        <v>843</v>
      </c>
      <c r="B402" t="s">
        <v>844</v>
      </c>
      <c r="C402">
        <v>25</v>
      </c>
      <c r="D402" t="s">
        <v>46</v>
      </c>
      <c r="E402" t="s">
        <v>35</v>
      </c>
      <c r="F402" t="s">
        <v>31</v>
      </c>
      <c r="G402" t="s">
        <v>43</v>
      </c>
      <c r="H402" t="s">
        <v>1059</v>
      </c>
      <c r="I402">
        <v>29000</v>
      </c>
      <c r="J402">
        <v>12</v>
      </c>
      <c r="K402">
        <v>348000</v>
      </c>
      <c r="L402">
        <v>2</v>
      </c>
      <c r="M402">
        <v>3</v>
      </c>
      <c r="N402">
        <v>8700</v>
      </c>
      <c r="O402">
        <v>95</v>
      </c>
      <c r="P402">
        <v>13</v>
      </c>
      <c r="Q402">
        <v>3</v>
      </c>
      <c r="S402" t="s">
        <v>28</v>
      </c>
      <c r="T402">
        <v>5</v>
      </c>
      <c r="U402">
        <v>1250</v>
      </c>
      <c r="V402" t="s">
        <v>22</v>
      </c>
      <c r="W402" t="s">
        <v>1077</v>
      </c>
      <c r="X402" t="s">
        <v>33</v>
      </c>
      <c r="Y402">
        <v>13</v>
      </c>
    </row>
    <row r="403" spans="1:25">
      <c r="A403" t="s">
        <v>845</v>
      </c>
      <c r="B403" t="s">
        <v>846</v>
      </c>
      <c r="C403">
        <v>25</v>
      </c>
      <c r="D403" t="s">
        <v>46</v>
      </c>
      <c r="E403" t="s">
        <v>65</v>
      </c>
      <c r="F403" t="s">
        <v>18</v>
      </c>
      <c r="G403" t="s">
        <v>43</v>
      </c>
      <c r="H403" t="s">
        <v>1060</v>
      </c>
      <c r="I403">
        <v>29000</v>
      </c>
      <c r="J403">
        <v>12</v>
      </c>
      <c r="K403">
        <v>348000</v>
      </c>
      <c r="L403">
        <v>2</v>
      </c>
      <c r="M403">
        <v>3</v>
      </c>
      <c r="N403">
        <v>8700</v>
      </c>
      <c r="O403">
        <v>80</v>
      </c>
      <c r="P403">
        <v>13</v>
      </c>
      <c r="Q403">
        <v>10</v>
      </c>
      <c r="S403" t="s">
        <v>38</v>
      </c>
      <c r="T403">
        <v>10</v>
      </c>
      <c r="U403">
        <v>2500</v>
      </c>
      <c r="V403" t="s">
        <v>22</v>
      </c>
      <c r="W403" t="s">
        <v>1077</v>
      </c>
      <c r="X403" t="s">
        <v>20</v>
      </c>
      <c r="Y403">
        <v>10</v>
      </c>
    </row>
    <row r="404" spans="1:25">
      <c r="A404" t="s">
        <v>847</v>
      </c>
      <c r="B404" t="s">
        <v>848</v>
      </c>
      <c r="C404">
        <v>23</v>
      </c>
      <c r="D404" t="s">
        <v>46</v>
      </c>
      <c r="E404" t="s">
        <v>65</v>
      </c>
      <c r="F404" t="s">
        <v>66</v>
      </c>
      <c r="G404" t="s">
        <v>43</v>
      </c>
      <c r="H404" t="s">
        <v>1060</v>
      </c>
      <c r="I404">
        <v>24000</v>
      </c>
      <c r="J404">
        <v>12</v>
      </c>
      <c r="K404">
        <v>288000</v>
      </c>
      <c r="L404">
        <v>1</v>
      </c>
      <c r="M404">
        <v>3</v>
      </c>
      <c r="N404">
        <v>7200</v>
      </c>
      <c r="O404">
        <v>85</v>
      </c>
      <c r="P404">
        <v>5</v>
      </c>
      <c r="Q404">
        <v>5</v>
      </c>
      <c r="R404" t="s">
        <v>37</v>
      </c>
      <c r="S404" t="s">
        <v>38</v>
      </c>
      <c r="U404">
        <v>0</v>
      </c>
      <c r="V404" t="s">
        <v>22</v>
      </c>
      <c r="W404" t="s">
        <v>1077</v>
      </c>
      <c r="X404" t="s">
        <v>33</v>
      </c>
      <c r="Y404">
        <v>20</v>
      </c>
    </row>
    <row r="405" spans="1:25">
      <c r="A405" t="s">
        <v>849</v>
      </c>
      <c r="B405" t="s">
        <v>850</v>
      </c>
      <c r="C405">
        <v>38</v>
      </c>
      <c r="D405" t="s">
        <v>1077</v>
      </c>
      <c r="E405" t="s">
        <v>17</v>
      </c>
      <c r="F405" t="s">
        <v>18</v>
      </c>
      <c r="G405" t="s">
        <v>32</v>
      </c>
      <c r="H405" t="s">
        <v>1060</v>
      </c>
      <c r="I405">
        <v>90000</v>
      </c>
      <c r="J405">
        <v>12</v>
      </c>
      <c r="K405">
        <v>1080000</v>
      </c>
      <c r="L405">
        <v>12</v>
      </c>
      <c r="N405" t="s">
        <v>1077</v>
      </c>
      <c r="O405">
        <v>80</v>
      </c>
      <c r="P405">
        <v>13</v>
      </c>
      <c r="Q405">
        <v>3</v>
      </c>
      <c r="S405" t="s">
        <v>28</v>
      </c>
      <c r="T405">
        <v>5</v>
      </c>
      <c r="U405">
        <v>1750</v>
      </c>
      <c r="V405" t="s">
        <v>1054</v>
      </c>
      <c r="W405" t="s">
        <v>1077</v>
      </c>
      <c r="X405" t="s">
        <v>20</v>
      </c>
      <c r="Y405">
        <v>10</v>
      </c>
    </row>
    <row r="406" spans="1:25">
      <c r="A406" t="s">
        <v>851</v>
      </c>
      <c r="B406" t="s">
        <v>852</v>
      </c>
      <c r="C406">
        <v>30</v>
      </c>
      <c r="D406" t="s">
        <v>25</v>
      </c>
      <c r="E406" t="s">
        <v>17</v>
      </c>
      <c r="F406" t="s">
        <v>31</v>
      </c>
      <c r="G406" t="s">
        <v>82</v>
      </c>
      <c r="H406" t="s">
        <v>1060</v>
      </c>
      <c r="I406">
        <v>84000</v>
      </c>
      <c r="J406">
        <v>12</v>
      </c>
      <c r="K406">
        <v>1008000</v>
      </c>
      <c r="L406">
        <v>7</v>
      </c>
      <c r="M406">
        <v>3</v>
      </c>
      <c r="N406">
        <v>25200</v>
      </c>
      <c r="O406">
        <v>90</v>
      </c>
      <c r="P406">
        <v>10</v>
      </c>
      <c r="Q406">
        <v>5</v>
      </c>
      <c r="S406" t="s">
        <v>38</v>
      </c>
      <c r="T406">
        <v>10</v>
      </c>
      <c r="U406">
        <v>3500</v>
      </c>
      <c r="V406" t="s">
        <v>22</v>
      </c>
      <c r="W406" t="s">
        <v>1077</v>
      </c>
      <c r="X406" t="s">
        <v>33</v>
      </c>
      <c r="Y406">
        <v>13</v>
      </c>
    </row>
    <row r="407" spans="1:25">
      <c r="A407" t="s">
        <v>853</v>
      </c>
      <c r="B407" t="s">
        <v>854</v>
      </c>
      <c r="C407">
        <v>25</v>
      </c>
      <c r="D407" t="s">
        <v>46</v>
      </c>
      <c r="E407" t="s">
        <v>35</v>
      </c>
      <c r="F407" t="s">
        <v>31</v>
      </c>
      <c r="G407" t="s">
        <v>1045</v>
      </c>
      <c r="H407" t="s">
        <v>1060</v>
      </c>
      <c r="I407">
        <v>78000</v>
      </c>
      <c r="J407">
        <v>12</v>
      </c>
      <c r="K407">
        <v>936000</v>
      </c>
      <c r="L407">
        <v>5</v>
      </c>
      <c r="M407">
        <v>4</v>
      </c>
      <c r="N407">
        <v>23400</v>
      </c>
      <c r="O407">
        <v>80</v>
      </c>
      <c r="P407">
        <v>5</v>
      </c>
      <c r="Q407">
        <v>2</v>
      </c>
      <c r="R407" t="s">
        <v>21</v>
      </c>
      <c r="S407" t="s">
        <v>19</v>
      </c>
      <c r="U407">
        <v>0</v>
      </c>
      <c r="V407" t="s">
        <v>58</v>
      </c>
      <c r="W407" t="s">
        <v>1077</v>
      </c>
      <c r="X407" t="s">
        <v>33</v>
      </c>
      <c r="Y407">
        <v>13</v>
      </c>
    </row>
    <row r="408" spans="1:25">
      <c r="A408" t="s">
        <v>855</v>
      </c>
      <c r="B408" t="s">
        <v>856</v>
      </c>
      <c r="C408">
        <v>24</v>
      </c>
      <c r="D408" t="s">
        <v>25</v>
      </c>
      <c r="E408" t="s">
        <v>64</v>
      </c>
      <c r="F408" t="s">
        <v>31</v>
      </c>
      <c r="G408" t="s">
        <v>43</v>
      </c>
      <c r="H408" t="s">
        <v>1060</v>
      </c>
      <c r="I408">
        <v>24000</v>
      </c>
      <c r="J408">
        <v>12</v>
      </c>
      <c r="K408">
        <v>288000</v>
      </c>
      <c r="L408">
        <v>1</v>
      </c>
      <c r="M408">
        <v>3</v>
      </c>
      <c r="N408">
        <v>7200</v>
      </c>
      <c r="O408">
        <v>95</v>
      </c>
      <c r="P408">
        <v>5</v>
      </c>
      <c r="Q408">
        <v>1</v>
      </c>
      <c r="R408" t="s">
        <v>37</v>
      </c>
      <c r="S408" t="s">
        <v>38</v>
      </c>
      <c r="T408">
        <v>10</v>
      </c>
      <c r="U408">
        <v>2500</v>
      </c>
      <c r="V408" t="s">
        <v>22</v>
      </c>
      <c r="W408" t="s">
        <v>1077</v>
      </c>
      <c r="X408" t="s">
        <v>33</v>
      </c>
      <c r="Y408">
        <v>13</v>
      </c>
    </row>
    <row r="409" spans="1:25">
      <c r="A409" t="s">
        <v>857</v>
      </c>
      <c r="B409" t="s">
        <v>858</v>
      </c>
      <c r="C409">
        <v>23</v>
      </c>
      <c r="D409" t="s">
        <v>25</v>
      </c>
      <c r="E409" t="s">
        <v>65</v>
      </c>
      <c r="F409" t="s">
        <v>66</v>
      </c>
      <c r="G409" t="s">
        <v>43</v>
      </c>
      <c r="H409" t="s">
        <v>1060</v>
      </c>
      <c r="I409">
        <v>27000</v>
      </c>
      <c r="J409">
        <v>12</v>
      </c>
      <c r="K409">
        <v>324000</v>
      </c>
      <c r="L409">
        <v>2</v>
      </c>
      <c r="M409">
        <v>5</v>
      </c>
      <c r="N409">
        <v>8100</v>
      </c>
      <c r="O409">
        <v>80</v>
      </c>
      <c r="P409">
        <v>5</v>
      </c>
      <c r="Q409">
        <v>3</v>
      </c>
      <c r="R409" t="s">
        <v>37</v>
      </c>
      <c r="S409" t="s">
        <v>38</v>
      </c>
      <c r="T409">
        <v>10</v>
      </c>
      <c r="U409">
        <v>2500</v>
      </c>
      <c r="V409" t="s">
        <v>58</v>
      </c>
      <c r="W409" t="s">
        <v>1077</v>
      </c>
      <c r="X409" t="s">
        <v>33</v>
      </c>
      <c r="Y409">
        <v>20</v>
      </c>
    </row>
    <row r="410" spans="1:25">
      <c r="A410" t="s">
        <v>859</v>
      </c>
      <c r="B410" t="s">
        <v>860</v>
      </c>
      <c r="C410">
        <v>25</v>
      </c>
      <c r="D410" t="s">
        <v>25</v>
      </c>
      <c r="E410" t="s">
        <v>57</v>
      </c>
      <c r="F410" t="s">
        <v>31</v>
      </c>
      <c r="G410" t="s">
        <v>43</v>
      </c>
      <c r="H410" t="s">
        <v>1060</v>
      </c>
      <c r="I410">
        <v>24000</v>
      </c>
      <c r="J410">
        <v>12</v>
      </c>
      <c r="K410">
        <v>288000</v>
      </c>
      <c r="L410">
        <v>1</v>
      </c>
      <c r="M410">
        <v>1</v>
      </c>
      <c r="N410" t="s">
        <v>1077</v>
      </c>
      <c r="O410">
        <v>90</v>
      </c>
      <c r="P410">
        <v>5</v>
      </c>
      <c r="Q410">
        <v>2</v>
      </c>
      <c r="S410" t="s">
        <v>38</v>
      </c>
      <c r="T410">
        <v>20</v>
      </c>
      <c r="U410">
        <v>5000</v>
      </c>
      <c r="V410" t="s">
        <v>39</v>
      </c>
      <c r="W410" t="s">
        <v>1077</v>
      </c>
      <c r="X410" t="s">
        <v>33</v>
      </c>
      <c r="Y410">
        <v>13</v>
      </c>
    </row>
    <row r="411" spans="1:25">
      <c r="A411" t="s">
        <v>861</v>
      </c>
      <c r="B411" t="s">
        <v>862</v>
      </c>
      <c r="C411">
        <v>40</v>
      </c>
      <c r="D411" t="s">
        <v>25</v>
      </c>
      <c r="E411" t="s">
        <v>26</v>
      </c>
      <c r="F411" t="s">
        <v>42</v>
      </c>
      <c r="G411" t="s">
        <v>1045</v>
      </c>
      <c r="H411" t="s">
        <v>1060</v>
      </c>
      <c r="I411">
        <v>75000</v>
      </c>
      <c r="J411">
        <v>12</v>
      </c>
      <c r="K411">
        <v>900000</v>
      </c>
      <c r="L411">
        <v>5</v>
      </c>
      <c r="M411">
        <v>1</v>
      </c>
      <c r="N411" t="s">
        <v>1077</v>
      </c>
      <c r="O411">
        <v>90</v>
      </c>
      <c r="P411">
        <v>5</v>
      </c>
      <c r="Q411">
        <v>13</v>
      </c>
      <c r="S411" t="s">
        <v>19</v>
      </c>
      <c r="T411">
        <v>10</v>
      </c>
      <c r="U411">
        <v>3000</v>
      </c>
      <c r="V411" t="s">
        <v>39</v>
      </c>
      <c r="W411" t="s">
        <v>1077</v>
      </c>
      <c r="X411" t="s">
        <v>20</v>
      </c>
      <c r="Y411">
        <v>14</v>
      </c>
    </row>
    <row r="412" spans="1:25">
      <c r="A412" t="s">
        <v>863</v>
      </c>
      <c r="B412" t="s">
        <v>864</v>
      </c>
      <c r="C412">
        <v>32</v>
      </c>
      <c r="D412" t="s">
        <v>25</v>
      </c>
      <c r="E412" t="s">
        <v>64</v>
      </c>
      <c r="F412" t="s">
        <v>36</v>
      </c>
      <c r="G412" t="s">
        <v>82</v>
      </c>
      <c r="H412" t="s">
        <v>1060</v>
      </c>
      <c r="I412">
        <v>83000</v>
      </c>
      <c r="J412">
        <v>12</v>
      </c>
      <c r="K412">
        <v>996000</v>
      </c>
      <c r="L412">
        <v>7</v>
      </c>
      <c r="M412">
        <v>2</v>
      </c>
      <c r="N412" t="s">
        <v>1077</v>
      </c>
      <c r="O412">
        <v>90</v>
      </c>
      <c r="P412">
        <v>10</v>
      </c>
      <c r="Q412">
        <v>3</v>
      </c>
      <c r="R412" t="s">
        <v>21</v>
      </c>
      <c r="S412" t="s">
        <v>38</v>
      </c>
      <c r="U412">
        <v>0</v>
      </c>
      <c r="V412" t="s">
        <v>39</v>
      </c>
      <c r="W412" t="s">
        <v>1077</v>
      </c>
      <c r="X412" t="s">
        <v>20</v>
      </c>
      <c r="Y412">
        <v>25</v>
      </c>
    </row>
    <row r="413" spans="1:25">
      <c r="A413" t="s">
        <v>865</v>
      </c>
      <c r="B413" t="s">
        <v>866</v>
      </c>
      <c r="C413">
        <v>23</v>
      </c>
      <c r="D413" t="s">
        <v>46</v>
      </c>
      <c r="E413" t="s">
        <v>35</v>
      </c>
      <c r="F413" t="s">
        <v>42</v>
      </c>
      <c r="G413" t="s">
        <v>43</v>
      </c>
      <c r="H413" t="s">
        <v>1060</v>
      </c>
      <c r="I413">
        <v>27000</v>
      </c>
      <c r="J413">
        <v>12</v>
      </c>
      <c r="K413">
        <v>324000</v>
      </c>
      <c r="L413">
        <v>2</v>
      </c>
      <c r="M413">
        <v>4</v>
      </c>
      <c r="N413">
        <v>8100</v>
      </c>
      <c r="O413">
        <v>90</v>
      </c>
      <c r="P413">
        <v>10</v>
      </c>
      <c r="Q413">
        <v>5</v>
      </c>
      <c r="S413" t="s">
        <v>38</v>
      </c>
      <c r="T413">
        <v>5</v>
      </c>
      <c r="U413">
        <v>1250</v>
      </c>
      <c r="V413" t="s">
        <v>22</v>
      </c>
      <c r="W413" t="s">
        <v>1077</v>
      </c>
      <c r="X413" t="s">
        <v>20</v>
      </c>
      <c r="Y413">
        <v>14</v>
      </c>
    </row>
    <row r="414" spans="1:25">
      <c r="A414" t="s">
        <v>867</v>
      </c>
      <c r="B414" t="s">
        <v>868</v>
      </c>
      <c r="C414">
        <v>32</v>
      </c>
      <c r="D414" t="s">
        <v>46</v>
      </c>
      <c r="E414" t="s">
        <v>47</v>
      </c>
      <c r="F414" t="s">
        <v>18</v>
      </c>
      <c r="G414" t="s">
        <v>82</v>
      </c>
      <c r="H414" t="s">
        <v>1059</v>
      </c>
      <c r="I414">
        <v>84000</v>
      </c>
      <c r="J414">
        <v>12</v>
      </c>
      <c r="K414">
        <v>1008000</v>
      </c>
      <c r="L414">
        <v>7</v>
      </c>
      <c r="M414">
        <v>4</v>
      </c>
      <c r="N414">
        <v>25200</v>
      </c>
      <c r="O414">
        <v>88</v>
      </c>
      <c r="P414">
        <v>10</v>
      </c>
      <c r="Q414">
        <v>5</v>
      </c>
      <c r="R414" t="s">
        <v>37</v>
      </c>
      <c r="S414" t="s">
        <v>28</v>
      </c>
      <c r="T414">
        <v>20</v>
      </c>
      <c r="U414">
        <v>7000</v>
      </c>
      <c r="V414" t="s">
        <v>58</v>
      </c>
      <c r="W414" t="s">
        <v>1077</v>
      </c>
      <c r="X414" t="s">
        <v>20</v>
      </c>
      <c r="Y414">
        <v>10</v>
      </c>
    </row>
    <row r="415" spans="1:25">
      <c r="A415" t="s">
        <v>869</v>
      </c>
      <c r="B415" t="s">
        <v>870</v>
      </c>
      <c r="C415">
        <v>23</v>
      </c>
      <c r="D415" t="s">
        <v>46</v>
      </c>
      <c r="E415" t="s">
        <v>73</v>
      </c>
      <c r="F415" t="s">
        <v>27</v>
      </c>
      <c r="G415" t="s">
        <v>43</v>
      </c>
      <c r="H415" t="s">
        <v>1060</v>
      </c>
      <c r="I415">
        <v>27000</v>
      </c>
      <c r="J415">
        <v>12</v>
      </c>
      <c r="K415">
        <v>324000</v>
      </c>
      <c r="L415">
        <v>2</v>
      </c>
      <c r="M415">
        <v>2</v>
      </c>
      <c r="N415" t="s">
        <v>1077</v>
      </c>
      <c r="O415">
        <v>88</v>
      </c>
      <c r="P415">
        <v>15</v>
      </c>
      <c r="Q415">
        <v>5</v>
      </c>
      <c r="S415" t="s">
        <v>38</v>
      </c>
      <c r="T415">
        <v>5</v>
      </c>
      <c r="U415">
        <v>1250</v>
      </c>
      <c r="V415" t="s">
        <v>39</v>
      </c>
      <c r="W415" t="s">
        <v>1077</v>
      </c>
      <c r="X415" t="s">
        <v>20</v>
      </c>
      <c r="Y415">
        <v>12</v>
      </c>
    </row>
    <row r="416" spans="1:25">
      <c r="A416" t="s">
        <v>871</v>
      </c>
      <c r="B416" t="s">
        <v>872</v>
      </c>
      <c r="C416">
        <v>23</v>
      </c>
      <c r="D416" t="s">
        <v>46</v>
      </c>
      <c r="E416" t="s">
        <v>17</v>
      </c>
      <c r="F416" t="s">
        <v>27</v>
      </c>
      <c r="G416" t="s">
        <v>43</v>
      </c>
      <c r="H416" t="s">
        <v>1060</v>
      </c>
      <c r="I416">
        <v>27000</v>
      </c>
      <c r="J416">
        <v>12</v>
      </c>
      <c r="K416">
        <v>324000</v>
      </c>
      <c r="L416">
        <v>2</v>
      </c>
      <c r="M416">
        <v>2</v>
      </c>
      <c r="N416" t="s">
        <v>1077</v>
      </c>
      <c r="O416">
        <v>80</v>
      </c>
      <c r="P416">
        <v>10</v>
      </c>
      <c r="Q416">
        <v>3</v>
      </c>
      <c r="R416" t="s">
        <v>21</v>
      </c>
      <c r="S416" t="s">
        <v>38</v>
      </c>
      <c r="U416">
        <v>0</v>
      </c>
      <c r="V416" t="s">
        <v>39</v>
      </c>
      <c r="W416" t="s">
        <v>1077</v>
      </c>
      <c r="X416" t="s">
        <v>20</v>
      </c>
      <c r="Y416">
        <v>12</v>
      </c>
    </row>
    <row r="417" spans="1:25">
      <c r="A417" t="s">
        <v>873</v>
      </c>
      <c r="B417" t="s">
        <v>874</v>
      </c>
      <c r="C417">
        <v>25</v>
      </c>
      <c r="D417" t="s">
        <v>46</v>
      </c>
      <c r="E417" t="s">
        <v>50</v>
      </c>
      <c r="F417" t="s">
        <v>36</v>
      </c>
      <c r="G417" t="s">
        <v>43</v>
      </c>
      <c r="H417" t="s">
        <v>1060</v>
      </c>
      <c r="I417">
        <v>24000</v>
      </c>
      <c r="J417">
        <v>12</v>
      </c>
      <c r="K417">
        <v>288000</v>
      </c>
      <c r="L417">
        <v>1</v>
      </c>
      <c r="M417">
        <v>2</v>
      </c>
      <c r="N417" t="s">
        <v>1077</v>
      </c>
      <c r="O417">
        <v>80</v>
      </c>
      <c r="P417">
        <v>13</v>
      </c>
      <c r="Q417">
        <v>1</v>
      </c>
      <c r="S417" t="s">
        <v>38</v>
      </c>
      <c r="T417">
        <v>10</v>
      </c>
      <c r="U417">
        <v>2500</v>
      </c>
      <c r="V417" t="s">
        <v>39</v>
      </c>
      <c r="W417" t="s">
        <v>1077</v>
      </c>
      <c r="X417" t="s">
        <v>20</v>
      </c>
      <c r="Y417">
        <v>25</v>
      </c>
    </row>
    <row r="418" spans="1:25">
      <c r="A418" t="s">
        <v>875</v>
      </c>
      <c r="B418" t="s">
        <v>876</v>
      </c>
      <c r="C418">
        <v>23</v>
      </c>
      <c r="D418" t="s">
        <v>46</v>
      </c>
      <c r="E418" t="s">
        <v>50</v>
      </c>
      <c r="F418" t="s">
        <v>18</v>
      </c>
      <c r="G418" t="s">
        <v>43</v>
      </c>
      <c r="H418" t="s">
        <v>1060</v>
      </c>
      <c r="I418">
        <v>22000</v>
      </c>
      <c r="J418">
        <v>12</v>
      </c>
      <c r="K418">
        <v>264000</v>
      </c>
      <c r="L418">
        <v>1</v>
      </c>
      <c r="M418">
        <v>1</v>
      </c>
      <c r="N418" t="s">
        <v>1077</v>
      </c>
      <c r="O418">
        <v>80</v>
      </c>
      <c r="P418">
        <v>10</v>
      </c>
      <c r="Q418">
        <v>5</v>
      </c>
      <c r="S418" t="s">
        <v>38</v>
      </c>
      <c r="T418">
        <v>10</v>
      </c>
      <c r="U418">
        <v>2500</v>
      </c>
      <c r="V418" t="s">
        <v>39</v>
      </c>
      <c r="W418" t="s">
        <v>1077</v>
      </c>
      <c r="X418" t="s">
        <v>20</v>
      </c>
      <c r="Y418">
        <v>10</v>
      </c>
    </row>
    <row r="419" spans="1:25">
      <c r="A419" t="s">
        <v>877</v>
      </c>
      <c r="B419" t="s">
        <v>878</v>
      </c>
      <c r="C419">
        <v>23</v>
      </c>
      <c r="D419" t="s">
        <v>46</v>
      </c>
      <c r="E419" t="s">
        <v>17</v>
      </c>
      <c r="F419" t="s">
        <v>18</v>
      </c>
      <c r="G419" t="s">
        <v>43</v>
      </c>
      <c r="H419" t="s">
        <v>1060</v>
      </c>
      <c r="I419">
        <v>27000</v>
      </c>
      <c r="J419">
        <v>12</v>
      </c>
      <c r="K419">
        <v>324000</v>
      </c>
      <c r="L419">
        <v>2</v>
      </c>
      <c r="M419">
        <v>1</v>
      </c>
      <c r="N419" t="s">
        <v>1077</v>
      </c>
      <c r="O419">
        <v>85</v>
      </c>
      <c r="P419">
        <v>13</v>
      </c>
      <c r="Q419">
        <v>3</v>
      </c>
      <c r="S419" t="s">
        <v>38</v>
      </c>
      <c r="U419">
        <v>0</v>
      </c>
      <c r="V419" t="s">
        <v>39</v>
      </c>
      <c r="W419" t="s">
        <v>1077</v>
      </c>
      <c r="X419" t="s">
        <v>20</v>
      </c>
      <c r="Y419">
        <v>10</v>
      </c>
    </row>
    <row r="420" spans="1:25">
      <c r="A420" t="s">
        <v>879</v>
      </c>
      <c r="B420" t="s">
        <v>880</v>
      </c>
      <c r="C420">
        <v>27</v>
      </c>
      <c r="D420" t="s">
        <v>46</v>
      </c>
      <c r="E420" t="s">
        <v>57</v>
      </c>
      <c r="F420" t="s">
        <v>36</v>
      </c>
      <c r="G420" t="s">
        <v>1048</v>
      </c>
      <c r="H420" t="s">
        <v>1060</v>
      </c>
      <c r="I420">
        <v>65000</v>
      </c>
      <c r="J420">
        <v>12</v>
      </c>
      <c r="K420">
        <v>780000</v>
      </c>
      <c r="L420">
        <v>5</v>
      </c>
      <c r="M420">
        <v>3</v>
      </c>
      <c r="N420">
        <v>19500</v>
      </c>
      <c r="O420">
        <v>85</v>
      </c>
      <c r="P420">
        <v>13</v>
      </c>
      <c r="Q420">
        <v>5</v>
      </c>
      <c r="R420" t="s">
        <v>37</v>
      </c>
      <c r="S420" t="s">
        <v>28</v>
      </c>
      <c r="T420">
        <v>10</v>
      </c>
      <c r="U420">
        <v>3000</v>
      </c>
      <c r="V420" t="s">
        <v>22</v>
      </c>
      <c r="W420" t="s">
        <v>1077</v>
      </c>
      <c r="X420" t="s">
        <v>20</v>
      </c>
      <c r="Y420">
        <v>25</v>
      </c>
    </row>
    <row r="421" spans="1:25">
      <c r="A421" t="s">
        <v>881</v>
      </c>
      <c r="B421" t="s">
        <v>882</v>
      </c>
      <c r="C421">
        <v>23</v>
      </c>
      <c r="D421" t="s">
        <v>25</v>
      </c>
      <c r="E421" t="s">
        <v>26</v>
      </c>
      <c r="F421" t="s">
        <v>18</v>
      </c>
      <c r="G421" t="s">
        <v>43</v>
      </c>
      <c r="H421" t="s">
        <v>1060</v>
      </c>
      <c r="I421">
        <v>27000</v>
      </c>
      <c r="J421">
        <v>12</v>
      </c>
      <c r="K421">
        <v>324000</v>
      </c>
      <c r="L421">
        <v>2</v>
      </c>
      <c r="M421">
        <v>5</v>
      </c>
      <c r="N421">
        <v>8100</v>
      </c>
      <c r="O421">
        <v>80</v>
      </c>
      <c r="P421">
        <v>13</v>
      </c>
      <c r="Q421">
        <v>1</v>
      </c>
      <c r="S421" t="s">
        <v>38</v>
      </c>
      <c r="U421">
        <v>0</v>
      </c>
      <c r="V421" t="s">
        <v>58</v>
      </c>
      <c r="W421" t="s">
        <v>1077</v>
      </c>
      <c r="X421" t="s">
        <v>20</v>
      </c>
      <c r="Y421">
        <v>10</v>
      </c>
    </row>
    <row r="422" spans="1:25">
      <c r="A422" t="s">
        <v>883</v>
      </c>
      <c r="B422" t="s">
        <v>884</v>
      </c>
      <c r="C422">
        <v>25</v>
      </c>
      <c r="D422" t="s">
        <v>46</v>
      </c>
      <c r="E422" t="s">
        <v>64</v>
      </c>
      <c r="F422" t="s">
        <v>42</v>
      </c>
      <c r="G422" t="s">
        <v>43</v>
      </c>
      <c r="H422" t="s">
        <v>1060</v>
      </c>
      <c r="I422">
        <v>27000</v>
      </c>
      <c r="J422">
        <v>12</v>
      </c>
      <c r="K422">
        <v>324000</v>
      </c>
      <c r="L422">
        <v>2</v>
      </c>
      <c r="M422">
        <v>1</v>
      </c>
      <c r="N422" t="s">
        <v>1077</v>
      </c>
      <c r="O422">
        <v>80</v>
      </c>
      <c r="P422">
        <v>5</v>
      </c>
      <c r="Q422">
        <v>3</v>
      </c>
      <c r="R422" t="s">
        <v>37</v>
      </c>
      <c r="S422" t="s">
        <v>38</v>
      </c>
      <c r="T422">
        <v>5</v>
      </c>
      <c r="U422">
        <v>1250</v>
      </c>
      <c r="V422" t="s">
        <v>39</v>
      </c>
      <c r="W422" t="s">
        <v>1077</v>
      </c>
      <c r="X422" t="s">
        <v>20</v>
      </c>
      <c r="Y422">
        <v>14</v>
      </c>
    </row>
    <row r="423" spans="1:25">
      <c r="A423" t="s">
        <v>885</v>
      </c>
      <c r="B423" t="s">
        <v>886</v>
      </c>
      <c r="C423">
        <v>24</v>
      </c>
      <c r="D423" t="s">
        <v>1077</v>
      </c>
      <c r="E423" t="s">
        <v>17</v>
      </c>
      <c r="F423" t="s">
        <v>36</v>
      </c>
      <c r="G423" t="s">
        <v>43</v>
      </c>
      <c r="H423" t="s">
        <v>1060</v>
      </c>
      <c r="I423">
        <v>27000</v>
      </c>
      <c r="J423">
        <v>12</v>
      </c>
      <c r="K423">
        <v>324000</v>
      </c>
      <c r="L423">
        <v>2</v>
      </c>
      <c r="M423">
        <v>4</v>
      </c>
      <c r="N423">
        <v>8100</v>
      </c>
      <c r="O423">
        <v>88</v>
      </c>
      <c r="P423">
        <v>13</v>
      </c>
      <c r="Q423">
        <v>3</v>
      </c>
      <c r="R423" t="s">
        <v>37</v>
      </c>
      <c r="S423" t="s">
        <v>38</v>
      </c>
      <c r="T423">
        <v>5</v>
      </c>
      <c r="U423">
        <v>1250</v>
      </c>
      <c r="V423" t="s">
        <v>22</v>
      </c>
      <c r="W423" t="s">
        <v>1077</v>
      </c>
      <c r="X423" t="s">
        <v>20</v>
      </c>
      <c r="Y423">
        <v>25</v>
      </c>
    </row>
    <row r="424" spans="1:25">
      <c r="A424" t="s">
        <v>887</v>
      </c>
      <c r="B424" t="s">
        <v>888</v>
      </c>
      <c r="C424">
        <v>24</v>
      </c>
      <c r="D424" t="s">
        <v>25</v>
      </c>
      <c r="E424" t="s">
        <v>61</v>
      </c>
      <c r="F424" t="s">
        <v>66</v>
      </c>
      <c r="G424" t="s">
        <v>1048</v>
      </c>
      <c r="H424" t="s">
        <v>1060</v>
      </c>
      <c r="I424">
        <v>70000</v>
      </c>
      <c r="J424">
        <v>12</v>
      </c>
      <c r="K424">
        <v>840000</v>
      </c>
      <c r="L424">
        <v>5</v>
      </c>
      <c r="M424">
        <v>4</v>
      </c>
      <c r="N424">
        <v>21000</v>
      </c>
      <c r="O424">
        <v>90</v>
      </c>
      <c r="P424">
        <v>13</v>
      </c>
      <c r="Q424">
        <v>3</v>
      </c>
      <c r="R424" t="s">
        <v>21</v>
      </c>
      <c r="S424" t="s">
        <v>38</v>
      </c>
      <c r="T424">
        <v>5</v>
      </c>
      <c r="U424">
        <v>1500</v>
      </c>
      <c r="V424" t="s">
        <v>58</v>
      </c>
      <c r="W424" t="s">
        <v>1077</v>
      </c>
      <c r="X424" t="s">
        <v>33</v>
      </c>
      <c r="Y424">
        <v>20</v>
      </c>
    </row>
    <row r="425" spans="1:25">
      <c r="A425" t="s">
        <v>889</v>
      </c>
      <c r="B425" t="s">
        <v>890</v>
      </c>
      <c r="C425">
        <v>23</v>
      </c>
      <c r="D425" t="s">
        <v>46</v>
      </c>
      <c r="E425" t="s">
        <v>35</v>
      </c>
      <c r="F425" t="s">
        <v>18</v>
      </c>
      <c r="G425" t="s">
        <v>43</v>
      </c>
      <c r="H425" t="s">
        <v>1060</v>
      </c>
      <c r="I425">
        <v>23000</v>
      </c>
      <c r="J425">
        <v>12</v>
      </c>
      <c r="K425">
        <v>276000</v>
      </c>
      <c r="L425">
        <v>1</v>
      </c>
      <c r="M425">
        <v>4</v>
      </c>
      <c r="N425">
        <v>6900</v>
      </c>
      <c r="O425">
        <v>85</v>
      </c>
      <c r="P425">
        <v>15</v>
      </c>
      <c r="Q425">
        <v>3</v>
      </c>
      <c r="R425" t="s">
        <v>21</v>
      </c>
      <c r="S425" t="s">
        <v>38</v>
      </c>
      <c r="U425">
        <v>0</v>
      </c>
      <c r="V425" t="s">
        <v>22</v>
      </c>
      <c r="W425" t="s">
        <v>1077</v>
      </c>
      <c r="X425" t="s">
        <v>20</v>
      </c>
      <c r="Y425">
        <v>10</v>
      </c>
    </row>
    <row r="426" spans="1:25">
      <c r="A426" t="s">
        <v>891</v>
      </c>
      <c r="B426" t="s">
        <v>892</v>
      </c>
      <c r="C426">
        <v>27</v>
      </c>
      <c r="D426" t="s">
        <v>25</v>
      </c>
      <c r="E426" t="s">
        <v>26</v>
      </c>
      <c r="F426" t="s">
        <v>42</v>
      </c>
      <c r="G426" t="s">
        <v>1045</v>
      </c>
      <c r="H426" t="s">
        <v>1059</v>
      </c>
      <c r="I426">
        <v>71000</v>
      </c>
      <c r="J426">
        <v>12</v>
      </c>
      <c r="K426">
        <v>852000</v>
      </c>
      <c r="L426">
        <v>6</v>
      </c>
      <c r="M426">
        <v>4</v>
      </c>
      <c r="N426">
        <v>21300</v>
      </c>
      <c r="O426">
        <v>95</v>
      </c>
      <c r="P426">
        <v>15</v>
      </c>
      <c r="Q426">
        <v>1</v>
      </c>
      <c r="S426" t="s">
        <v>28</v>
      </c>
      <c r="T426">
        <v>10</v>
      </c>
      <c r="U426">
        <v>3000</v>
      </c>
      <c r="V426" t="s">
        <v>22</v>
      </c>
      <c r="W426" t="s">
        <v>1077</v>
      </c>
      <c r="X426" t="s">
        <v>20</v>
      </c>
      <c r="Y426">
        <v>14</v>
      </c>
    </row>
    <row r="427" spans="1:25">
      <c r="A427" t="s">
        <v>893</v>
      </c>
      <c r="B427" t="s">
        <v>894</v>
      </c>
      <c r="C427">
        <v>24</v>
      </c>
      <c r="D427" t="s">
        <v>46</v>
      </c>
      <c r="E427" t="s">
        <v>50</v>
      </c>
      <c r="F427" t="s">
        <v>36</v>
      </c>
      <c r="G427" t="s">
        <v>43</v>
      </c>
      <c r="H427" t="s">
        <v>1059</v>
      </c>
      <c r="I427">
        <v>27000</v>
      </c>
      <c r="J427">
        <v>12</v>
      </c>
      <c r="K427">
        <v>324000</v>
      </c>
      <c r="L427">
        <v>2</v>
      </c>
      <c r="M427">
        <v>3</v>
      </c>
      <c r="N427">
        <v>8100</v>
      </c>
      <c r="O427">
        <v>88</v>
      </c>
      <c r="P427">
        <v>15</v>
      </c>
      <c r="Q427">
        <v>7</v>
      </c>
      <c r="R427" t="s">
        <v>21</v>
      </c>
      <c r="S427" t="s">
        <v>28</v>
      </c>
      <c r="U427">
        <v>0</v>
      </c>
      <c r="V427" t="s">
        <v>22</v>
      </c>
      <c r="W427" t="s">
        <v>1077</v>
      </c>
      <c r="X427" t="s">
        <v>20</v>
      </c>
      <c r="Y427">
        <v>25</v>
      </c>
    </row>
    <row r="428" spans="1:25">
      <c r="A428" t="s">
        <v>895</v>
      </c>
      <c r="B428" t="s">
        <v>896</v>
      </c>
      <c r="C428">
        <v>23</v>
      </c>
      <c r="D428" t="s">
        <v>25</v>
      </c>
      <c r="E428" t="s">
        <v>35</v>
      </c>
      <c r="F428" t="s">
        <v>36</v>
      </c>
      <c r="G428" t="s">
        <v>43</v>
      </c>
      <c r="H428" t="s">
        <v>1060</v>
      </c>
      <c r="I428">
        <v>26000</v>
      </c>
      <c r="J428">
        <v>12</v>
      </c>
      <c r="K428">
        <v>312000</v>
      </c>
      <c r="L428">
        <v>2</v>
      </c>
      <c r="M428">
        <v>1</v>
      </c>
      <c r="N428" t="s">
        <v>1077</v>
      </c>
      <c r="O428">
        <v>80</v>
      </c>
      <c r="P428">
        <v>15</v>
      </c>
      <c r="Q428">
        <v>5</v>
      </c>
      <c r="R428" t="s">
        <v>37</v>
      </c>
      <c r="S428" t="s">
        <v>38</v>
      </c>
      <c r="T428">
        <v>5</v>
      </c>
      <c r="U428">
        <v>1250</v>
      </c>
      <c r="V428" t="s">
        <v>39</v>
      </c>
      <c r="W428" t="s">
        <v>1077</v>
      </c>
      <c r="X428" t="s">
        <v>20</v>
      </c>
      <c r="Y428">
        <v>25</v>
      </c>
    </row>
    <row r="429" spans="1:25">
      <c r="A429" t="s">
        <v>897</v>
      </c>
      <c r="B429" t="s">
        <v>898</v>
      </c>
      <c r="C429">
        <v>25</v>
      </c>
      <c r="D429" t="s">
        <v>25</v>
      </c>
      <c r="E429" t="s">
        <v>57</v>
      </c>
      <c r="F429" t="s">
        <v>31</v>
      </c>
      <c r="G429" t="s">
        <v>43</v>
      </c>
      <c r="H429" t="s">
        <v>1060</v>
      </c>
      <c r="I429">
        <v>26000</v>
      </c>
      <c r="J429">
        <v>12</v>
      </c>
      <c r="K429">
        <v>312000</v>
      </c>
      <c r="L429">
        <v>2</v>
      </c>
      <c r="M429">
        <v>1</v>
      </c>
      <c r="N429" t="s">
        <v>1077</v>
      </c>
      <c r="O429">
        <v>95</v>
      </c>
      <c r="P429">
        <v>13</v>
      </c>
      <c r="Q429">
        <v>3</v>
      </c>
      <c r="S429" t="s">
        <v>38</v>
      </c>
      <c r="T429">
        <v>5</v>
      </c>
      <c r="U429">
        <v>1250</v>
      </c>
      <c r="V429" t="s">
        <v>39</v>
      </c>
      <c r="W429" t="s">
        <v>1077</v>
      </c>
      <c r="X429" t="s">
        <v>33</v>
      </c>
      <c r="Y429">
        <v>13</v>
      </c>
    </row>
    <row r="430" spans="1:25">
      <c r="A430" t="s">
        <v>899</v>
      </c>
      <c r="B430" t="s">
        <v>900</v>
      </c>
      <c r="C430">
        <v>31</v>
      </c>
      <c r="D430" t="s">
        <v>1077</v>
      </c>
      <c r="E430" t="s">
        <v>73</v>
      </c>
      <c r="F430" t="s">
        <v>66</v>
      </c>
      <c r="G430" t="s">
        <v>82</v>
      </c>
      <c r="H430" t="s">
        <v>1060</v>
      </c>
      <c r="I430">
        <v>84000</v>
      </c>
      <c r="J430">
        <v>12</v>
      </c>
      <c r="K430">
        <v>1008000</v>
      </c>
      <c r="L430">
        <v>9</v>
      </c>
      <c r="M430">
        <v>4</v>
      </c>
      <c r="N430">
        <v>25200</v>
      </c>
      <c r="O430">
        <v>80</v>
      </c>
      <c r="P430">
        <v>15</v>
      </c>
      <c r="Q430">
        <v>2</v>
      </c>
      <c r="R430" t="s">
        <v>37</v>
      </c>
      <c r="S430" t="s">
        <v>38</v>
      </c>
      <c r="T430">
        <v>10</v>
      </c>
      <c r="U430">
        <v>3500</v>
      </c>
      <c r="V430" t="s">
        <v>22</v>
      </c>
      <c r="W430" t="s">
        <v>1077</v>
      </c>
      <c r="X430" t="s">
        <v>33</v>
      </c>
      <c r="Y430">
        <v>20</v>
      </c>
    </row>
    <row r="431" spans="1:25">
      <c r="A431" t="s">
        <v>901</v>
      </c>
      <c r="B431" t="s">
        <v>902</v>
      </c>
      <c r="C431">
        <v>25</v>
      </c>
      <c r="D431" t="s">
        <v>46</v>
      </c>
      <c r="E431" t="s">
        <v>17</v>
      </c>
      <c r="F431" t="s">
        <v>42</v>
      </c>
      <c r="G431" t="s">
        <v>43</v>
      </c>
      <c r="H431" t="s">
        <v>1060</v>
      </c>
      <c r="I431">
        <v>27500</v>
      </c>
      <c r="J431">
        <v>12</v>
      </c>
      <c r="K431">
        <v>330000</v>
      </c>
      <c r="L431">
        <v>2</v>
      </c>
      <c r="M431">
        <v>2</v>
      </c>
      <c r="N431" t="s">
        <v>1077</v>
      </c>
      <c r="O431">
        <v>90</v>
      </c>
      <c r="P431">
        <v>15</v>
      </c>
      <c r="Q431">
        <v>2</v>
      </c>
      <c r="R431" t="s">
        <v>37</v>
      </c>
      <c r="S431" t="s">
        <v>38</v>
      </c>
      <c r="T431">
        <v>20</v>
      </c>
      <c r="U431">
        <v>5000</v>
      </c>
      <c r="V431" t="s">
        <v>39</v>
      </c>
      <c r="W431" t="s">
        <v>1077</v>
      </c>
      <c r="X431" t="s">
        <v>20</v>
      </c>
      <c r="Y431">
        <v>14</v>
      </c>
    </row>
    <row r="432" spans="1:25">
      <c r="A432" t="s">
        <v>903</v>
      </c>
      <c r="B432" t="s">
        <v>904</v>
      </c>
      <c r="C432">
        <v>24</v>
      </c>
      <c r="D432" t="s">
        <v>25</v>
      </c>
      <c r="E432" t="s">
        <v>50</v>
      </c>
      <c r="F432" t="s">
        <v>31</v>
      </c>
      <c r="G432" t="s">
        <v>43</v>
      </c>
      <c r="H432" t="s">
        <v>1060</v>
      </c>
      <c r="I432">
        <v>24000</v>
      </c>
      <c r="J432">
        <v>12</v>
      </c>
      <c r="K432">
        <v>288000</v>
      </c>
      <c r="L432">
        <v>1</v>
      </c>
      <c r="M432">
        <v>1</v>
      </c>
      <c r="N432" t="s">
        <v>1077</v>
      </c>
      <c r="O432">
        <v>90</v>
      </c>
      <c r="P432">
        <v>5</v>
      </c>
      <c r="Q432">
        <v>3</v>
      </c>
      <c r="R432" t="s">
        <v>37</v>
      </c>
      <c r="S432" t="s">
        <v>19</v>
      </c>
      <c r="T432">
        <v>20</v>
      </c>
      <c r="U432">
        <v>5000</v>
      </c>
      <c r="V432" t="s">
        <v>39</v>
      </c>
      <c r="W432" t="s">
        <v>1077</v>
      </c>
      <c r="X432" t="s">
        <v>33</v>
      </c>
      <c r="Y432">
        <v>13</v>
      </c>
    </row>
    <row r="433" spans="1:25">
      <c r="A433" t="s">
        <v>905</v>
      </c>
      <c r="B433" t="s">
        <v>906</v>
      </c>
      <c r="C433">
        <v>27</v>
      </c>
      <c r="D433" t="s">
        <v>25</v>
      </c>
      <c r="E433" t="s">
        <v>47</v>
      </c>
      <c r="F433" t="s">
        <v>66</v>
      </c>
      <c r="G433" t="s">
        <v>1048</v>
      </c>
      <c r="H433" t="s">
        <v>1060</v>
      </c>
      <c r="I433">
        <v>56000</v>
      </c>
      <c r="J433">
        <v>12</v>
      </c>
      <c r="K433">
        <v>672000</v>
      </c>
      <c r="L433">
        <v>3</v>
      </c>
      <c r="M433">
        <v>3</v>
      </c>
      <c r="N433">
        <v>16800</v>
      </c>
      <c r="O433">
        <v>90</v>
      </c>
      <c r="P433">
        <v>15</v>
      </c>
      <c r="Q433">
        <v>5</v>
      </c>
      <c r="R433" t="s">
        <v>37</v>
      </c>
      <c r="S433" t="s">
        <v>28</v>
      </c>
      <c r="T433">
        <v>10</v>
      </c>
      <c r="U433">
        <v>3000</v>
      </c>
      <c r="V433" t="s">
        <v>22</v>
      </c>
      <c r="W433" t="s">
        <v>1077</v>
      </c>
      <c r="X433" t="s">
        <v>33</v>
      </c>
      <c r="Y433">
        <v>20</v>
      </c>
    </row>
    <row r="434" spans="1:25">
      <c r="A434" t="s">
        <v>907</v>
      </c>
      <c r="B434" t="s">
        <v>908</v>
      </c>
      <c r="C434">
        <v>23</v>
      </c>
      <c r="D434" t="s">
        <v>1077</v>
      </c>
      <c r="E434" t="s">
        <v>50</v>
      </c>
      <c r="F434" t="s">
        <v>27</v>
      </c>
      <c r="G434" t="s">
        <v>43</v>
      </c>
      <c r="H434" t="s">
        <v>1060</v>
      </c>
      <c r="I434">
        <v>27500</v>
      </c>
      <c r="J434">
        <v>12</v>
      </c>
      <c r="K434">
        <v>330000</v>
      </c>
      <c r="L434">
        <v>2</v>
      </c>
      <c r="M434">
        <v>1</v>
      </c>
      <c r="N434" t="s">
        <v>1077</v>
      </c>
      <c r="O434">
        <v>80</v>
      </c>
      <c r="P434">
        <v>5</v>
      </c>
      <c r="Q434">
        <v>5</v>
      </c>
      <c r="R434" t="s">
        <v>21</v>
      </c>
      <c r="S434" t="s">
        <v>38</v>
      </c>
      <c r="U434">
        <v>0</v>
      </c>
      <c r="V434" t="s">
        <v>39</v>
      </c>
      <c r="W434" t="s">
        <v>1077</v>
      </c>
      <c r="X434" t="s">
        <v>20</v>
      </c>
      <c r="Y434">
        <v>12</v>
      </c>
    </row>
    <row r="435" spans="1:25">
      <c r="A435" t="s">
        <v>909</v>
      </c>
      <c r="B435" t="s">
        <v>910</v>
      </c>
      <c r="C435">
        <v>24</v>
      </c>
      <c r="D435" t="s">
        <v>25</v>
      </c>
      <c r="E435" t="s">
        <v>50</v>
      </c>
      <c r="F435" t="s">
        <v>66</v>
      </c>
      <c r="G435" t="s">
        <v>43</v>
      </c>
      <c r="H435" t="s">
        <v>1060</v>
      </c>
      <c r="I435">
        <v>24000</v>
      </c>
      <c r="J435">
        <v>12</v>
      </c>
      <c r="K435">
        <v>288000</v>
      </c>
      <c r="L435">
        <v>1</v>
      </c>
      <c r="M435">
        <v>3</v>
      </c>
      <c r="N435">
        <v>7200</v>
      </c>
      <c r="O435">
        <v>85</v>
      </c>
      <c r="P435">
        <v>5</v>
      </c>
      <c r="Q435">
        <v>2</v>
      </c>
      <c r="S435" t="s">
        <v>19</v>
      </c>
      <c r="U435">
        <v>0</v>
      </c>
      <c r="V435" t="s">
        <v>22</v>
      </c>
      <c r="W435" t="s">
        <v>1077</v>
      </c>
      <c r="X435" t="s">
        <v>33</v>
      </c>
      <c r="Y435">
        <v>20</v>
      </c>
    </row>
    <row r="436" spans="1:25">
      <c r="A436" t="s">
        <v>911</v>
      </c>
      <c r="B436" t="s">
        <v>912</v>
      </c>
      <c r="C436">
        <v>32</v>
      </c>
      <c r="D436" t="s">
        <v>1077</v>
      </c>
      <c r="E436" t="s">
        <v>26</v>
      </c>
      <c r="F436" t="s">
        <v>42</v>
      </c>
      <c r="G436" t="s">
        <v>82</v>
      </c>
      <c r="H436" t="s">
        <v>1060</v>
      </c>
      <c r="I436">
        <v>84000</v>
      </c>
      <c r="J436">
        <v>12</v>
      </c>
      <c r="K436">
        <v>1008000</v>
      </c>
      <c r="L436">
        <v>7</v>
      </c>
      <c r="M436">
        <v>5</v>
      </c>
      <c r="N436">
        <v>25200</v>
      </c>
      <c r="O436">
        <v>88</v>
      </c>
      <c r="P436">
        <v>13</v>
      </c>
      <c r="Q436">
        <v>5</v>
      </c>
      <c r="R436" t="s">
        <v>21</v>
      </c>
      <c r="S436" t="s">
        <v>38</v>
      </c>
      <c r="U436">
        <v>0</v>
      </c>
      <c r="V436" t="s">
        <v>58</v>
      </c>
      <c r="W436" t="s">
        <v>1077</v>
      </c>
      <c r="X436" t="s">
        <v>20</v>
      </c>
      <c r="Y436">
        <v>14</v>
      </c>
    </row>
    <row r="437" spans="1:25">
      <c r="A437" t="s">
        <v>913</v>
      </c>
      <c r="B437" t="s">
        <v>914</v>
      </c>
      <c r="C437">
        <v>29</v>
      </c>
      <c r="D437" t="s">
        <v>46</v>
      </c>
      <c r="E437" t="s">
        <v>35</v>
      </c>
      <c r="F437" t="s">
        <v>31</v>
      </c>
      <c r="G437" t="s">
        <v>1045</v>
      </c>
      <c r="H437" t="s">
        <v>1060</v>
      </c>
      <c r="I437">
        <v>78000</v>
      </c>
      <c r="J437">
        <v>12</v>
      </c>
      <c r="K437">
        <v>936000</v>
      </c>
      <c r="L437">
        <v>7</v>
      </c>
      <c r="M437">
        <v>4</v>
      </c>
      <c r="N437">
        <v>23400</v>
      </c>
      <c r="O437">
        <v>85</v>
      </c>
      <c r="P437">
        <v>13</v>
      </c>
      <c r="Q437">
        <v>5</v>
      </c>
      <c r="R437" t="s">
        <v>37</v>
      </c>
      <c r="S437" t="s">
        <v>38</v>
      </c>
      <c r="T437">
        <v>5</v>
      </c>
      <c r="U437">
        <v>1500</v>
      </c>
      <c r="V437" t="s">
        <v>58</v>
      </c>
      <c r="W437" t="s">
        <v>1077</v>
      </c>
      <c r="X437" t="s">
        <v>33</v>
      </c>
      <c r="Y437">
        <v>13</v>
      </c>
    </row>
    <row r="438" spans="1:25">
      <c r="A438" t="s">
        <v>915</v>
      </c>
      <c r="B438" t="s">
        <v>916</v>
      </c>
      <c r="C438">
        <v>23</v>
      </c>
      <c r="D438" t="s">
        <v>46</v>
      </c>
      <c r="E438" t="s">
        <v>35</v>
      </c>
      <c r="F438" t="s">
        <v>36</v>
      </c>
      <c r="G438" t="s">
        <v>43</v>
      </c>
      <c r="H438" t="s">
        <v>1060</v>
      </c>
      <c r="I438">
        <v>27500</v>
      </c>
      <c r="J438">
        <v>12</v>
      </c>
      <c r="K438">
        <v>330000</v>
      </c>
      <c r="L438">
        <v>2</v>
      </c>
      <c r="M438">
        <v>3</v>
      </c>
      <c r="N438">
        <v>8250</v>
      </c>
      <c r="O438">
        <v>80</v>
      </c>
      <c r="P438">
        <v>13</v>
      </c>
      <c r="Q438">
        <v>5</v>
      </c>
      <c r="R438" t="s">
        <v>21</v>
      </c>
      <c r="S438" t="s">
        <v>38</v>
      </c>
      <c r="U438">
        <v>0</v>
      </c>
      <c r="V438" t="s">
        <v>22</v>
      </c>
      <c r="W438" t="s">
        <v>1077</v>
      </c>
      <c r="X438" t="s">
        <v>20</v>
      </c>
      <c r="Y438">
        <v>25</v>
      </c>
    </row>
    <row r="439" spans="1:25">
      <c r="A439" t="s">
        <v>917</v>
      </c>
      <c r="B439" t="s">
        <v>918</v>
      </c>
      <c r="C439">
        <v>24</v>
      </c>
      <c r="D439" t="s">
        <v>46</v>
      </c>
      <c r="E439" t="s">
        <v>65</v>
      </c>
      <c r="F439" t="s">
        <v>66</v>
      </c>
      <c r="G439" t="s">
        <v>43</v>
      </c>
      <c r="H439" t="s">
        <v>1060</v>
      </c>
      <c r="I439">
        <v>24000</v>
      </c>
      <c r="J439">
        <v>12</v>
      </c>
      <c r="K439">
        <v>288000</v>
      </c>
      <c r="L439">
        <v>1</v>
      </c>
      <c r="M439">
        <v>1</v>
      </c>
      <c r="N439" t="s">
        <v>1077</v>
      </c>
      <c r="O439">
        <v>80</v>
      </c>
      <c r="P439">
        <v>5</v>
      </c>
      <c r="Q439">
        <v>2</v>
      </c>
      <c r="S439" t="s">
        <v>38</v>
      </c>
      <c r="T439">
        <v>10</v>
      </c>
      <c r="U439">
        <v>2500</v>
      </c>
      <c r="V439" t="s">
        <v>39</v>
      </c>
      <c r="W439" t="s">
        <v>1077</v>
      </c>
      <c r="X439" t="s">
        <v>33</v>
      </c>
      <c r="Y439">
        <v>20</v>
      </c>
    </row>
    <row r="440" spans="1:25">
      <c r="A440" t="s">
        <v>919</v>
      </c>
      <c r="B440" t="s">
        <v>920</v>
      </c>
      <c r="C440">
        <v>23</v>
      </c>
      <c r="D440" t="s">
        <v>46</v>
      </c>
      <c r="E440" t="s">
        <v>64</v>
      </c>
      <c r="F440" t="s">
        <v>66</v>
      </c>
      <c r="G440" t="s">
        <v>43</v>
      </c>
      <c r="H440" t="s">
        <v>1060</v>
      </c>
      <c r="I440">
        <v>23500</v>
      </c>
      <c r="J440">
        <v>12</v>
      </c>
      <c r="K440">
        <v>282000</v>
      </c>
      <c r="L440">
        <v>1</v>
      </c>
      <c r="M440">
        <v>2</v>
      </c>
      <c r="N440" t="s">
        <v>1077</v>
      </c>
      <c r="O440">
        <v>95</v>
      </c>
      <c r="P440">
        <v>10</v>
      </c>
      <c r="Q440">
        <v>5</v>
      </c>
      <c r="R440" t="s">
        <v>21</v>
      </c>
      <c r="S440" t="s">
        <v>38</v>
      </c>
      <c r="U440">
        <v>0</v>
      </c>
      <c r="V440" t="s">
        <v>39</v>
      </c>
      <c r="W440" t="s">
        <v>1077</v>
      </c>
      <c r="X440" t="s">
        <v>33</v>
      </c>
      <c r="Y440">
        <v>20</v>
      </c>
    </row>
    <row r="441" spans="1:25">
      <c r="A441" t="s">
        <v>921</v>
      </c>
      <c r="B441" t="s">
        <v>922</v>
      </c>
      <c r="C441">
        <v>24</v>
      </c>
      <c r="D441" t="s">
        <v>46</v>
      </c>
      <c r="E441" t="s">
        <v>57</v>
      </c>
      <c r="F441" t="s">
        <v>42</v>
      </c>
      <c r="G441" t="s">
        <v>43</v>
      </c>
      <c r="H441" t="s">
        <v>1060</v>
      </c>
      <c r="I441">
        <v>24000</v>
      </c>
      <c r="J441">
        <v>12</v>
      </c>
      <c r="K441">
        <v>288000</v>
      </c>
      <c r="L441">
        <v>1</v>
      </c>
      <c r="M441">
        <v>1</v>
      </c>
      <c r="N441" t="s">
        <v>1077</v>
      </c>
      <c r="O441">
        <v>80</v>
      </c>
      <c r="P441">
        <v>15</v>
      </c>
      <c r="Q441">
        <v>5</v>
      </c>
      <c r="S441" t="s">
        <v>38</v>
      </c>
      <c r="T441">
        <v>20</v>
      </c>
      <c r="U441">
        <v>5000</v>
      </c>
      <c r="V441" t="s">
        <v>39</v>
      </c>
      <c r="W441" t="s">
        <v>1077</v>
      </c>
      <c r="X441" t="s">
        <v>20</v>
      </c>
      <c r="Y441">
        <v>14</v>
      </c>
    </row>
    <row r="442" spans="1:25">
      <c r="A442" t="s">
        <v>923</v>
      </c>
      <c r="B442" t="s">
        <v>924</v>
      </c>
      <c r="C442">
        <v>25</v>
      </c>
      <c r="D442" t="s">
        <v>46</v>
      </c>
      <c r="E442" t="s">
        <v>65</v>
      </c>
      <c r="F442" t="s">
        <v>36</v>
      </c>
      <c r="G442" t="s">
        <v>43</v>
      </c>
      <c r="H442" t="s">
        <v>1060</v>
      </c>
      <c r="I442">
        <v>27500</v>
      </c>
      <c r="J442">
        <v>12</v>
      </c>
      <c r="K442">
        <v>330000</v>
      </c>
      <c r="L442">
        <v>2</v>
      </c>
      <c r="M442">
        <v>2</v>
      </c>
      <c r="N442" t="s">
        <v>1077</v>
      </c>
      <c r="O442">
        <v>95</v>
      </c>
      <c r="P442">
        <v>23</v>
      </c>
      <c r="Q442">
        <v>4</v>
      </c>
      <c r="S442" t="s">
        <v>38</v>
      </c>
      <c r="U442">
        <v>0</v>
      </c>
      <c r="V442" t="s">
        <v>39</v>
      </c>
      <c r="W442" t="s">
        <v>1077</v>
      </c>
      <c r="X442" t="s">
        <v>20</v>
      </c>
      <c r="Y442">
        <v>25</v>
      </c>
    </row>
    <row r="443" spans="1:25">
      <c r="A443" t="s">
        <v>925</v>
      </c>
      <c r="B443" t="s">
        <v>926</v>
      </c>
      <c r="C443">
        <v>24</v>
      </c>
      <c r="D443" t="s">
        <v>46</v>
      </c>
      <c r="E443" t="s">
        <v>47</v>
      </c>
      <c r="F443" t="s">
        <v>36</v>
      </c>
      <c r="G443" t="s">
        <v>43</v>
      </c>
      <c r="H443" t="s">
        <v>1059</v>
      </c>
      <c r="I443">
        <v>24000</v>
      </c>
      <c r="J443">
        <v>12</v>
      </c>
      <c r="K443">
        <v>288000</v>
      </c>
      <c r="L443">
        <v>1</v>
      </c>
      <c r="M443">
        <v>1</v>
      </c>
      <c r="N443" t="s">
        <v>1077</v>
      </c>
      <c r="O443">
        <v>90</v>
      </c>
      <c r="P443">
        <v>23</v>
      </c>
      <c r="Q443">
        <v>12</v>
      </c>
      <c r="R443" t="s">
        <v>21</v>
      </c>
      <c r="S443" t="s">
        <v>28</v>
      </c>
      <c r="T443">
        <v>20</v>
      </c>
      <c r="U443">
        <v>5000</v>
      </c>
      <c r="V443" t="s">
        <v>39</v>
      </c>
      <c r="W443" t="s">
        <v>1077</v>
      </c>
      <c r="X443" t="s">
        <v>20</v>
      </c>
      <c r="Y443">
        <v>25</v>
      </c>
    </row>
    <row r="444" spans="1:25">
      <c r="A444" t="s">
        <v>927</v>
      </c>
      <c r="B444" t="s">
        <v>928</v>
      </c>
      <c r="C444">
        <v>30</v>
      </c>
      <c r="D444" t="s">
        <v>46</v>
      </c>
      <c r="E444" t="s">
        <v>64</v>
      </c>
      <c r="F444" t="s">
        <v>42</v>
      </c>
      <c r="G444" t="s">
        <v>1045</v>
      </c>
      <c r="H444" t="s">
        <v>1060</v>
      </c>
      <c r="I444">
        <v>78000</v>
      </c>
      <c r="J444">
        <v>12</v>
      </c>
      <c r="K444">
        <v>936000</v>
      </c>
      <c r="L444">
        <v>5</v>
      </c>
      <c r="M444">
        <v>4</v>
      </c>
      <c r="N444">
        <v>23400</v>
      </c>
      <c r="O444">
        <v>90</v>
      </c>
      <c r="P444">
        <v>5</v>
      </c>
      <c r="Q444">
        <v>6</v>
      </c>
      <c r="R444" t="s">
        <v>37</v>
      </c>
      <c r="S444" t="s">
        <v>28</v>
      </c>
      <c r="U444">
        <v>0</v>
      </c>
      <c r="V444" t="s">
        <v>58</v>
      </c>
      <c r="W444" t="s">
        <v>1077</v>
      </c>
      <c r="X444" t="s">
        <v>20</v>
      </c>
      <c r="Y444">
        <v>14</v>
      </c>
    </row>
    <row r="445" spans="1:25">
      <c r="A445" t="s">
        <v>929</v>
      </c>
      <c r="B445" t="s">
        <v>930</v>
      </c>
      <c r="C445">
        <v>23</v>
      </c>
      <c r="D445" t="s">
        <v>1077</v>
      </c>
      <c r="E445" t="s">
        <v>47</v>
      </c>
      <c r="F445" t="s">
        <v>31</v>
      </c>
      <c r="G445" t="s">
        <v>43</v>
      </c>
      <c r="H445" t="s">
        <v>1059</v>
      </c>
      <c r="I445">
        <v>26000</v>
      </c>
      <c r="J445">
        <v>12</v>
      </c>
      <c r="K445">
        <v>312000</v>
      </c>
      <c r="L445">
        <v>2</v>
      </c>
      <c r="M445">
        <v>4</v>
      </c>
      <c r="N445">
        <v>7800</v>
      </c>
      <c r="O445">
        <v>95</v>
      </c>
      <c r="P445">
        <v>15</v>
      </c>
      <c r="Q445">
        <v>5</v>
      </c>
      <c r="R445" t="s">
        <v>21</v>
      </c>
      <c r="S445" t="s">
        <v>28</v>
      </c>
      <c r="T445">
        <v>5</v>
      </c>
      <c r="U445">
        <v>1250</v>
      </c>
      <c r="V445" t="s">
        <v>58</v>
      </c>
      <c r="W445" t="s">
        <v>1077</v>
      </c>
      <c r="X445" t="s">
        <v>33</v>
      </c>
      <c r="Y445">
        <v>13</v>
      </c>
    </row>
    <row r="446" spans="1:25">
      <c r="A446" t="s">
        <v>931</v>
      </c>
      <c r="B446" t="s">
        <v>932</v>
      </c>
      <c r="C446">
        <v>24</v>
      </c>
      <c r="D446" t="s">
        <v>46</v>
      </c>
      <c r="E446" t="s">
        <v>61</v>
      </c>
      <c r="F446" t="s">
        <v>36</v>
      </c>
      <c r="G446" t="s">
        <v>43</v>
      </c>
      <c r="H446" t="s">
        <v>1060</v>
      </c>
      <c r="I446">
        <v>24000</v>
      </c>
      <c r="J446">
        <v>12</v>
      </c>
      <c r="K446">
        <v>288000</v>
      </c>
      <c r="L446">
        <v>1</v>
      </c>
      <c r="M446">
        <v>2</v>
      </c>
      <c r="N446" t="s">
        <v>1077</v>
      </c>
      <c r="O446">
        <v>85</v>
      </c>
      <c r="P446">
        <v>15</v>
      </c>
      <c r="Q446">
        <v>2</v>
      </c>
      <c r="R446" t="s">
        <v>37</v>
      </c>
      <c r="S446" t="s">
        <v>38</v>
      </c>
      <c r="T446">
        <v>10</v>
      </c>
      <c r="U446">
        <v>2500</v>
      </c>
      <c r="V446" t="s">
        <v>39</v>
      </c>
      <c r="W446" t="s">
        <v>1077</v>
      </c>
      <c r="X446" t="s">
        <v>20</v>
      </c>
      <c r="Y446">
        <v>25</v>
      </c>
    </row>
    <row r="447" spans="1:25">
      <c r="A447" t="s">
        <v>933</v>
      </c>
      <c r="B447" t="s">
        <v>934</v>
      </c>
      <c r="C447">
        <v>25</v>
      </c>
      <c r="D447" t="s">
        <v>25</v>
      </c>
      <c r="E447" t="s">
        <v>17</v>
      </c>
      <c r="F447" t="s">
        <v>31</v>
      </c>
      <c r="G447" t="s">
        <v>43</v>
      </c>
      <c r="H447" t="s">
        <v>1059</v>
      </c>
      <c r="I447">
        <v>24000</v>
      </c>
      <c r="J447">
        <v>12</v>
      </c>
      <c r="K447">
        <v>288000</v>
      </c>
      <c r="L447">
        <v>1</v>
      </c>
      <c r="M447">
        <v>1</v>
      </c>
      <c r="N447" t="s">
        <v>1077</v>
      </c>
      <c r="O447">
        <v>88</v>
      </c>
      <c r="P447">
        <v>5</v>
      </c>
      <c r="Q447">
        <v>5</v>
      </c>
      <c r="R447" t="s">
        <v>37</v>
      </c>
      <c r="S447" t="s">
        <v>28</v>
      </c>
      <c r="T447">
        <v>10</v>
      </c>
      <c r="U447">
        <v>2500</v>
      </c>
      <c r="V447" t="s">
        <v>39</v>
      </c>
      <c r="W447" t="s">
        <v>1077</v>
      </c>
      <c r="X447" t="s">
        <v>33</v>
      </c>
      <c r="Y447">
        <v>13</v>
      </c>
    </row>
    <row r="448" spans="1:25">
      <c r="A448" t="s">
        <v>935</v>
      </c>
      <c r="B448" t="s">
        <v>936</v>
      </c>
      <c r="C448">
        <v>25</v>
      </c>
      <c r="D448" t="s">
        <v>1077</v>
      </c>
      <c r="E448" t="s">
        <v>35</v>
      </c>
      <c r="F448" t="s">
        <v>66</v>
      </c>
      <c r="G448" t="s">
        <v>43</v>
      </c>
      <c r="H448" t="s">
        <v>1059</v>
      </c>
      <c r="I448">
        <v>27000</v>
      </c>
      <c r="J448">
        <v>12</v>
      </c>
      <c r="K448">
        <v>324000</v>
      </c>
      <c r="L448">
        <v>2</v>
      </c>
      <c r="M448">
        <v>3</v>
      </c>
      <c r="N448">
        <v>8100</v>
      </c>
      <c r="O448">
        <v>88</v>
      </c>
      <c r="P448">
        <v>10</v>
      </c>
      <c r="Q448">
        <v>1</v>
      </c>
      <c r="R448" t="s">
        <v>37</v>
      </c>
      <c r="S448" t="s">
        <v>28</v>
      </c>
      <c r="T448">
        <v>10</v>
      </c>
      <c r="U448">
        <v>2500</v>
      </c>
      <c r="V448" t="s">
        <v>22</v>
      </c>
      <c r="W448" t="s">
        <v>1077</v>
      </c>
      <c r="X448" t="s">
        <v>33</v>
      </c>
      <c r="Y448">
        <v>20</v>
      </c>
    </row>
    <row r="449" spans="1:25">
      <c r="A449" t="s">
        <v>937</v>
      </c>
      <c r="B449" t="s">
        <v>938</v>
      </c>
      <c r="C449">
        <v>35</v>
      </c>
      <c r="D449" t="s">
        <v>25</v>
      </c>
      <c r="E449" t="s">
        <v>26</v>
      </c>
      <c r="F449" t="s">
        <v>66</v>
      </c>
      <c r="G449" t="s">
        <v>82</v>
      </c>
      <c r="H449" t="s">
        <v>1060</v>
      </c>
      <c r="I449">
        <v>89000</v>
      </c>
      <c r="J449">
        <v>12</v>
      </c>
      <c r="K449">
        <v>1068000</v>
      </c>
      <c r="L449">
        <v>9</v>
      </c>
      <c r="M449">
        <v>1</v>
      </c>
      <c r="N449" t="s">
        <v>1077</v>
      </c>
      <c r="O449">
        <v>80</v>
      </c>
      <c r="P449">
        <v>10</v>
      </c>
      <c r="Q449">
        <v>4</v>
      </c>
      <c r="R449" t="s">
        <v>21</v>
      </c>
      <c r="S449" t="s">
        <v>38</v>
      </c>
      <c r="T449">
        <v>5</v>
      </c>
      <c r="U449">
        <v>1750</v>
      </c>
      <c r="V449" t="s">
        <v>39</v>
      </c>
      <c r="W449" t="s">
        <v>1077</v>
      </c>
      <c r="X449" t="s">
        <v>33</v>
      </c>
      <c r="Y449">
        <v>20</v>
      </c>
    </row>
    <row r="450" spans="1:25">
      <c r="A450" t="s">
        <v>939</v>
      </c>
      <c r="B450" t="s">
        <v>940</v>
      </c>
      <c r="C450">
        <v>25</v>
      </c>
      <c r="D450" t="s">
        <v>46</v>
      </c>
      <c r="E450" t="s">
        <v>73</v>
      </c>
      <c r="F450" t="s">
        <v>27</v>
      </c>
      <c r="G450" t="s">
        <v>43</v>
      </c>
      <c r="H450" t="s">
        <v>1060</v>
      </c>
      <c r="I450">
        <v>24333</v>
      </c>
      <c r="J450">
        <v>12</v>
      </c>
      <c r="K450">
        <v>291996</v>
      </c>
      <c r="L450">
        <v>1</v>
      </c>
      <c r="M450">
        <v>2</v>
      </c>
      <c r="N450" t="s">
        <v>1077</v>
      </c>
      <c r="O450">
        <v>80</v>
      </c>
      <c r="P450">
        <v>15</v>
      </c>
      <c r="Q450">
        <v>5</v>
      </c>
      <c r="S450" t="s">
        <v>38</v>
      </c>
      <c r="T450">
        <v>20</v>
      </c>
      <c r="U450">
        <v>5000</v>
      </c>
      <c r="V450" t="s">
        <v>39</v>
      </c>
      <c r="W450" t="s">
        <v>1077</v>
      </c>
      <c r="X450" t="s">
        <v>20</v>
      </c>
      <c r="Y450">
        <v>12</v>
      </c>
    </row>
    <row r="451" spans="1:25">
      <c r="A451" t="s">
        <v>941</v>
      </c>
      <c r="B451" t="s">
        <v>942</v>
      </c>
      <c r="C451">
        <v>23</v>
      </c>
      <c r="D451" t="s">
        <v>25</v>
      </c>
      <c r="E451" t="s">
        <v>47</v>
      </c>
      <c r="F451" t="s">
        <v>42</v>
      </c>
      <c r="G451" t="s">
        <v>43</v>
      </c>
      <c r="H451" t="s">
        <v>1060</v>
      </c>
      <c r="I451">
        <v>27000</v>
      </c>
      <c r="J451">
        <v>12</v>
      </c>
      <c r="K451">
        <v>324000</v>
      </c>
      <c r="L451">
        <v>2</v>
      </c>
      <c r="M451">
        <v>4</v>
      </c>
      <c r="N451">
        <v>8100</v>
      </c>
      <c r="O451">
        <v>85</v>
      </c>
      <c r="P451">
        <v>15</v>
      </c>
      <c r="Q451">
        <v>1</v>
      </c>
      <c r="R451" t="s">
        <v>21</v>
      </c>
      <c r="S451" t="s">
        <v>28</v>
      </c>
      <c r="T451">
        <v>20</v>
      </c>
      <c r="U451">
        <v>5000</v>
      </c>
      <c r="V451" t="s">
        <v>58</v>
      </c>
      <c r="W451" t="s">
        <v>1077</v>
      </c>
      <c r="X451" t="s">
        <v>20</v>
      </c>
      <c r="Y451">
        <v>14</v>
      </c>
    </row>
    <row r="452" spans="1:25">
      <c r="A452" t="s">
        <v>943</v>
      </c>
      <c r="B452" t="s">
        <v>944</v>
      </c>
      <c r="C452">
        <v>24</v>
      </c>
      <c r="D452" t="s">
        <v>1077</v>
      </c>
      <c r="E452" t="s">
        <v>26</v>
      </c>
      <c r="F452" t="s">
        <v>31</v>
      </c>
      <c r="G452" t="s">
        <v>1048</v>
      </c>
      <c r="H452" t="s">
        <v>1060</v>
      </c>
      <c r="I452">
        <v>56000</v>
      </c>
      <c r="J452">
        <v>12</v>
      </c>
      <c r="K452">
        <v>672000</v>
      </c>
      <c r="L452">
        <v>3</v>
      </c>
      <c r="M452">
        <v>3</v>
      </c>
      <c r="N452">
        <v>16800</v>
      </c>
      <c r="O452">
        <v>90</v>
      </c>
      <c r="P452">
        <v>15</v>
      </c>
      <c r="Q452">
        <v>3</v>
      </c>
      <c r="R452" t="s">
        <v>21</v>
      </c>
      <c r="S452" t="s">
        <v>38</v>
      </c>
      <c r="T452">
        <v>5</v>
      </c>
      <c r="U452">
        <v>1500</v>
      </c>
      <c r="V452" t="s">
        <v>22</v>
      </c>
      <c r="W452" t="s">
        <v>1077</v>
      </c>
      <c r="X452" t="s">
        <v>33</v>
      </c>
      <c r="Y452">
        <v>13</v>
      </c>
    </row>
    <row r="453" spans="1:25">
      <c r="A453" t="s">
        <v>945</v>
      </c>
      <c r="B453" t="s">
        <v>946</v>
      </c>
      <c r="C453">
        <v>28</v>
      </c>
      <c r="D453" t="s">
        <v>25</v>
      </c>
      <c r="E453" t="s">
        <v>35</v>
      </c>
      <c r="F453" t="s">
        <v>31</v>
      </c>
      <c r="G453" t="s">
        <v>1045</v>
      </c>
      <c r="H453" t="s">
        <v>1060</v>
      </c>
      <c r="I453">
        <v>81000</v>
      </c>
      <c r="J453">
        <v>12</v>
      </c>
      <c r="K453">
        <v>972000</v>
      </c>
      <c r="L453">
        <v>6</v>
      </c>
      <c r="M453">
        <v>3</v>
      </c>
      <c r="N453">
        <v>24300</v>
      </c>
      <c r="O453">
        <v>95</v>
      </c>
      <c r="P453">
        <v>15</v>
      </c>
      <c r="Q453">
        <v>1</v>
      </c>
      <c r="R453" t="s">
        <v>21</v>
      </c>
      <c r="S453" t="s">
        <v>38</v>
      </c>
      <c r="U453">
        <v>0</v>
      </c>
      <c r="V453" t="s">
        <v>22</v>
      </c>
      <c r="W453" t="s">
        <v>1077</v>
      </c>
      <c r="X453" t="s">
        <v>33</v>
      </c>
      <c r="Y453">
        <v>13</v>
      </c>
    </row>
    <row r="454" spans="1:25">
      <c r="A454" t="s">
        <v>947</v>
      </c>
      <c r="B454" t="s">
        <v>948</v>
      </c>
      <c r="C454">
        <v>24</v>
      </c>
      <c r="D454" t="s">
        <v>25</v>
      </c>
      <c r="E454" t="s">
        <v>64</v>
      </c>
      <c r="F454" t="s">
        <v>31</v>
      </c>
      <c r="G454" t="s">
        <v>43</v>
      </c>
      <c r="H454" t="s">
        <v>1060</v>
      </c>
      <c r="I454">
        <v>24000</v>
      </c>
      <c r="J454">
        <v>12</v>
      </c>
      <c r="K454">
        <v>288000</v>
      </c>
      <c r="L454">
        <v>1</v>
      </c>
      <c r="M454">
        <v>4</v>
      </c>
      <c r="N454">
        <v>7200</v>
      </c>
      <c r="O454">
        <v>88</v>
      </c>
      <c r="P454">
        <v>15</v>
      </c>
      <c r="Q454">
        <v>5</v>
      </c>
      <c r="R454" t="s">
        <v>37</v>
      </c>
      <c r="S454" t="s">
        <v>19</v>
      </c>
      <c r="U454">
        <v>0</v>
      </c>
      <c r="V454" t="s">
        <v>22</v>
      </c>
      <c r="W454" t="s">
        <v>1077</v>
      </c>
      <c r="X454" t="s">
        <v>33</v>
      </c>
      <c r="Y454">
        <v>13</v>
      </c>
    </row>
    <row r="455" spans="1:25">
      <c r="A455" t="s">
        <v>949</v>
      </c>
      <c r="B455" t="s">
        <v>950</v>
      </c>
      <c r="C455">
        <v>24</v>
      </c>
      <c r="D455" t="s">
        <v>46</v>
      </c>
      <c r="E455" t="s">
        <v>26</v>
      </c>
      <c r="F455" t="s">
        <v>36</v>
      </c>
      <c r="G455" t="s">
        <v>43</v>
      </c>
      <c r="H455" t="s">
        <v>1060</v>
      </c>
      <c r="I455">
        <v>27000</v>
      </c>
      <c r="J455">
        <v>12</v>
      </c>
      <c r="K455">
        <v>324000</v>
      </c>
      <c r="L455">
        <v>2</v>
      </c>
      <c r="M455">
        <v>2</v>
      </c>
      <c r="N455" t="s">
        <v>1077</v>
      </c>
      <c r="O455">
        <v>90</v>
      </c>
      <c r="P455">
        <v>15</v>
      </c>
      <c r="Q455">
        <v>5</v>
      </c>
      <c r="S455" t="s">
        <v>38</v>
      </c>
      <c r="T455">
        <v>5</v>
      </c>
      <c r="U455">
        <v>1250</v>
      </c>
      <c r="V455" t="s">
        <v>39</v>
      </c>
      <c r="W455" t="s">
        <v>1077</v>
      </c>
      <c r="X455" t="s">
        <v>20</v>
      </c>
      <c r="Y455">
        <v>25</v>
      </c>
    </row>
    <row r="456" spans="1:25">
      <c r="A456" t="s">
        <v>951</v>
      </c>
      <c r="B456" t="s">
        <v>952</v>
      </c>
      <c r="C456">
        <v>33</v>
      </c>
      <c r="D456" t="s">
        <v>46</v>
      </c>
      <c r="E456" t="s">
        <v>47</v>
      </c>
      <c r="F456" t="s">
        <v>31</v>
      </c>
      <c r="G456" t="s">
        <v>82</v>
      </c>
      <c r="H456" t="s">
        <v>1060</v>
      </c>
      <c r="I456">
        <v>80000</v>
      </c>
      <c r="J456">
        <v>12</v>
      </c>
      <c r="K456">
        <v>960000</v>
      </c>
      <c r="L456">
        <v>6</v>
      </c>
      <c r="M456">
        <v>5</v>
      </c>
      <c r="N456">
        <v>24000</v>
      </c>
      <c r="O456">
        <v>80</v>
      </c>
      <c r="P456">
        <v>15</v>
      </c>
      <c r="Q456">
        <v>8</v>
      </c>
      <c r="R456" t="s">
        <v>37</v>
      </c>
      <c r="S456" t="s">
        <v>38</v>
      </c>
      <c r="U456">
        <v>0</v>
      </c>
      <c r="V456" t="s">
        <v>58</v>
      </c>
      <c r="W456" t="s">
        <v>1077</v>
      </c>
      <c r="X456" t="s">
        <v>33</v>
      </c>
      <c r="Y456">
        <v>13</v>
      </c>
    </row>
    <row r="457" spans="1:25">
      <c r="A457" t="s">
        <v>953</v>
      </c>
      <c r="B457" t="s">
        <v>954</v>
      </c>
      <c r="C457">
        <v>25</v>
      </c>
      <c r="D457" t="s">
        <v>25</v>
      </c>
      <c r="E457" t="s">
        <v>47</v>
      </c>
      <c r="F457" t="s">
        <v>42</v>
      </c>
      <c r="G457" t="s">
        <v>43</v>
      </c>
      <c r="H457" t="s">
        <v>1060</v>
      </c>
      <c r="I457">
        <v>27000</v>
      </c>
      <c r="J457">
        <v>12</v>
      </c>
      <c r="K457">
        <v>324000</v>
      </c>
      <c r="L457">
        <v>2</v>
      </c>
      <c r="M457">
        <v>1</v>
      </c>
      <c r="N457" t="s">
        <v>1077</v>
      </c>
      <c r="O457">
        <v>88</v>
      </c>
      <c r="P457">
        <v>15</v>
      </c>
      <c r="Q457">
        <v>10</v>
      </c>
      <c r="R457" t="s">
        <v>21</v>
      </c>
      <c r="S457" t="s">
        <v>38</v>
      </c>
      <c r="T457">
        <v>5</v>
      </c>
      <c r="U457">
        <v>1250</v>
      </c>
      <c r="V457" t="s">
        <v>39</v>
      </c>
      <c r="W457" t="s">
        <v>1077</v>
      </c>
      <c r="X457" t="s">
        <v>20</v>
      </c>
      <c r="Y457">
        <v>14</v>
      </c>
    </row>
    <row r="458" spans="1:25">
      <c r="A458" t="s">
        <v>955</v>
      </c>
      <c r="B458" t="s">
        <v>956</v>
      </c>
      <c r="C458">
        <v>36</v>
      </c>
      <c r="D458" t="s">
        <v>46</v>
      </c>
      <c r="E458" t="s">
        <v>73</v>
      </c>
      <c r="F458" t="s">
        <v>18</v>
      </c>
      <c r="G458" t="s">
        <v>82</v>
      </c>
      <c r="H458" t="s">
        <v>1060</v>
      </c>
      <c r="I458">
        <v>80000</v>
      </c>
      <c r="J458">
        <v>12</v>
      </c>
      <c r="K458">
        <v>960000</v>
      </c>
      <c r="L458">
        <v>8</v>
      </c>
      <c r="M458">
        <v>2</v>
      </c>
      <c r="N458" t="s">
        <v>1077</v>
      </c>
      <c r="O458">
        <v>90</v>
      </c>
      <c r="P458">
        <v>5</v>
      </c>
      <c r="Q458">
        <v>1</v>
      </c>
      <c r="R458" t="s">
        <v>21</v>
      </c>
      <c r="S458" t="s">
        <v>38</v>
      </c>
      <c r="U458">
        <v>0</v>
      </c>
      <c r="V458" t="s">
        <v>39</v>
      </c>
      <c r="W458" t="s">
        <v>1077</v>
      </c>
      <c r="X458" t="s">
        <v>20</v>
      </c>
      <c r="Y458">
        <v>10</v>
      </c>
    </row>
    <row r="459" spans="1:25">
      <c r="A459" t="s">
        <v>957</v>
      </c>
      <c r="B459" t="s">
        <v>958</v>
      </c>
      <c r="C459">
        <v>24</v>
      </c>
      <c r="D459" t="s">
        <v>25</v>
      </c>
      <c r="E459" t="s">
        <v>64</v>
      </c>
      <c r="F459" t="s">
        <v>31</v>
      </c>
      <c r="G459" t="s">
        <v>43</v>
      </c>
      <c r="H459" t="s">
        <v>1060</v>
      </c>
      <c r="I459">
        <v>24000</v>
      </c>
      <c r="J459">
        <v>12</v>
      </c>
      <c r="K459">
        <v>288000</v>
      </c>
      <c r="L459">
        <v>1</v>
      </c>
      <c r="M459">
        <v>1</v>
      </c>
      <c r="N459" t="s">
        <v>1077</v>
      </c>
      <c r="O459">
        <v>85</v>
      </c>
      <c r="P459">
        <v>10</v>
      </c>
      <c r="Q459">
        <v>5</v>
      </c>
      <c r="R459" t="s">
        <v>21</v>
      </c>
      <c r="S459" t="s">
        <v>38</v>
      </c>
      <c r="T459">
        <v>10</v>
      </c>
      <c r="U459">
        <v>2500</v>
      </c>
      <c r="V459" t="s">
        <v>39</v>
      </c>
      <c r="W459" t="s">
        <v>1077</v>
      </c>
      <c r="X459" t="s">
        <v>33</v>
      </c>
      <c r="Y459">
        <v>13</v>
      </c>
    </row>
    <row r="460" spans="1:25">
      <c r="A460" t="s">
        <v>959</v>
      </c>
      <c r="B460" t="s">
        <v>960</v>
      </c>
      <c r="C460">
        <v>25</v>
      </c>
      <c r="D460" t="s">
        <v>46</v>
      </c>
      <c r="E460" t="s">
        <v>65</v>
      </c>
      <c r="F460" t="s">
        <v>18</v>
      </c>
      <c r="G460" t="s">
        <v>1048</v>
      </c>
      <c r="H460" t="s">
        <v>1060</v>
      </c>
      <c r="I460">
        <v>70500</v>
      </c>
      <c r="J460">
        <v>12</v>
      </c>
      <c r="K460">
        <v>846000</v>
      </c>
      <c r="L460">
        <v>5</v>
      </c>
      <c r="M460">
        <v>4</v>
      </c>
      <c r="N460">
        <v>21150</v>
      </c>
      <c r="O460">
        <v>95</v>
      </c>
      <c r="P460">
        <v>10</v>
      </c>
      <c r="Q460">
        <v>9</v>
      </c>
      <c r="R460" t="s">
        <v>21</v>
      </c>
      <c r="S460" t="s">
        <v>38</v>
      </c>
      <c r="T460">
        <v>20</v>
      </c>
      <c r="U460">
        <v>6000</v>
      </c>
      <c r="V460" t="s">
        <v>58</v>
      </c>
      <c r="W460" t="s">
        <v>1077</v>
      </c>
      <c r="X460" t="s">
        <v>20</v>
      </c>
      <c r="Y460">
        <v>10</v>
      </c>
    </row>
    <row r="461" spans="1:25">
      <c r="A461" t="s">
        <v>961</v>
      </c>
      <c r="B461" t="s">
        <v>962</v>
      </c>
      <c r="C461">
        <v>24</v>
      </c>
      <c r="D461" t="s">
        <v>46</v>
      </c>
      <c r="E461" t="s">
        <v>64</v>
      </c>
      <c r="F461" t="s">
        <v>27</v>
      </c>
      <c r="G461" t="s">
        <v>43</v>
      </c>
      <c r="H461" t="s">
        <v>1060</v>
      </c>
      <c r="I461">
        <v>29000</v>
      </c>
      <c r="J461">
        <v>12</v>
      </c>
      <c r="K461">
        <v>348000</v>
      </c>
      <c r="L461">
        <v>2</v>
      </c>
      <c r="M461">
        <v>2</v>
      </c>
      <c r="N461" t="s">
        <v>1077</v>
      </c>
      <c r="O461">
        <v>80</v>
      </c>
      <c r="P461">
        <v>5</v>
      </c>
      <c r="Q461">
        <v>5</v>
      </c>
      <c r="R461" t="s">
        <v>37</v>
      </c>
      <c r="S461" t="s">
        <v>38</v>
      </c>
      <c r="U461">
        <v>0</v>
      </c>
      <c r="V461" t="s">
        <v>39</v>
      </c>
      <c r="W461" t="s">
        <v>1077</v>
      </c>
      <c r="X461" t="s">
        <v>20</v>
      </c>
      <c r="Y461">
        <v>12</v>
      </c>
    </row>
    <row r="462" spans="1:25">
      <c r="A462" t="s">
        <v>963</v>
      </c>
      <c r="B462" t="s">
        <v>964</v>
      </c>
      <c r="C462">
        <v>25</v>
      </c>
      <c r="D462" t="s">
        <v>25</v>
      </c>
      <c r="E462" t="s">
        <v>35</v>
      </c>
      <c r="F462" t="s">
        <v>18</v>
      </c>
      <c r="G462" t="s">
        <v>43</v>
      </c>
      <c r="H462" t="s">
        <v>1060</v>
      </c>
      <c r="I462">
        <v>29000</v>
      </c>
      <c r="J462">
        <v>12</v>
      </c>
      <c r="K462">
        <v>348000</v>
      </c>
      <c r="L462">
        <v>2</v>
      </c>
      <c r="M462">
        <v>2</v>
      </c>
      <c r="N462" t="s">
        <v>1077</v>
      </c>
      <c r="O462">
        <v>88</v>
      </c>
      <c r="P462">
        <v>5</v>
      </c>
      <c r="Q462">
        <v>3</v>
      </c>
      <c r="S462" t="s">
        <v>38</v>
      </c>
      <c r="T462">
        <v>5</v>
      </c>
      <c r="U462">
        <v>1250</v>
      </c>
      <c r="V462" t="s">
        <v>39</v>
      </c>
      <c r="W462" t="s">
        <v>1077</v>
      </c>
      <c r="X462" t="s">
        <v>20</v>
      </c>
      <c r="Y462">
        <v>10</v>
      </c>
    </row>
    <row r="463" spans="1:25">
      <c r="A463" t="s">
        <v>965</v>
      </c>
      <c r="B463" t="s">
        <v>966</v>
      </c>
      <c r="C463">
        <v>23</v>
      </c>
      <c r="D463" t="s">
        <v>1077</v>
      </c>
      <c r="E463" t="s">
        <v>35</v>
      </c>
      <c r="F463" t="s">
        <v>66</v>
      </c>
      <c r="G463" t="s">
        <v>43</v>
      </c>
      <c r="H463" t="s">
        <v>1060</v>
      </c>
      <c r="I463">
        <v>24000</v>
      </c>
      <c r="J463">
        <v>12</v>
      </c>
      <c r="K463">
        <v>288000</v>
      </c>
      <c r="L463">
        <v>1</v>
      </c>
      <c r="M463">
        <v>2</v>
      </c>
      <c r="N463" t="s">
        <v>1077</v>
      </c>
      <c r="O463">
        <v>85</v>
      </c>
      <c r="P463">
        <v>15</v>
      </c>
      <c r="Q463">
        <v>1</v>
      </c>
      <c r="R463" t="s">
        <v>21</v>
      </c>
      <c r="S463" t="s">
        <v>38</v>
      </c>
      <c r="T463">
        <v>20</v>
      </c>
      <c r="U463">
        <v>5000</v>
      </c>
      <c r="V463" t="s">
        <v>39</v>
      </c>
      <c r="W463" t="s">
        <v>1077</v>
      </c>
      <c r="X463" t="s">
        <v>33</v>
      </c>
      <c r="Y463">
        <v>20</v>
      </c>
    </row>
    <row r="464" spans="1:25">
      <c r="A464" t="s">
        <v>967</v>
      </c>
      <c r="B464" t="s">
        <v>968</v>
      </c>
      <c r="C464">
        <v>24</v>
      </c>
      <c r="D464" t="s">
        <v>46</v>
      </c>
      <c r="E464" t="s">
        <v>50</v>
      </c>
      <c r="F464" t="s">
        <v>27</v>
      </c>
      <c r="G464" t="s">
        <v>43</v>
      </c>
      <c r="H464" t="s">
        <v>1060</v>
      </c>
      <c r="I464">
        <v>29000</v>
      </c>
      <c r="J464">
        <v>12</v>
      </c>
      <c r="K464">
        <v>348000</v>
      </c>
      <c r="L464">
        <v>2</v>
      </c>
      <c r="M464">
        <v>2</v>
      </c>
      <c r="N464" t="s">
        <v>1077</v>
      </c>
      <c r="O464">
        <v>85</v>
      </c>
      <c r="P464">
        <v>10</v>
      </c>
      <c r="Q464">
        <v>3</v>
      </c>
      <c r="R464" t="s">
        <v>21</v>
      </c>
      <c r="S464" t="s">
        <v>38</v>
      </c>
      <c r="U464">
        <v>0</v>
      </c>
      <c r="V464" t="s">
        <v>39</v>
      </c>
      <c r="W464" t="s">
        <v>1077</v>
      </c>
      <c r="X464" t="s">
        <v>20</v>
      </c>
      <c r="Y464">
        <v>12</v>
      </c>
    </row>
    <row r="465" spans="1:25">
      <c r="A465" t="s">
        <v>969</v>
      </c>
      <c r="B465" t="s">
        <v>970</v>
      </c>
      <c r="C465">
        <v>25</v>
      </c>
      <c r="D465" t="s">
        <v>25</v>
      </c>
      <c r="E465" t="s">
        <v>65</v>
      </c>
      <c r="F465" t="s">
        <v>42</v>
      </c>
      <c r="G465" t="s">
        <v>43</v>
      </c>
      <c r="H465" t="s">
        <v>1060</v>
      </c>
      <c r="I465">
        <v>22500</v>
      </c>
      <c r="J465">
        <v>12</v>
      </c>
      <c r="K465">
        <v>270000</v>
      </c>
      <c r="L465">
        <v>1</v>
      </c>
      <c r="M465">
        <v>1</v>
      </c>
      <c r="N465" t="s">
        <v>1077</v>
      </c>
      <c r="O465">
        <v>80</v>
      </c>
      <c r="P465">
        <v>15</v>
      </c>
      <c r="Q465">
        <v>4</v>
      </c>
      <c r="S465" t="s">
        <v>38</v>
      </c>
      <c r="T465">
        <v>5</v>
      </c>
      <c r="U465">
        <v>1250</v>
      </c>
      <c r="V465" t="s">
        <v>39</v>
      </c>
      <c r="W465" t="s">
        <v>1077</v>
      </c>
      <c r="X465" t="s">
        <v>20</v>
      </c>
      <c r="Y465">
        <v>14</v>
      </c>
    </row>
    <row r="466" spans="1:25">
      <c r="A466" t="s">
        <v>971</v>
      </c>
      <c r="B466" t="s">
        <v>972</v>
      </c>
      <c r="C466">
        <v>25</v>
      </c>
      <c r="D466" t="s">
        <v>25</v>
      </c>
      <c r="E466" t="s">
        <v>26</v>
      </c>
      <c r="F466" t="s">
        <v>27</v>
      </c>
      <c r="G466" t="s">
        <v>1048</v>
      </c>
      <c r="H466" t="s">
        <v>1060</v>
      </c>
      <c r="I466">
        <v>60000</v>
      </c>
      <c r="J466">
        <v>12</v>
      </c>
      <c r="K466">
        <v>720000</v>
      </c>
      <c r="L466">
        <v>4</v>
      </c>
      <c r="M466">
        <v>4</v>
      </c>
      <c r="N466">
        <v>18000</v>
      </c>
      <c r="O466">
        <v>95</v>
      </c>
      <c r="P466">
        <v>10</v>
      </c>
      <c r="Q466">
        <v>1</v>
      </c>
      <c r="R466" t="s">
        <v>37</v>
      </c>
      <c r="S466" t="s">
        <v>28</v>
      </c>
      <c r="T466">
        <v>20</v>
      </c>
      <c r="U466">
        <v>6000</v>
      </c>
      <c r="V466" t="s">
        <v>58</v>
      </c>
      <c r="W466" t="s">
        <v>1077</v>
      </c>
      <c r="X466" t="s">
        <v>20</v>
      </c>
      <c r="Y466">
        <v>12</v>
      </c>
    </row>
    <row r="467" spans="1:25">
      <c r="A467" t="s">
        <v>973</v>
      </c>
      <c r="B467" t="s">
        <v>974</v>
      </c>
      <c r="C467">
        <v>25</v>
      </c>
      <c r="D467" t="s">
        <v>1077</v>
      </c>
      <c r="E467" t="s">
        <v>26</v>
      </c>
      <c r="F467" t="s">
        <v>18</v>
      </c>
      <c r="G467" t="s">
        <v>43</v>
      </c>
      <c r="H467" t="s">
        <v>1060</v>
      </c>
      <c r="I467">
        <v>29000</v>
      </c>
      <c r="J467">
        <v>12</v>
      </c>
      <c r="K467">
        <v>348000</v>
      </c>
      <c r="L467">
        <v>2</v>
      </c>
      <c r="M467">
        <v>2</v>
      </c>
      <c r="N467" t="s">
        <v>1077</v>
      </c>
      <c r="O467">
        <v>85</v>
      </c>
      <c r="P467">
        <v>5</v>
      </c>
      <c r="Q467">
        <v>2</v>
      </c>
      <c r="R467" t="s">
        <v>37</v>
      </c>
      <c r="S467" t="s">
        <v>38</v>
      </c>
      <c r="T467">
        <v>5</v>
      </c>
      <c r="U467">
        <v>1250</v>
      </c>
      <c r="V467" t="s">
        <v>39</v>
      </c>
      <c r="W467" t="s">
        <v>1077</v>
      </c>
      <c r="X467" t="s">
        <v>20</v>
      </c>
      <c r="Y467">
        <v>10</v>
      </c>
    </row>
    <row r="468" spans="1:25">
      <c r="A468" t="s">
        <v>975</v>
      </c>
      <c r="B468" t="s">
        <v>976</v>
      </c>
      <c r="C468">
        <v>24</v>
      </c>
      <c r="D468" t="s">
        <v>25</v>
      </c>
      <c r="E468" t="s">
        <v>73</v>
      </c>
      <c r="F468" t="s">
        <v>27</v>
      </c>
      <c r="G468" t="s">
        <v>43</v>
      </c>
      <c r="H468" t="s">
        <v>1060</v>
      </c>
      <c r="I468">
        <v>29000</v>
      </c>
      <c r="J468">
        <v>12</v>
      </c>
      <c r="K468">
        <v>348000</v>
      </c>
      <c r="L468">
        <v>2</v>
      </c>
      <c r="M468">
        <v>1</v>
      </c>
      <c r="N468" t="s">
        <v>1077</v>
      </c>
      <c r="O468">
        <v>80</v>
      </c>
      <c r="P468">
        <v>10</v>
      </c>
      <c r="Q468">
        <v>3</v>
      </c>
      <c r="R468" t="s">
        <v>21</v>
      </c>
      <c r="S468" t="s">
        <v>38</v>
      </c>
      <c r="T468">
        <v>20</v>
      </c>
      <c r="U468">
        <v>5000</v>
      </c>
      <c r="V468" t="s">
        <v>39</v>
      </c>
      <c r="W468" t="s">
        <v>1077</v>
      </c>
      <c r="X468" t="s">
        <v>20</v>
      </c>
      <c r="Y468">
        <v>12</v>
      </c>
    </row>
    <row r="469" spans="1:25">
      <c r="A469" t="s">
        <v>977</v>
      </c>
      <c r="B469" t="s">
        <v>978</v>
      </c>
      <c r="C469">
        <v>25</v>
      </c>
      <c r="D469" t="s">
        <v>46</v>
      </c>
      <c r="E469" t="s">
        <v>57</v>
      </c>
      <c r="F469" t="s">
        <v>18</v>
      </c>
      <c r="G469" t="s">
        <v>43</v>
      </c>
      <c r="H469" t="s">
        <v>1059</v>
      </c>
      <c r="I469">
        <v>29000</v>
      </c>
      <c r="J469">
        <v>12</v>
      </c>
      <c r="K469">
        <v>348000</v>
      </c>
      <c r="L469">
        <v>2</v>
      </c>
      <c r="M469">
        <v>5</v>
      </c>
      <c r="N469">
        <v>8700</v>
      </c>
      <c r="O469">
        <v>85</v>
      </c>
      <c r="P469">
        <v>15</v>
      </c>
      <c r="Q469">
        <v>3</v>
      </c>
      <c r="R469" t="s">
        <v>21</v>
      </c>
      <c r="S469" t="s">
        <v>28</v>
      </c>
      <c r="T469">
        <v>20</v>
      </c>
      <c r="U469">
        <v>5000</v>
      </c>
      <c r="V469" t="s">
        <v>58</v>
      </c>
      <c r="W469" t="s">
        <v>1077</v>
      </c>
      <c r="X469" t="s">
        <v>20</v>
      </c>
      <c r="Y469">
        <v>10</v>
      </c>
    </row>
    <row r="470" spans="1:25">
      <c r="A470" t="s">
        <v>979</v>
      </c>
      <c r="B470" t="s">
        <v>980</v>
      </c>
      <c r="C470">
        <v>40</v>
      </c>
      <c r="D470" t="s">
        <v>46</v>
      </c>
      <c r="E470" t="s">
        <v>26</v>
      </c>
      <c r="F470" t="s">
        <v>36</v>
      </c>
      <c r="G470" t="s">
        <v>32</v>
      </c>
      <c r="H470" t="s">
        <v>1060</v>
      </c>
      <c r="I470">
        <v>90000</v>
      </c>
      <c r="J470">
        <v>12</v>
      </c>
      <c r="K470">
        <v>1080000</v>
      </c>
      <c r="L470">
        <v>10</v>
      </c>
      <c r="M470">
        <v>3</v>
      </c>
      <c r="N470">
        <v>27000</v>
      </c>
      <c r="O470">
        <v>80</v>
      </c>
      <c r="P470">
        <v>15</v>
      </c>
      <c r="Q470">
        <v>2</v>
      </c>
      <c r="R470" t="s">
        <v>37</v>
      </c>
      <c r="S470" t="s">
        <v>28</v>
      </c>
      <c r="T470">
        <v>5</v>
      </c>
      <c r="U470">
        <v>1750</v>
      </c>
      <c r="V470" t="s">
        <v>22</v>
      </c>
      <c r="W470" t="s">
        <v>1077</v>
      </c>
      <c r="X470" t="s">
        <v>20</v>
      </c>
      <c r="Y470">
        <v>25</v>
      </c>
    </row>
    <row r="471" spans="1:25">
      <c r="A471" t="s">
        <v>981</v>
      </c>
      <c r="B471" t="s">
        <v>982</v>
      </c>
      <c r="C471">
        <v>24</v>
      </c>
      <c r="D471" t="s">
        <v>46</v>
      </c>
      <c r="E471" t="s">
        <v>35</v>
      </c>
      <c r="F471" t="s">
        <v>18</v>
      </c>
      <c r="G471" t="s">
        <v>43</v>
      </c>
      <c r="H471" t="s">
        <v>1060</v>
      </c>
      <c r="I471">
        <v>28000</v>
      </c>
      <c r="J471">
        <v>12</v>
      </c>
      <c r="K471">
        <v>336000</v>
      </c>
      <c r="L471">
        <v>2</v>
      </c>
      <c r="M471">
        <v>1</v>
      </c>
      <c r="N471" t="s">
        <v>1077</v>
      </c>
      <c r="O471">
        <v>90</v>
      </c>
      <c r="P471">
        <v>10</v>
      </c>
      <c r="Q471">
        <v>2</v>
      </c>
      <c r="R471" t="s">
        <v>37</v>
      </c>
      <c r="S471" t="s">
        <v>19</v>
      </c>
      <c r="U471">
        <v>0</v>
      </c>
      <c r="V471" t="s">
        <v>39</v>
      </c>
      <c r="W471" t="s">
        <v>1077</v>
      </c>
      <c r="X471" t="s">
        <v>20</v>
      </c>
      <c r="Y471">
        <v>10</v>
      </c>
    </row>
    <row r="472" spans="1:25">
      <c r="A472" t="s">
        <v>983</v>
      </c>
      <c r="B472" t="s">
        <v>984</v>
      </c>
      <c r="C472">
        <v>24</v>
      </c>
      <c r="D472" t="s">
        <v>1077</v>
      </c>
      <c r="E472" t="s">
        <v>35</v>
      </c>
      <c r="F472" t="s">
        <v>36</v>
      </c>
      <c r="G472" t="s">
        <v>43</v>
      </c>
      <c r="H472" t="s">
        <v>1060</v>
      </c>
      <c r="I472">
        <v>24000</v>
      </c>
      <c r="J472">
        <v>12</v>
      </c>
      <c r="K472">
        <v>288000</v>
      </c>
      <c r="L472">
        <v>1</v>
      </c>
      <c r="M472">
        <v>1</v>
      </c>
      <c r="N472" t="s">
        <v>1077</v>
      </c>
      <c r="O472">
        <v>90</v>
      </c>
      <c r="P472">
        <v>15</v>
      </c>
      <c r="Q472">
        <v>10</v>
      </c>
      <c r="R472" t="s">
        <v>37</v>
      </c>
      <c r="S472" t="s">
        <v>38</v>
      </c>
      <c r="T472">
        <v>10</v>
      </c>
      <c r="U472">
        <v>2500</v>
      </c>
      <c r="V472" t="s">
        <v>39</v>
      </c>
      <c r="W472" t="s">
        <v>1077</v>
      </c>
      <c r="X472" t="s">
        <v>20</v>
      </c>
      <c r="Y472">
        <v>25</v>
      </c>
    </row>
    <row r="473" spans="1:25">
      <c r="A473" t="s">
        <v>985</v>
      </c>
      <c r="B473" t="s">
        <v>986</v>
      </c>
      <c r="C473">
        <v>23</v>
      </c>
      <c r="D473" t="s">
        <v>46</v>
      </c>
      <c r="E473" t="s">
        <v>47</v>
      </c>
      <c r="F473" t="s">
        <v>42</v>
      </c>
      <c r="G473" t="s">
        <v>43</v>
      </c>
      <c r="H473" t="s">
        <v>1060</v>
      </c>
      <c r="I473">
        <v>24000</v>
      </c>
      <c r="J473">
        <v>12</v>
      </c>
      <c r="K473">
        <v>288000</v>
      </c>
      <c r="L473">
        <v>1</v>
      </c>
      <c r="M473">
        <v>2</v>
      </c>
      <c r="N473" t="s">
        <v>1077</v>
      </c>
      <c r="O473">
        <v>88</v>
      </c>
      <c r="P473">
        <v>10</v>
      </c>
      <c r="Q473">
        <v>9</v>
      </c>
      <c r="S473" t="s">
        <v>28</v>
      </c>
      <c r="T473">
        <v>10</v>
      </c>
      <c r="U473">
        <v>2500</v>
      </c>
      <c r="V473" t="s">
        <v>39</v>
      </c>
      <c r="W473" t="s">
        <v>1077</v>
      </c>
      <c r="X473" t="s">
        <v>20</v>
      </c>
      <c r="Y473">
        <v>14</v>
      </c>
    </row>
    <row r="474" spans="1:25">
      <c r="A474" t="s">
        <v>987</v>
      </c>
      <c r="B474" t="s">
        <v>988</v>
      </c>
      <c r="C474">
        <v>26</v>
      </c>
      <c r="D474" t="s">
        <v>1077</v>
      </c>
      <c r="E474" t="s">
        <v>17</v>
      </c>
      <c r="F474" t="s">
        <v>42</v>
      </c>
      <c r="G474" t="s">
        <v>1045</v>
      </c>
      <c r="H474" t="s">
        <v>1060</v>
      </c>
      <c r="I474">
        <v>81000</v>
      </c>
      <c r="J474">
        <v>12</v>
      </c>
      <c r="K474">
        <v>972000</v>
      </c>
      <c r="L474">
        <v>6</v>
      </c>
      <c r="M474">
        <v>3</v>
      </c>
      <c r="N474">
        <v>24300</v>
      </c>
      <c r="O474">
        <v>88</v>
      </c>
      <c r="P474">
        <v>15</v>
      </c>
      <c r="Q474">
        <v>3</v>
      </c>
      <c r="S474" t="s">
        <v>19</v>
      </c>
      <c r="T474">
        <v>5</v>
      </c>
      <c r="U474">
        <v>1500</v>
      </c>
      <c r="V474" t="s">
        <v>22</v>
      </c>
      <c r="W474" t="s">
        <v>1077</v>
      </c>
      <c r="X474" t="s">
        <v>20</v>
      </c>
      <c r="Y474">
        <v>14</v>
      </c>
    </row>
    <row r="475" spans="1:25">
      <c r="A475" t="s">
        <v>989</v>
      </c>
      <c r="B475" t="s">
        <v>990</v>
      </c>
      <c r="C475">
        <v>24</v>
      </c>
      <c r="D475" t="s">
        <v>46</v>
      </c>
      <c r="E475" t="s">
        <v>57</v>
      </c>
      <c r="F475" t="s">
        <v>66</v>
      </c>
      <c r="G475" t="s">
        <v>43</v>
      </c>
      <c r="H475" t="s">
        <v>1060</v>
      </c>
      <c r="I475">
        <v>24000</v>
      </c>
      <c r="J475">
        <v>12</v>
      </c>
      <c r="K475">
        <v>288000</v>
      </c>
      <c r="L475">
        <v>1</v>
      </c>
      <c r="M475">
        <v>4</v>
      </c>
      <c r="N475">
        <v>7200</v>
      </c>
      <c r="O475">
        <v>85</v>
      </c>
      <c r="P475">
        <v>5</v>
      </c>
      <c r="Q475">
        <v>3</v>
      </c>
      <c r="S475" t="s">
        <v>38</v>
      </c>
      <c r="U475">
        <v>0</v>
      </c>
      <c r="V475" t="s">
        <v>22</v>
      </c>
      <c r="W475" t="s">
        <v>1077</v>
      </c>
      <c r="X475" t="s">
        <v>33</v>
      </c>
      <c r="Y475">
        <v>20</v>
      </c>
    </row>
    <row r="476" spans="1:25">
      <c r="A476" t="s">
        <v>991</v>
      </c>
      <c r="B476" t="s">
        <v>992</v>
      </c>
      <c r="C476">
        <v>25</v>
      </c>
      <c r="D476" t="s">
        <v>46</v>
      </c>
      <c r="E476" t="s">
        <v>65</v>
      </c>
      <c r="F476" t="s">
        <v>31</v>
      </c>
      <c r="G476" t="s">
        <v>43</v>
      </c>
      <c r="H476" t="s">
        <v>1060</v>
      </c>
      <c r="I476">
        <v>28000</v>
      </c>
      <c r="J476">
        <v>12</v>
      </c>
      <c r="K476">
        <v>336000</v>
      </c>
      <c r="L476">
        <v>2</v>
      </c>
      <c r="M476">
        <v>2</v>
      </c>
      <c r="N476" t="s">
        <v>1077</v>
      </c>
      <c r="O476">
        <v>80</v>
      </c>
      <c r="P476">
        <v>10</v>
      </c>
      <c r="Q476">
        <v>2</v>
      </c>
      <c r="R476" t="s">
        <v>21</v>
      </c>
      <c r="S476" t="s">
        <v>28</v>
      </c>
      <c r="U476">
        <v>0</v>
      </c>
      <c r="V476" t="s">
        <v>39</v>
      </c>
      <c r="W476" t="s">
        <v>1077</v>
      </c>
      <c r="X476" t="s">
        <v>33</v>
      </c>
      <c r="Y476">
        <v>13</v>
      </c>
    </row>
    <row r="477" spans="1:25">
      <c r="A477" t="s">
        <v>993</v>
      </c>
      <c r="B477" t="s">
        <v>994</v>
      </c>
      <c r="C477">
        <v>25</v>
      </c>
      <c r="D477" t="s">
        <v>46</v>
      </c>
      <c r="E477" t="s">
        <v>26</v>
      </c>
      <c r="F477" t="s">
        <v>31</v>
      </c>
      <c r="G477" t="s">
        <v>43</v>
      </c>
      <c r="H477" t="s">
        <v>1060</v>
      </c>
      <c r="I477">
        <v>23000</v>
      </c>
      <c r="J477">
        <v>12</v>
      </c>
      <c r="K477">
        <v>276000</v>
      </c>
      <c r="L477">
        <v>1</v>
      </c>
      <c r="M477">
        <v>4</v>
      </c>
      <c r="N477">
        <v>6900</v>
      </c>
      <c r="O477">
        <v>90</v>
      </c>
      <c r="P477">
        <v>15</v>
      </c>
      <c r="Q477">
        <v>3</v>
      </c>
      <c r="R477" t="s">
        <v>21</v>
      </c>
      <c r="S477" t="s">
        <v>28</v>
      </c>
      <c r="T477">
        <v>20</v>
      </c>
      <c r="U477">
        <v>5000</v>
      </c>
      <c r="V477" t="s">
        <v>22</v>
      </c>
      <c r="W477" t="s">
        <v>1077</v>
      </c>
      <c r="X477" t="s">
        <v>33</v>
      </c>
      <c r="Y477">
        <v>13</v>
      </c>
    </row>
    <row r="478" spans="1:25">
      <c r="A478" t="s">
        <v>997</v>
      </c>
      <c r="B478" t="s">
        <v>998</v>
      </c>
      <c r="C478">
        <v>25</v>
      </c>
      <c r="D478" t="s">
        <v>46</v>
      </c>
      <c r="E478" t="s">
        <v>35</v>
      </c>
      <c r="F478" t="s">
        <v>27</v>
      </c>
      <c r="G478" t="s">
        <v>43</v>
      </c>
      <c r="H478" t="s">
        <v>1060</v>
      </c>
      <c r="I478">
        <v>28000</v>
      </c>
      <c r="J478">
        <v>12</v>
      </c>
      <c r="K478">
        <v>336000</v>
      </c>
      <c r="L478">
        <v>2</v>
      </c>
      <c r="M478">
        <v>1</v>
      </c>
      <c r="N478" t="s">
        <v>1077</v>
      </c>
      <c r="O478">
        <v>80</v>
      </c>
      <c r="P478">
        <v>5</v>
      </c>
      <c r="Q478">
        <v>1</v>
      </c>
      <c r="R478" t="s">
        <v>21</v>
      </c>
      <c r="S478" t="s">
        <v>38</v>
      </c>
      <c r="T478">
        <v>20</v>
      </c>
      <c r="U478">
        <v>5000</v>
      </c>
      <c r="V478" t="s">
        <v>39</v>
      </c>
      <c r="W478" t="s">
        <v>1077</v>
      </c>
      <c r="X478" t="s">
        <v>20</v>
      </c>
      <c r="Y478">
        <v>12</v>
      </c>
    </row>
    <row r="479" spans="1:25">
      <c r="A479" t="s">
        <v>999</v>
      </c>
      <c r="B479" t="s">
        <v>1000</v>
      </c>
      <c r="C479">
        <v>34</v>
      </c>
      <c r="D479" t="s">
        <v>46</v>
      </c>
      <c r="E479" t="s">
        <v>61</v>
      </c>
      <c r="F479" t="s">
        <v>27</v>
      </c>
      <c r="G479" t="s">
        <v>32</v>
      </c>
      <c r="H479" t="s">
        <v>1059</v>
      </c>
      <c r="I479">
        <v>92000</v>
      </c>
      <c r="J479">
        <v>12</v>
      </c>
      <c r="K479">
        <v>1104000</v>
      </c>
      <c r="L479">
        <v>9</v>
      </c>
      <c r="M479">
        <v>4</v>
      </c>
      <c r="N479">
        <v>27600</v>
      </c>
      <c r="O479">
        <v>80</v>
      </c>
      <c r="P479">
        <v>15</v>
      </c>
      <c r="Q479">
        <v>5</v>
      </c>
      <c r="R479" t="s">
        <v>37</v>
      </c>
      <c r="S479" t="s">
        <v>28</v>
      </c>
      <c r="T479">
        <v>10</v>
      </c>
      <c r="U479">
        <v>3500</v>
      </c>
      <c r="V479" t="s">
        <v>58</v>
      </c>
      <c r="W479" t="s">
        <v>1077</v>
      </c>
      <c r="X479" t="s">
        <v>20</v>
      </c>
      <c r="Y479">
        <v>12</v>
      </c>
    </row>
    <row r="480" spans="1:25">
      <c r="A480" t="s">
        <v>1001</v>
      </c>
      <c r="B480" t="s">
        <v>1002</v>
      </c>
      <c r="C480">
        <v>23</v>
      </c>
      <c r="D480" t="s">
        <v>25</v>
      </c>
      <c r="E480" t="s">
        <v>73</v>
      </c>
      <c r="F480" t="s">
        <v>42</v>
      </c>
      <c r="G480" t="s">
        <v>43</v>
      </c>
      <c r="H480" t="s">
        <v>1060</v>
      </c>
      <c r="I480">
        <v>24000</v>
      </c>
      <c r="J480">
        <v>12</v>
      </c>
      <c r="K480">
        <v>288000</v>
      </c>
      <c r="L480">
        <v>1</v>
      </c>
      <c r="M480">
        <v>4</v>
      </c>
      <c r="N480">
        <v>7200</v>
      </c>
      <c r="O480">
        <v>80</v>
      </c>
      <c r="P480">
        <v>10</v>
      </c>
      <c r="Q480">
        <v>3</v>
      </c>
      <c r="S480" t="s">
        <v>38</v>
      </c>
      <c r="T480">
        <v>5</v>
      </c>
      <c r="U480">
        <v>1250</v>
      </c>
      <c r="V480" t="s">
        <v>22</v>
      </c>
      <c r="W480" t="s">
        <v>1077</v>
      </c>
      <c r="X480" t="s">
        <v>20</v>
      </c>
      <c r="Y480">
        <v>14</v>
      </c>
    </row>
    <row r="481" spans="1:25">
      <c r="A481" t="s">
        <v>1003</v>
      </c>
      <c r="B481" t="s">
        <v>1004</v>
      </c>
      <c r="C481">
        <v>24</v>
      </c>
      <c r="D481" t="s">
        <v>25</v>
      </c>
      <c r="E481" t="s">
        <v>17</v>
      </c>
      <c r="F481" t="s">
        <v>42</v>
      </c>
      <c r="G481" t="s">
        <v>1048</v>
      </c>
      <c r="H481" t="s">
        <v>1060</v>
      </c>
      <c r="I481">
        <v>60000</v>
      </c>
      <c r="J481">
        <v>12</v>
      </c>
      <c r="K481">
        <v>720000</v>
      </c>
      <c r="L481">
        <v>4</v>
      </c>
      <c r="M481">
        <v>2</v>
      </c>
      <c r="N481" t="s">
        <v>1077</v>
      </c>
      <c r="O481">
        <v>80</v>
      </c>
      <c r="P481">
        <v>5</v>
      </c>
      <c r="Q481">
        <v>5</v>
      </c>
      <c r="R481" t="s">
        <v>37</v>
      </c>
      <c r="S481" t="s">
        <v>19</v>
      </c>
      <c r="T481">
        <v>20</v>
      </c>
      <c r="U481">
        <v>6000</v>
      </c>
      <c r="V481" t="s">
        <v>39</v>
      </c>
      <c r="W481" t="s">
        <v>1077</v>
      </c>
      <c r="X481" t="s">
        <v>20</v>
      </c>
      <c r="Y481">
        <v>14</v>
      </c>
    </row>
    <row r="482" spans="1:25">
      <c r="A482" t="s">
        <v>1005</v>
      </c>
      <c r="B482" t="s">
        <v>1006</v>
      </c>
      <c r="C482">
        <v>34</v>
      </c>
      <c r="D482" t="s">
        <v>46</v>
      </c>
      <c r="E482" t="s">
        <v>61</v>
      </c>
      <c r="F482" t="s">
        <v>66</v>
      </c>
      <c r="G482" t="s">
        <v>32</v>
      </c>
      <c r="H482" t="s">
        <v>1060</v>
      </c>
      <c r="I482">
        <v>98000</v>
      </c>
      <c r="J482">
        <v>12</v>
      </c>
      <c r="K482">
        <v>1176000</v>
      </c>
      <c r="L482">
        <v>12</v>
      </c>
      <c r="M482">
        <v>5</v>
      </c>
      <c r="N482">
        <v>29400</v>
      </c>
      <c r="O482">
        <v>90</v>
      </c>
      <c r="P482">
        <v>15</v>
      </c>
      <c r="Q482">
        <v>1</v>
      </c>
      <c r="S482" t="s">
        <v>38</v>
      </c>
      <c r="T482">
        <v>5</v>
      </c>
      <c r="U482">
        <v>1750</v>
      </c>
      <c r="V482" t="s">
        <v>58</v>
      </c>
      <c r="W482" t="s">
        <v>1077</v>
      </c>
      <c r="X482" t="s">
        <v>33</v>
      </c>
      <c r="Y482">
        <v>20</v>
      </c>
    </row>
    <row r="483" spans="1:25">
      <c r="A483" t="s">
        <v>1007</v>
      </c>
      <c r="B483" t="s">
        <v>1008</v>
      </c>
      <c r="C483">
        <v>21</v>
      </c>
      <c r="D483" t="s">
        <v>46</v>
      </c>
      <c r="E483" t="s">
        <v>17</v>
      </c>
      <c r="F483" t="s">
        <v>66</v>
      </c>
      <c r="G483" t="s">
        <v>1046</v>
      </c>
      <c r="H483" t="s">
        <v>1060</v>
      </c>
      <c r="I483">
        <v>20000</v>
      </c>
      <c r="J483">
        <v>12</v>
      </c>
      <c r="K483">
        <v>240000</v>
      </c>
      <c r="L483">
        <v>0</v>
      </c>
      <c r="M483">
        <v>2</v>
      </c>
      <c r="N483" t="s">
        <v>1077</v>
      </c>
      <c r="O483">
        <v>88</v>
      </c>
      <c r="P483">
        <v>15</v>
      </c>
      <c r="Q483">
        <v>1</v>
      </c>
      <c r="R483" t="s">
        <v>21</v>
      </c>
      <c r="S483" t="s">
        <v>38</v>
      </c>
      <c r="T483">
        <v>20</v>
      </c>
      <c r="U483">
        <v>5000</v>
      </c>
      <c r="V483" t="s">
        <v>39</v>
      </c>
      <c r="W483" t="s">
        <v>1077</v>
      </c>
      <c r="X483" t="s">
        <v>33</v>
      </c>
      <c r="Y483">
        <v>20</v>
      </c>
    </row>
    <row r="484" spans="1:25">
      <c r="A484" t="s">
        <v>1009</v>
      </c>
      <c r="B484" t="s">
        <v>1010</v>
      </c>
      <c r="C484">
        <v>25</v>
      </c>
      <c r="D484" t="s">
        <v>25</v>
      </c>
      <c r="E484" t="s">
        <v>35</v>
      </c>
      <c r="F484" t="s">
        <v>42</v>
      </c>
      <c r="G484" t="s">
        <v>1045</v>
      </c>
      <c r="H484" t="s">
        <v>1059</v>
      </c>
      <c r="I484">
        <v>78000</v>
      </c>
      <c r="J484">
        <v>12</v>
      </c>
      <c r="K484">
        <v>936000</v>
      </c>
      <c r="L484">
        <v>7</v>
      </c>
      <c r="M484">
        <v>5</v>
      </c>
      <c r="N484">
        <v>23400</v>
      </c>
      <c r="O484">
        <v>85</v>
      </c>
      <c r="P484">
        <v>5</v>
      </c>
      <c r="Q484">
        <v>3</v>
      </c>
      <c r="S484" t="s">
        <v>28</v>
      </c>
      <c r="U484">
        <v>0</v>
      </c>
      <c r="V484" t="s">
        <v>58</v>
      </c>
      <c r="W484" t="s">
        <v>1077</v>
      </c>
      <c r="X484" t="s">
        <v>20</v>
      </c>
      <c r="Y484">
        <v>14</v>
      </c>
    </row>
    <row r="485" spans="1:25">
      <c r="A485" t="s">
        <v>1011</v>
      </c>
      <c r="B485" t="s">
        <v>1012</v>
      </c>
      <c r="C485">
        <v>39</v>
      </c>
      <c r="D485" t="s">
        <v>1077</v>
      </c>
      <c r="E485" t="s">
        <v>17</v>
      </c>
      <c r="F485" t="s">
        <v>27</v>
      </c>
      <c r="G485" t="s">
        <v>32</v>
      </c>
      <c r="H485" t="s">
        <v>1060</v>
      </c>
      <c r="I485">
        <v>90000</v>
      </c>
      <c r="J485">
        <v>12</v>
      </c>
      <c r="K485">
        <v>1080000</v>
      </c>
      <c r="L485">
        <v>12</v>
      </c>
      <c r="M485">
        <v>1</v>
      </c>
      <c r="N485" t="s">
        <v>1077</v>
      </c>
      <c r="O485">
        <v>80</v>
      </c>
      <c r="P485">
        <v>15</v>
      </c>
      <c r="Q485">
        <v>5</v>
      </c>
      <c r="R485" t="s">
        <v>21</v>
      </c>
      <c r="S485" t="s">
        <v>38</v>
      </c>
      <c r="T485">
        <v>20</v>
      </c>
      <c r="U485">
        <v>7000</v>
      </c>
      <c r="V485" t="s">
        <v>39</v>
      </c>
      <c r="W485" t="s">
        <v>1077</v>
      </c>
      <c r="X485" t="s">
        <v>20</v>
      </c>
      <c r="Y485">
        <v>12</v>
      </c>
    </row>
    <row r="486" spans="1:25">
      <c r="A486" t="s">
        <v>1013</v>
      </c>
      <c r="B486" t="s">
        <v>1014</v>
      </c>
      <c r="C486">
        <v>25</v>
      </c>
      <c r="D486" t="s">
        <v>1077</v>
      </c>
      <c r="E486" t="s">
        <v>61</v>
      </c>
      <c r="F486" t="s">
        <v>18</v>
      </c>
      <c r="G486" t="s">
        <v>43</v>
      </c>
      <c r="H486" t="s">
        <v>1059</v>
      </c>
      <c r="I486">
        <v>24000</v>
      </c>
      <c r="J486">
        <v>12</v>
      </c>
      <c r="K486">
        <v>288000</v>
      </c>
      <c r="L486">
        <v>1</v>
      </c>
      <c r="M486">
        <v>5</v>
      </c>
      <c r="N486">
        <v>7200</v>
      </c>
      <c r="O486">
        <v>90</v>
      </c>
      <c r="P486">
        <v>10</v>
      </c>
      <c r="Q486">
        <v>3</v>
      </c>
      <c r="R486" t="s">
        <v>21</v>
      </c>
      <c r="S486" t="s">
        <v>28</v>
      </c>
      <c r="T486">
        <v>10</v>
      </c>
      <c r="U486">
        <v>2500</v>
      </c>
      <c r="V486" t="s">
        <v>58</v>
      </c>
      <c r="W486" t="s">
        <v>1077</v>
      </c>
      <c r="X486" t="s">
        <v>20</v>
      </c>
      <c r="Y486">
        <v>10</v>
      </c>
    </row>
    <row r="487" spans="1:25">
      <c r="A487" t="s">
        <v>1015</v>
      </c>
      <c r="B487" t="s">
        <v>1016</v>
      </c>
      <c r="C487">
        <v>23</v>
      </c>
      <c r="D487" t="s">
        <v>25</v>
      </c>
      <c r="E487" t="s">
        <v>35</v>
      </c>
      <c r="F487" t="s">
        <v>66</v>
      </c>
      <c r="G487" t="s">
        <v>1046</v>
      </c>
      <c r="H487" t="s">
        <v>1060</v>
      </c>
      <c r="I487">
        <v>20000</v>
      </c>
      <c r="J487">
        <v>12</v>
      </c>
      <c r="K487">
        <v>240000</v>
      </c>
      <c r="L487">
        <v>0</v>
      </c>
      <c r="M487">
        <v>1</v>
      </c>
      <c r="N487" t="s">
        <v>1077</v>
      </c>
      <c r="O487">
        <v>88</v>
      </c>
      <c r="P487">
        <v>5</v>
      </c>
      <c r="Q487">
        <v>2</v>
      </c>
      <c r="S487" t="s">
        <v>38</v>
      </c>
      <c r="T487">
        <v>20</v>
      </c>
      <c r="U487">
        <v>5000</v>
      </c>
      <c r="V487" t="s">
        <v>39</v>
      </c>
      <c r="W487" t="s">
        <v>1077</v>
      </c>
      <c r="X487" t="s">
        <v>33</v>
      </c>
      <c r="Y487">
        <v>20</v>
      </c>
    </row>
    <row r="488" spans="1:25">
      <c r="A488" t="s">
        <v>1017</v>
      </c>
      <c r="B488" t="s">
        <v>1018</v>
      </c>
      <c r="C488">
        <v>24</v>
      </c>
      <c r="D488" t="s">
        <v>1077</v>
      </c>
      <c r="E488" t="s">
        <v>57</v>
      </c>
      <c r="F488" t="s">
        <v>27</v>
      </c>
      <c r="G488" t="s">
        <v>1046</v>
      </c>
      <c r="H488" t="s">
        <v>1060</v>
      </c>
      <c r="I488">
        <v>29000</v>
      </c>
      <c r="J488">
        <v>12</v>
      </c>
      <c r="K488">
        <v>348000</v>
      </c>
      <c r="L488">
        <v>1</v>
      </c>
      <c r="M488">
        <v>4</v>
      </c>
      <c r="N488">
        <v>8700</v>
      </c>
      <c r="O488">
        <v>85</v>
      </c>
      <c r="P488">
        <v>5</v>
      </c>
      <c r="Q488">
        <v>8</v>
      </c>
      <c r="R488" t="s">
        <v>37</v>
      </c>
      <c r="S488" t="s">
        <v>19</v>
      </c>
      <c r="T488">
        <v>5</v>
      </c>
      <c r="U488">
        <v>1250</v>
      </c>
      <c r="V488" t="s">
        <v>58</v>
      </c>
      <c r="W488" t="s">
        <v>1077</v>
      </c>
      <c r="X488" t="s">
        <v>20</v>
      </c>
      <c r="Y488">
        <v>12</v>
      </c>
    </row>
    <row r="489" spans="1:25">
      <c r="A489" t="s">
        <v>1019</v>
      </c>
      <c r="B489" t="s">
        <v>1020</v>
      </c>
      <c r="C489">
        <v>24</v>
      </c>
      <c r="D489" t="s">
        <v>25</v>
      </c>
      <c r="E489" t="s">
        <v>47</v>
      </c>
      <c r="F489" t="s">
        <v>66</v>
      </c>
      <c r="G489" t="s">
        <v>1046</v>
      </c>
      <c r="H489" t="s">
        <v>1060</v>
      </c>
      <c r="I489">
        <v>29000</v>
      </c>
      <c r="J489">
        <v>12</v>
      </c>
      <c r="K489">
        <v>348000</v>
      </c>
      <c r="L489">
        <v>2</v>
      </c>
      <c r="M489">
        <v>3</v>
      </c>
      <c r="N489">
        <v>8700</v>
      </c>
      <c r="O489">
        <v>88</v>
      </c>
      <c r="P489">
        <v>15</v>
      </c>
      <c r="Q489">
        <v>2</v>
      </c>
      <c r="R489" t="s">
        <v>21</v>
      </c>
      <c r="S489" t="s">
        <v>19</v>
      </c>
      <c r="U489">
        <v>0</v>
      </c>
      <c r="V489" t="s">
        <v>22</v>
      </c>
      <c r="W489" t="s">
        <v>1077</v>
      </c>
      <c r="X489" t="s">
        <v>33</v>
      </c>
      <c r="Y489">
        <v>20</v>
      </c>
    </row>
    <row r="490" spans="1:25">
      <c r="A490" t="s">
        <v>1021</v>
      </c>
      <c r="B490" t="s">
        <v>1022</v>
      </c>
      <c r="C490">
        <v>23</v>
      </c>
      <c r="D490" t="s">
        <v>46</v>
      </c>
      <c r="E490" t="s">
        <v>17</v>
      </c>
      <c r="F490" t="s">
        <v>18</v>
      </c>
      <c r="G490" t="s">
        <v>1046</v>
      </c>
      <c r="H490" t="s">
        <v>1060</v>
      </c>
      <c r="I490">
        <v>20000</v>
      </c>
      <c r="J490">
        <v>12</v>
      </c>
      <c r="K490">
        <v>240000</v>
      </c>
      <c r="L490">
        <v>0</v>
      </c>
      <c r="M490">
        <v>1</v>
      </c>
      <c r="N490" t="s">
        <v>1077</v>
      </c>
      <c r="O490">
        <v>80</v>
      </c>
      <c r="P490">
        <v>15</v>
      </c>
      <c r="Q490">
        <v>2</v>
      </c>
      <c r="R490" t="s">
        <v>37</v>
      </c>
      <c r="S490" t="s">
        <v>19</v>
      </c>
      <c r="T490">
        <v>10</v>
      </c>
      <c r="U490">
        <v>2500</v>
      </c>
      <c r="V490" t="s">
        <v>39</v>
      </c>
      <c r="W490" t="s">
        <v>1077</v>
      </c>
      <c r="X490" t="s">
        <v>20</v>
      </c>
      <c r="Y490">
        <v>10</v>
      </c>
    </row>
    <row r="491" spans="1:25">
      <c r="A491" t="s">
        <v>1023</v>
      </c>
      <c r="B491" t="s">
        <v>1024</v>
      </c>
      <c r="C491">
        <v>24</v>
      </c>
      <c r="D491" t="s">
        <v>1077</v>
      </c>
      <c r="E491" t="s">
        <v>64</v>
      </c>
      <c r="F491" t="s">
        <v>42</v>
      </c>
      <c r="G491" t="s">
        <v>43</v>
      </c>
      <c r="H491" t="s">
        <v>1059</v>
      </c>
      <c r="I491">
        <v>22000</v>
      </c>
      <c r="J491">
        <v>12</v>
      </c>
      <c r="K491">
        <v>264000</v>
      </c>
      <c r="L491">
        <v>1</v>
      </c>
      <c r="M491">
        <v>1</v>
      </c>
      <c r="N491" t="s">
        <v>1077</v>
      </c>
      <c r="O491">
        <v>95</v>
      </c>
      <c r="P491">
        <v>15</v>
      </c>
      <c r="Q491">
        <v>3</v>
      </c>
      <c r="R491" t="s">
        <v>21</v>
      </c>
      <c r="S491" t="s">
        <v>28</v>
      </c>
      <c r="T491">
        <v>20</v>
      </c>
      <c r="U491">
        <v>5000</v>
      </c>
      <c r="V491" t="s">
        <v>39</v>
      </c>
      <c r="W491" t="s">
        <v>1077</v>
      </c>
      <c r="X491" t="s">
        <v>20</v>
      </c>
      <c r="Y491">
        <v>14</v>
      </c>
    </row>
    <row r="492" spans="1:25">
      <c r="A492" t="s">
        <v>1025</v>
      </c>
      <c r="B492" t="s">
        <v>1026</v>
      </c>
      <c r="C492">
        <v>24</v>
      </c>
      <c r="D492" t="s">
        <v>25</v>
      </c>
      <c r="E492" t="s">
        <v>47</v>
      </c>
      <c r="F492" t="s">
        <v>31</v>
      </c>
      <c r="G492" t="s">
        <v>43</v>
      </c>
      <c r="H492" t="s">
        <v>1060</v>
      </c>
      <c r="I492">
        <v>24000</v>
      </c>
      <c r="J492">
        <v>12</v>
      </c>
      <c r="K492">
        <v>288000</v>
      </c>
      <c r="L492">
        <v>1</v>
      </c>
      <c r="M492">
        <v>4</v>
      </c>
      <c r="N492">
        <v>7200</v>
      </c>
      <c r="O492">
        <v>88</v>
      </c>
      <c r="P492">
        <v>5</v>
      </c>
      <c r="Q492">
        <v>5</v>
      </c>
      <c r="S492" t="s">
        <v>38</v>
      </c>
      <c r="U492">
        <v>0</v>
      </c>
      <c r="V492" t="s">
        <v>22</v>
      </c>
      <c r="W492" t="s">
        <v>1077</v>
      </c>
      <c r="X492" t="s">
        <v>33</v>
      </c>
      <c r="Y492">
        <v>13</v>
      </c>
    </row>
    <row r="493" spans="1:25">
      <c r="A493" t="s">
        <v>995</v>
      </c>
      <c r="B493" t="s">
        <v>996</v>
      </c>
      <c r="C493">
        <v>24</v>
      </c>
      <c r="D493" t="s">
        <v>46</v>
      </c>
      <c r="E493" t="s">
        <v>73</v>
      </c>
      <c r="F493" t="s">
        <v>18</v>
      </c>
      <c r="G493" t="s">
        <v>43</v>
      </c>
      <c r="H493" t="s">
        <v>1059</v>
      </c>
      <c r="I493">
        <v>28000</v>
      </c>
      <c r="J493">
        <v>12</v>
      </c>
      <c r="K493">
        <v>336000</v>
      </c>
      <c r="L493">
        <v>2</v>
      </c>
      <c r="M493">
        <v>4</v>
      </c>
      <c r="N493">
        <v>8400</v>
      </c>
      <c r="O493">
        <v>95</v>
      </c>
      <c r="P493">
        <v>15</v>
      </c>
      <c r="Q493">
        <v>3</v>
      </c>
      <c r="R493" t="s">
        <v>37</v>
      </c>
      <c r="S493" t="s">
        <v>28</v>
      </c>
      <c r="U493">
        <v>0</v>
      </c>
      <c r="V493" t="s">
        <v>58</v>
      </c>
      <c r="W493" t="s">
        <v>1077</v>
      </c>
      <c r="X493" t="s">
        <v>20</v>
      </c>
      <c r="Y493">
        <v>10</v>
      </c>
    </row>
    <row r="494" spans="1:25">
      <c r="A494" t="s">
        <v>1027</v>
      </c>
      <c r="B494" t="s">
        <v>1028</v>
      </c>
      <c r="C494">
        <v>23</v>
      </c>
      <c r="D494" t="s">
        <v>25</v>
      </c>
      <c r="E494" t="s">
        <v>17</v>
      </c>
      <c r="F494" t="s">
        <v>31</v>
      </c>
      <c r="G494" t="s">
        <v>43</v>
      </c>
      <c r="H494" t="s">
        <v>1060</v>
      </c>
      <c r="I494">
        <v>28000</v>
      </c>
      <c r="J494">
        <v>12</v>
      </c>
      <c r="K494">
        <v>336000</v>
      </c>
      <c r="L494">
        <v>2</v>
      </c>
      <c r="M494">
        <v>2</v>
      </c>
      <c r="N494" t="s">
        <v>1077</v>
      </c>
      <c r="O494">
        <v>85</v>
      </c>
      <c r="P494">
        <v>10</v>
      </c>
      <c r="Q494">
        <v>1</v>
      </c>
      <c r="R494" t="s">
        <v>37</v>
      </c>
      <c r="S494" t="s">
        <v>19</v>
      </c>
      <c r="T494">
        <v>10</v>
      </c>
      <c r="U494">
        <v>2500</v>
      </c>
      <c r="V494" t="s">
        <v>39</v>
      </c>
      <c r="W494" t="s">
        <v>1077</v>
      </c>
      <c r="X494" t="s">
        <v>33</v>
      </c>
      <c r="Y494">
        <v>13</v>
      </c>
    </row>
    <row r="495" spans="1:25">
      <c r="A495" t="s">
        <v>1029</v>
      </c>
      <c r="B495" t="s">
        <v>1030</v>
      </c>
      <c r="C495">
        <v>28</v>
      </c>
      <c r="D495" t="s">
        <v>46</v>
      </c>
      <c r="E495" t="s">
        <v>61</v>
      </c>
      <c r="F495" t="s">
        <v>42</v>
      </c>
      <c r="G495" t="s">
        <v>1045</v>
      </c>
      <c r="H495" t="s">
        <v>1060</v>
      </c>
      <c r="I495">
        <v>77000</v>
      </c>
      <c r="J495">
        <v>12</v>
      </c>
      <c r="K495">
        <v>924000</v>
      </c>
      <c r="L495">
        <v>5</v>
      </c>
      <c r="M495">
        <v>2</v>
      </c>
      <c r="N495" t="s">
        <v>1077</v>
      </c>
      <c r="O495">
        <v>95</v>
      </c>
      <c r="P495">
        <v>15</v>
      </c>
      <c r="Q495">
        <v>2</v>
      </c>
      <c r="R495" t="s">
        <v>37</v>
      </c>
      <c r="S495" t="s">
        <v>38</v>
      </c>
      <c r="T495">
        <v>10</v>
      </c>
      <c r="U495">
        <v>3000</v>
      </c>
      <c r="V495" t="s">
        <v>39</v>
      </c>
      <c r="W495" t="s">
        <v>1077</v>
      </c>
      <c r="X495" t="s">
        <v>20</v>
      </c>
      <c r="Y495">
        <v>14</v>
      </c>
    </row>
    <row r="496" spans="1:25">
      <c r="A496" t="s">
        <v>1031</v>
      </c>
      <c r="B496" t="s">
        <v>1032</v>
      </c>
      <c r="C496">
        <v>25</v>
      </c>
      <c r="D496" t="s">
        <v>25</v>
      </c>
      <c r="E496" t="s">
        <v>50</v>
      </c>
      <c r="F496" t="s">
        <v>31</v>
      </c>
      <c r="G496" t="s">
        <v>43</v>
      </c>
      <c r="H496" t="s">
        <v>1060</v>
      </c>
      <c r="I496">
        <v>24000</v>
      </c>
      <c r="J496">
        <v>12</v>
      </c>
      <c r="K496">
        <v>288000</v>
      </c>
      <c r="L496">
        <v>1</v>
      </c>
      <c r="M496">
        <v>2</v>
      </c>
      <c r="N496" t="s">
        <v>1077</v>
      </c>
      <c r="O496">
        <v>85</v>
      </c>
      <c r="P496">
        <v>10</v>
      </c>
      <c r="Q496">
        <v>5</v>
      </c>
      <c r="R496" t="s">
        <v>37</v>
      </c>
      <c r="S496" t="s">
        <v>19</v>
      </c>
      <c r="T496">
        <v>10</v>
      </c>
      <c r="U496">
        <v>2500</v>
      </c>
      <c r="V496" t="s">
        <v>39</v>
      </c>
      <c r="W496" t="s">
        <v>1077</v>
      </c>
      <c r="X496" t="s">
        <v>33</v>
      </c>
      <c r="Y496">
        <v>13</v>
      </c>
    </row>
    <row r="497" spans="1:25">
      <c r="A497" t="s">
        <v>1033</v>
      </c>
      <c r="B497" t="s">
        <v>1034</v>
      </c>
      <c r="C497">
        <v>25</v>
      </c>
      <c r="D497" t="s">
        <v>25</v>
      </c>
      <c r="E497" t="s">
        <v>47</v>
      </c>
      <c r="F497" t="s">
        <v>18</v>
      </c>
      <c r="G497" t="s">
        <v>43</v>
      </c>
      <c r="H497" t="s">
        <v>1060</v>
      </c>
      <c r="I497">
        <v>19500</v>
      </c>
      <c r="J497">
        <v>12</v>
      </c>
      <c r="K497">
        <v>234000</v>
      </c>
      <c r="L497">
        <v>1</v>
      </c>
      <c r="M497">
        <v>1</v>
      </c>
      <c r="N497" t="s">
        <v>1077</v>
      </c>
      <c r="O497">
        <v>80</v>
      </c>
      <c r="P497">
        <v>15</v>
      </c>
      <c r="Q497">
        <v>3</v>
      </c>
      <c r="R497" t="s">
        <v>37</v>
      </c>
      <c r="S497" t="s">
        <v>38</v>
      </c>
      <c r="T497">
        <v>20</v>
      </c>
      <c r="U497">
        <v>5000</v>
      </c>
      <c r="V497" t="s">
        <v>39</v>
      </c>
      <c r="W497" t="s">
        <v>1077</v>
      </c>
      <c r="X497" t="s">
        <v>20</v>
      </c>
      <c r="Y497">
        <v>10</v>
      </c>
    </row>
    <row r="498" spans="1:25">
      <c r="A498" t="s">
        <v>1035</v>
      </c>
      <c r="B498" t="s">
        <v>1036</v>
      </c>
      <c r="C498">
        <v>24</v>
      </c>
      <c r="D498" t="s">
        <v>25</v>
      </c>
      <c r="E498" t="s">
        <v>17</v>
      </c>
      <c r="F498" t="s">
        <v>27</v>
      </c>
      <c r="G498" t="s">
        <v>43</v>
      </c>
      <c r="H498" t="s">
        <v>1059</v>
      </c>
      <c r="I498">
        <v>28000</v>
      </c>
      <c r="J498">
        <v>12</v>
      </c>
      <c r="K498">
        <v>336000</v>
      </c>
      <c r="L498">
        <v>2</v>
      </c>
      <c r="M498">
        <v>5</v>
      </c>
      <c r="N498">
        <v>8400</v>
      </c>
      <c r="O498">
        <v>95</v>
      </c>
      <c r="P498">
        <v>5</v>
      </c>
      <c r="Q498">
        <v>2</v>
      </c>
      <c r="R498" t="s">
        <v>37</v>
      </c>
      <c r="S498" t="s">
        <v>28</v>
      </c>
      <c r="T498">
        <v>5</v>
      </c>
      <c r="U498">
        <v>1250</v>
      </c>
      <c r="V498" t="s">
        <v>58</v>
      </c>
      <c r="W498" t="s">
        <v>1077</v>
      </c>
      <c r="X498" t="s">
        <v>20</v>
      </c>
      <c r="Y498">
        <v>12</v>
      </c>
    </row>
    <row r="499" spans="1:25">
      <c r="A499" t="s">
        <v>1037</v>
      </c>
      <c r="B499" t="s">
        <v>1038</v>
      </c>
      <c r="C499">
        <v>24</v>
      </c>
      <c r="D499" t="s">
        <v>1077</v>
      </c>
      <c r="E499" t="s">
        <v>17</v>
      </c>
      <c r="F499" t="s">
        <v>18</v>
      </c>
      <c r="G499" t="s">
        <v>43</v>
      </c>
      <c r="H499" t="s">
        <v>1060</v>
      </c>
      <c r="I499">
        <v>19800</v>
      </c>
      <c r="J499">
        <v>12</v>
      </c>
      <c r="K499">
        <v>237600</v>
      </c>
      <c r="L499">
        <v>1</v>
      </c>
      <c r="M499">
        <v>4</v>
      </c>
      <c r="N499">
        <v>5940</v>
      </c>
      <c r="O499">
        <v>85</v>
      </c>
      <c r="P499">
        <v>5</v>
      </c>
      <c r="Q499">
        <v>6</v>
      </c>
      <c r="R499" t="s">
        <v>21</v>
      </c>
      <c r="S499" t="s">
        <v>38</v>
      </c>
      <c r="T499">
        <v>20</v>
      </c>
      <c r="U499">
        <v>5000</v>
      </c>
      <c r="V499" t="s">
        <v>22</v>
      </c>
      <c r="W499" t="s">
        <v>1077</v>
      </c>
      <c r="X499" t="s">
        <v>20</v>
      </c>
      <c r="Y499">
        <v>10</v>
      </c>
    </row>
    <row r="500" spans="1:25">
      <c r="A500" t="s">
        <v>1039</v>
      </c>
      <c r="B500" t="s">
        <v>1040</v>
      </c>
      <c r="C500">
        <v>23</v>
      </c>
      <c r="D500" t="s">
        <v>25</v>
      </c>
      <c r="E500" t="s">
        <v>17</v>
      </c>
      <c r="F500" t="s">
        <v>66</v>
      </c>
      <c r="G500" t="s">
        <v>43</v>
      </c>
      <c r="H500" t="s">
        <v>1060</v>
      </c>
      <c r="I500">
        <v>28000</v>
      </c>
      <c r="J500">
        <v>12</v>
      </c>
      <c r="K500">
        <v>336000</v>
      </c>
      <c r="L500">
        <v>2</v>
      </c>
      <c r="M500">
        <v>2</v>
      </c>
      <c r="N500" t="s">
        <v>1077</v>
      </c>
      <c r="O500">
        <v>85</v>
      </c>
      <c r="P500">
        <v>5</v>
      </c>
      <c r="Q500">
        <v>3</v>
      </c>
      <c r="R500" t="s">
        <v>21</v>
      </c>
      <c r="S500" t="s">
        <v>38</v>
      </c>
      <c r="T500">
        <v>20</v>
      </c>
      <c r="U500">
        <v>5000</v>
      </c>
      <c r="V500" t="s">
        <v>39</v>
      </c>
      <c r="W500" t="s">
        <v>1077</v>
      </c>
      <c r="X500" t="s">
        <v>33</v>
      </c>
      <c r="Y500">
        <v>20</v>
      </c>
    </row>
    <row r="501" spans="1:25">
      <c r="A501" t="s">
        <v>1041</v>
      </c>
      <c r="B501" t="s">
        <v>1042</v>
      </c>
      <c r="C501">
        <v>24</v>
      </c>
      <c r="D501" t="s">
        <v>25</v>
      </c>
      <c r="E501" t="s">
        <v>50</v>
      </c>
      <c r="F501" t="s">
        <v>18</v>
      </c>
      <c r="G501" t="s">
        <v>43</v>
      </c>
      <c r="H501" t="s">
        <v>1060</v>
      </c>
      <c r="I501">
        <v>19800</v>
      </c>
      <c r="J501">
        <v>12</v>
      </c>
      <c r="K501">
        <v>237600</v>
      </c>
      <c r="L501">
        <v>1</v>
      </c>
      <c r="M501">
        <v>1</v>
      </c>
      <c r="N501" t="s">
        <v>1077</v>
      </c>
      <c r="O501">
        <v>88</v>
      </c>
      <c r="P501">
        <v>15</v>
      </c>
      <c r="Q501">
        <v>5</v>
      </c>
      <c r="R501" t="s">
        <v>37</v>
      </c>
      <c r="S501" t="s">
        <v>38</v>
      </c>
      <c r="U501">
        <v>0</v>
      </c>
      <c r="V501" t="s">
        <v>39</v>
      </c>
      <c r="W501" t="s">
        <v>1077</v>
      </c>
      <c r="X501" t="s">
        <v>20</v>
      </c>
      <c r="Y501">
        <v>10</v>
      </c>
    </row>
    <row r="502" spans="1:25">
      <c r="A502" t="s">
        <v>1043</v>
      </c>
      <c r="B502" t="s">
        <v>1044</v>
      </c>
      <c r="C502">
        <v>20</v>
      </c>
      <c r="D502" t="s">
        <v>46</v>
      </c>
      <c r="E502" t="s">
        <v>47</v>
      </c>
      <c r="F502" t="s">
        <v>66</v>
      </c>
      <c r="G502" t="s">
        <v>1046</v>
      </c>
      <c r="H502" t="s">
        <v>1060</v>
      </c>
      <c r="I502">
        <v>20000</v>
      </c>
      <c r="J502">
        <v>12</v>
      </c>
      <c r="K502">
        <v>240000</v>
      </c>
      <c r="L502">
        <v>1</v>
      </c>
      <c r="M502">
        <v>1</v>
      </c>
      <c r="N502" t="s">
        <v>1077</v>
      </c>
      <c r="O502">
        <v>95</v>
      </c>
      <c r="P502">
        <v>10</v>
      </c>
      <c r="Q502">
        <v>5</v>
      </c>
      <c r="R502" t="s">
        <v>37</v>
      </c>
      <c r="S502" t="s">
        <v>19</v>
      </c>
      <c r="U502">
        <v>0</v>
      </c>
      <c r="V502" t="s">
        <v>39</v>
      </c>
      <c r="W502" t="s">
        <v>1077</v>
      </c>
      <c r="X502" t="s">
        <v>33</v>
      </c>
      <c r="Y502">
        <v>20</v>
      </c>
    </row>
  </sheetData>
  <conditionalFormatting sqref="A1:XFD1048576">
    <cfRule type="cellIs" dxfId="3" priority="2" operator="equal">
      <formula>"Exclude"</formula>
    </cfRule>
  </conditionalFormatting>
  <conditionalFormatting sqref="I2:I502">
    <cfRule type="cellIs" dxfId="2" priority="1" operator="greaterThan">
      <formula>100000</formula>
    </cfRule>
  </conditionalFormatting>
  <dataValidations count="4">
    <dataValidation type="list" allowBlank="1" showInputMessage="1" showErrorMessage="1" sqref="D3:D502 D2" xr:uid="{CE081ED1-9896-462C-8079-DF0E822E10C7}">
      <formula1>"M,F"</formula1>
    </dataValidation>
    <dataValidation type="list" allowBlank="1" showInputMessage="1" showErrorMessage="1" sqref="M2:M357" xr:uid="{F00F5DDE-5D70-40FB-A2EA-4002F4FA6E67}">
      <formula1>"1,2,3,4,5"</formula1>
    </dataValidation>
    <dataValidation type="list" allowBlank="1" showInputMessage="1" showErrorMessage="1" sqref="J2:J502" xr:uid="{59160C50-A49F-4433-8CFF-667CC77A3F9A}">
      <formula1>"12"</formula1>
    </dataValidation>
    <dataValidation type="list" allowBlank="1" showInputMessage="1" showErrorMessage="1" sqref="S2:S502" xr:uid="{16F1FB4B-11D6-4215-8B84-8A14F5CB489C}">
      <formula1>"Office, Hybrid, Remote"</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A3AEA-442B-4B28-BC38-6E2BA0CA5658}">
  <sheetPr>
    <tabColor rgb="FF00B050"/>
  </sheetPr>
  <dimension ref="A1:Y496"/>
  <sheetViews>
    <sheetView workbookViewId="0"/>
  </sheetViews>
  <sheetFormatPr defaultRowHeight="14.5"/>
  <cols>
    <col min="1" max="1" width="9.6328125" bestFit="1" customWidth="1"/>
    <col min="2" max="2" width="19.36328125" bestFit="1" customWidth="1"/>
    <col min="3" max="3" width="6.1796875" bestFit="1" customWidth="1"/>
    <col min="4" max="4" width="14.1796875" bestFit="1" customWidth="1"/>
    <col min="5" max="5" width="10" bestFit="1" customWidth="1"/>
    <col min="6" max="6" width="16.08984375" customWidth="1"/>
    <col min="7" max="7" width="21.08984375" bestFit="1" customWidth="1"/>
    <col min="8" max="8" width="15.54296875" bestFit="1" customWidth="1"/>
    <col min="9" max="9" width="16.26953125" bestFit="1" customWidth="1"/>
    <col min="10" max="10" width="18.81640625" bestFit="1" customWidth="1"/>
    <col min="11" max="11" width="15" bestFit="1" customWidth="1"/>
    <col min="12" max="12" width="16.6328125" bestFit="1" customWidth="1"/>
    <col min="13" max="13" width="20.36328125" bestFit="1" customWidth="1"/>
    <col min="14" max="14" width="12.6328125" bestFit="1" customWidth="1"/>
    <col min="15" max="15" width="15.36328125" bestFit="1" customWidth="1"/>
    <col min="16" max="16" width="14.7265625" bestFit="1" customWidth="1"/>
    <col min="17" max="17" width="18" bestFit="1" customWidth="1"/>
    <col min="18" max="18" width="18.453125" bestFit="1" customWidth="1"/>
    <col min="19" max="19" width="13.6328125" bestFit="1" customWidth="1"/>
    <col min="20" max="20" width="17" bestFit="1" customWidth="1"/>
    <col min="21" max="21" width="15.7265625" bestFit="1" customWidth="1"/>
    <col min="22" max="22" width="13.36328125" bestFit="1" customWidth="1"/>
    <col min="23" max="23" width="10.81640625" bestFit="1" customWidth="1"/>
    <col min="24" max="24" width="6.90625" bestFit="1" customWidth="1"/>
    <col min="25" max="25" width="15.90625" bestFit="1" customWidth="1"/>
  </cols>
  <sheetData>
    <row r="1" spans="1:25">
      <c r="A1" t="s">
        <v>1061</v>
      </c>
      <c r="B1" t="s">
        <v>1062</v>
      </c>
      <c r="C1" t="s">
        <v>0</v>
      </c>
      <c r="D1" t="s">
        <v>1</v>
      </c>
      <c r="E1" t="s">
        <v>2</v>
      </c>
      <c r="F1" t="s">
        <v>3</v>
      </c>
      <c r="G1" t="s">
        <v>4</v>
      </c>
      <c r="H1" t="s">
        <v>1058</v>
      </c>
      <c r="I1" t="s">
        <v>1052</v>
      </c>
      <c r="J1" t="s">
        <v>1053</v>
      </c>
      <c r="K1" t="s">
        <v>1075</v>
      </c>
      <c r="L1" t="s">
        <v>1072</v>
      </c>
      <c r="M1" t="s">
        <v>5</v>
      </c>
      <c r="N1" t="s">
        <v>6</v>
      </c>
      <c r="O1" t="s">
        <v>7</v>
      </c>
      <c r="P1" t="s">
        <v>8</v>
      </c>
      <c r="Q1" t="s">
        <v>9</v>
      </c>
      <c r="R1" t="s">
        <v>10</v>
      </c>
      <c r="S1" t="s">
        <v>11</v>
      </c>
      <c r="T1" t="s">
        <v>13</v>
      </c>
      <c r="U1" t="s">
        <v>1076</v>
      </c>
      <c r="V1" t="s">
        <v>15</v>
      </c>
      <c r="W1" t="s">
        <v>1064</v>
      </c>
      <c r="X1" t="s">
        <v>12</v>
      </c>
      <c r="Y1" t="s">
        <v>14</v>
      </c>
    </row>
    <row r="2" spans="1:25">
      <c r="A2" t="s">
        <v>23</v>
      </c>
      <c r="B2" t="s">
        <v>24</v>
      </c>
      <c r="C2">
        <v>44</v>
      </c>
      <c r="D2" t="s">
        <v>25</v>
      </c>
      <c r="E2" t="s">
        <v>26</v>
      </c>
      <c r="F2" t="s">
        <v>27</v>
      </c>
      <c r="G2" t="s">
        <v>1049</v>
      </c>
      <c r="H2" t="s">
        <v>1060</v>
      </c>
      <c r="I2">
        <v>99000</v>
      </c>
      <c r="J2">
        <v>12</v>
      </c>
      <c r="K2">
        <v>1188000</v>
      </c>
      <c r="L2">
        <v>11</v>
      </c>
      <c r="M2">
        <v>4</v>
      </c>
      <c r="N2">
        <v>29700</v>
      </c>
      <c r="O2">
        <v>90</v>
      </c>
      <c r="P2">
        <v>15</v>
      </c>
      <c r="Q2">
        <v>3</v>
      </c>
      <c r="S2" t="s">
        <v>38</v>
      </c>
      <c r="U2" t="s">
        <v>1077</v>
      </c>
      <c r="V2" t="s">
        <v>22</v>
      </c>
      <c r="W2" t="s">
        <v>1077</v>
      </c>
      <c r="X2" t="s">
        <v>20</v>
      </c>
      <c r="Y2">
        <v>12</v>
      </c>
    </row>
    <row r="3" spans="1:25">
      <c r="A3" t="s">
        <v>29</v>
      </c>
      <c r="B3" t="s">
        <v>30</v>
      </c>
      <c r="C3">
        <v>24</v>
      </c>
      <c r="D3" t="s">
        <v>25</v>
      </c>
      <c r="E3" t="s">
        <v>26</v>
      </c>
      <c r="F3" t="s">
        <v>31</v>
      </c>
      <c r="G3" t="s">
        <v>1045</v>
      </c>
      <c r="H3" t="s">
        <v>1060</v>
      </c>
      <c r="I3">
        <v>70500</v>
      </c>
      <c r="J3">
        <v>12</v>
      </c>
      <c r="K3">
        <v>846000</v>
      </c>
      <c r="L3">
        <v>7</v>
      </c>
      <c r="M3">
        <v>4</v>
      </c>
      <c r="N3">
        <v>21150</v>
      </c>
      <c r="O3">
        <v>80</v>
      </c>
      <c r="P3">
        <v>5</v>
      </c>
      <c r="Q3">
        <v>5</v>
      </c>
      <c r="S3" t="s">
        <v>38</v>
      </c>
      <c r="T3">
        <v>5</v>
      </c>
      <c r="U3">
        <v>1500</v>
      </c>
      <c r="V3" t="s">
        <v>22</v>
      </c>
      <c r="W3" t="s">
        <v>1077</v>
      </c>
      <c r="X3" t="s">
        <v>33</v>
      </c>
      <c r="Y3">
        <v>13</v>
      </c>
    </row>
    <row r="4" spans="1:25">
      <c r="A4" t="s">
        <v>40</v>
      </c>
      <c r="B4" t="s">
        <v>41</v>
      </c>
      <c r="C4">
        <v>25</v>
      </c>
      <c r="D4" t="s">
        <v>1077</v>
      </c>
      <c r="E4" t="s">
        <v>17</v>
      </c>
      <c r="F4" t="s">
        <v>42</v>
      </c>
      <c r="G4" t="s">
        <v>51</v>
      </c>
      <c r="H4" t="s">
        <v>1060</v>
      </c>
      <c r="I4">
        <v>36000</v>
      </c>
      <c r="J4">
        <v>12</v>
      </c>
      <c r="K4">
        <v>432000</v>
      </c>
      <c r="L4">
        <v>3</v>
      </c>
      <c r="M4">
        <v>3</v>
      </c>
      <c r="N4">
        <v>10800</v>
      </c>
      <c r="O4">
        <v>90</v>
      </c>
      <c r="P4">
        <v>5</v>
      </c>
      <c r="Q4">
        <v>1</v>
      </c>
      <c r="R4" t="s">
        <v>21</v>
      </c>
      <c r="S4" t="s">
        <v>38</v>
      </c>
      <c r="T4">
        <v>10</v>
      </c>
      <c r="U4">
        <v>3000</v>
      </c>
      <c r="V4" t="s">
        <v>22</v>
      </c>
      <c r="W4" t="s">
        <v>1077</v>
      </c>
      <c r="X4" t="s">
        <v>20</v>
      </c>
      <c r="Y4">
        <v>14</v>
      </c>
    </row>
    <row r="5" spans="1:25">
      <c r="A5" t="s">
        <v>44</v>
      </c>
      <c r="B5" t="s">
        <v>45</v>
      </c>
      <c r="C5">
        <v>27</v>
      </c>
      <c r="D5" t="s">
        <v>46</v>
      </c>
      <c r="E5" t="s">
        <v>47</v>
      </c>
      <c r="F5" t="s">
        <v>31</v>
      </c>
      <c r="G5" t="s">
        <v>51</v>
      </c>
      <c r="H5" t="s">
        <v>1060</v>
      </c>
      <c r="I5">
        <v>36000</v>
      </c>
      <c r="J5">
        <v>12</v>
      </c>
      <c r="K5">
        <v>432000</v>
      </c>
      <c r="L5">
        <v>3</v>
      </c>
      <c r="M5">
        <v>3</v>
      </c>
      <c r="N5">
        <v>10800</v>
      </c>
      <c r="O5">
        <v>80</v>
      </c>
      <c r="P5">
        <v>5</v>
      </c>
      <c r="Q5">
        <v>3</v>
      </c>
      <c r="S5" t="s">
        <v>19</v>
      </c>
      <c r="T5">
        <v>10</v>
      </c>
      <c r="U5">
        <v>3000</v>
      </c>
      <c r="V5" t="s">
        <v>22</v>
      </c>
      <c r="W5" t="s">
        <v>1077</v>
      </c>
      <c r="X5" t="s">
        <v>33</v>
      </c>
      <c r="Y5">
        <v>13</v>
      </c>
    </row>
    <row r="6" spans="1:25">
      <c r="A6" t="s">
        <v>48</v>
      </c>
      <c r="B6" t="s">
        <v>49</v>
      </c>
      <c r="C6">
        <v>27</v>
      </c>
      <c r="D6" t="s">
        <v>46</v>
      </c>
      <c r="E6" t="s">
        <v>50</v>
      </c>
      <c r="F6" t="s">
        <v>31</v>
      </c>
      <c r="G6" t="s">
        <v>51</v>
      </c>
      <c r="H6" t="s">
        <v>1060</v>
      </c>
      <c r="I6">
        <v>49000</v>
      </c>
      <c r="J6">
        <v>12</v>
      </c>
      <c r="K6">
        <v>588000</v>
      </c>
      <c r="L6">
        <v>4</v>
      </c>
      <c r="M6">
        <v>2</v>
      </c>
      <c r="N6" t="s">
        <v>1077</v>
      </c>
      <c r="O6">
        <v>95</v>
      </c>
      <c r="P6">
        <v>5</v>
      </c>
      <c r="Q6">
        <v>3</v>
      </c>
      <c r="R6" t="s">
        <v>37</v>
      </c>
      <c r="S6" t="s">
        <v>38</v>
      </c>
      <c r="T6">
        <v>5</v>
      </c>
      <c r="U6">
        <v>1500</v>
      </c>
      <c r="V6" t="s">
        <v>39</v>
      </c>
      <c r="W6" t="s">
        <v>1077</v>
      </c>
      <c r="X6" t="s">
        <v>33</v>
      </c>
      <c r="Y6">
        <v>13</v>
      </c>
    </row>
    <row r="7" spans="1:25">
      <c r="A7" t="s">
        <v>52</v>
      </c>
      <c r="B7" t="s">
        <v>53</v>
      </c>
      <c r="C7">
        <v>27</v>
      </c>
      <c r="D7" t="s">
        <v>1077</v>
      </c>
      <c r="E7" t="s">
        <v>50</v>
      </c>
      <c r="F7" t="s">
        <v>36</v>
      </c>
      <c r="G7" t="s">
        <v>51</v>
      </c>
      <c r="H7" t="s">
        <v>1060</v>
      </c>
      <c r="I7">
        <v>51000</v>
      </c>
      <c r="J7">
        <v>12</v>
      </c>
      <c r="K7">
        <v>612000</v>
      </c>
      <c r="L7">
        <v>4</v>
      </c>
      <c r="M7">
        <v>3</v>
      </c>
      <c r="N7">
        <v>15300</v>
      </c>
      <c r="O7">
        <v>88</v>
      </c>
      <c r="P7">
        <v>5</v>
      </c>
      <c r="Q7">
        <v>5</v>
      </c>
      <c r="S7" t="s">
        <v>38</v>
      </c>
      <c r="U7">
        <v>0</v>
      </c>
      <c r="V7" t="s">
        <v>22</v>
      </c>
      <c r="W7" t="s">
        <v>1077</v>
      </c>
      <c r="X7" t="s">
        <v>20</v>
      </c>
      <c r="Y7">
        <v>25</v>
      </c>
    </row>
    <row r="8" spans="1:25">
      <c r="A8" t="s">
        <v>54</v>
      </c>
      <c r="B8" t="s">
        <v>55</v>
      </c>
      <c r="C8">
        <v>26</v>
      </c>
      <c r="D8" t="s">
        <v>25</v>
      </c>
      <c r="F8" t="s">
        <v>42</v>
      </c>
      <c r="G8" t="s">
        <v>51</v>
      </c>
      <c r="H8" t="s">
        <v>1060</v>
      </c>
      <c r="I8">
        <v>42000</v>
      </c>
      <c r="J8">
        <v>12</v>
      </c>
      <c r="K8">
        <v>504000</v>
      </c>
      <c r="L8">
        <v>3</v>
      </c>
      <c r="M8">
        <v>1</v>
      </c>
      <c r="N8" t="s">
        <v>1077</v>
      </c>
      <c r="O8">
        <v>95</v>
      </c>
      <c r="P8">
        <v>15</v>
      </c>
      <c r="Q8">
        <v>5</v>
      </c>
      <c r="R8" t="s">
        <v>21</v>
      </c>
      <c r="S8" t="s">
        <v>38</v>
      </c>
      <c r="T8">
        <v>10</v>
      </c>
      <c r="U8">
        <v>3000</v>
      </c>
      <c r="V8" t="s">
        <v>39</v>
      </c>
      <c r="W8" t="s">
        <v>1077</v>
      </c>
      <c r="X8" t="s">
        <v>20</v>
      </c>
      <c r="Y8">
        <v>14</v>
      </c>
    </row>
    <row r="9" spans="1:25">
      <c r="A9" t="s">
        <v>56</v>
      </c>
      <c r="B9" t="s">
        <v>594</v>
      </c>
      <c r="C9">
        <v>25</v>
      </c>
      <c r="D9" t="s">
        <v>25</v>
      </c>
      <c r="E9" t="s">
        <v>57</v>
      </c>
      <c r="F9" t="s">
        <v>42</v>
      </c>
      <c r="G9" t="s">
        <v>51</v>
      </c>
      <c r="H9" t="s">
        <v>1060</v>
      </c>
      <c r="I9">
        <v>36000</v>
      </c>
      <c r="J9">
        <v>12</v>
      </c>
      <c r="K9">
        <v>432000</v>
      </c>
      <c r="L9">
        <v>3</v>
      </c>
      <c r="M9">
        <v>4</v>
      </c>
      <c r="N9">
        <v>10800</v>
      </c>
      <c r="O9">
        <v>80</v>
      </c>
      <c r="P9">
        <v>7</v>
      </c>
      <c r="Q9">
        <v>5</v>
      </c>
      <c r="S9" t="s">
        <v>28</v>
      </c>
      <c r="U9">
        <v>0</v>
      </c>
      <c r="V9" t="s">
        <v>58</v>
      </c>
      <c r="W9" t="s">
        <v>1077</v>
      </c>
      <c r="X9" t="s">
        <v>20</v>
      </c>
      <c r="Y9">
        <v>14</v>
      </c>
    </row>
    <row r="10" spans="1:25">
      <c r="A10" t="s">
        <v>59</v>
      </c>
      <c r="B10" t="s">
        <v>60</v>
      </c>
      <c r="C10">
        <v>26</v>
      </c>
      <c r="D10" t="s">
        <v>1077</v>
      </c>
      <c r="E10" t="s">
        <v>61</v>
      </c>
      <c r="F10" t="s">
        <v>42</v>
      </c>
      <c r="G10" t="s">
        <v>51</v>
      </c>
      <c r="H10" t="s">
        <v>1060</v>
      </c>
      <c r="I10">
        <v>42333</v>
      </c>
      <c r="J10">
        <v>12</v>
      </c>
      <c r="K10">
        <v>507996</v>
      </c>
      <c r="L10">
        <v>3</v>
      </c>
      <c r="M10">
        <v>4</v>
      </c>
      <c r="N10">
        <v>12699.9</v>
      </c>
      <c r="O10">
        <v>85</v>
      </c>
      <c r="P10">
        <v>10</v>
      </c>
      <c r="Q10">
        <v>3</v>
      </c>
      <c r="S10" t="s">
        <v>19</v>
      </c>
      <c r="T10">
        <v>5</v>
      </c>
      <c r="U10">
        <v>1500</v>
      </c>
      <c r="V10" t="s">
        <v>22</v>
      </c>
      <c r="W10" t="s">
        <v>1077</v>
      </c>
      <c r="X10" t="s">
        <v>20</v>
      </c>
      <c r="Y10">
        <v>14</v>
      </c>
    </row>
    <row r="11" spans="1:25">
      <c r="A11" t="s">
        <v>62</v>
      </c>
      <c r="B11" t="s">
        <v>63</v>
      </c>
      <c r="C11">
        <v>26</v>
      </c>
      <c r="D11" t="s">
        <v>25</v>
      </c>
      <c r="E11" t="s">
        <v>64</v>
      </c>
      <c r="F11" t="s">
        <v>31</v>
      </c>
      <c r="G11" t="s">
        <v>51</v>
      </c>
      <c r="H11" t="s">
        <v>1060</v>
      </c>
      <c r="I11">
        <v>48000</v>
      </c>
      <c r="J11">
        <v>12</v>
      </c>
      <c r="K11">
        <v>576000</v>
      </c>
      <c r="L11">
        <v>4</v>
      </c>
      <c r="M11">
        <v>1</v>
      </c>
      <c r="N11" t="s">
        <v>1077</v>
      </c>
      <c r="O11">
        <v>88</v>
      </c>
      <c r="P11">
        <v>7</v>
      </c>
      <c r="Q11">
        <v>1</v>
      </c>
      <c r="R11" t="s">
        <v>21</v>
      </c>
      <c r="S11" t="s">
        <v>19</v>
      </c>
      <c r="U11">
        <v>0</v>
      </c>
      <c r="V11" t="s">
        <v>39</v>
      </c>
      <c r="W11" t="s">
        <v>1077</v>
      </c>
      <c r="X11" t="s">
        <v>33</v>
      </c>
      <c r="Y11">
        <v>13</v>
      </c>
    </row>
    <row r="12" spans="1:25">
      <c r="A12" t="s">
        <v>67</v>
      </c>
      <c r="B12" t="s">
        <v>68</v>
      </c>
      <c r="C12">
        <v>26</v>
      </c>
      <c r="D12" t="s">
        <v>25</v>
      </c>
      <c r="E12" t="s">
        <v>65</v>
      </c>
      <c r="F12" t="s">
        <v>27</v>
      </c>
      <c r="G12" t="s">
        <v>51</v>
      </c>
      <c r="H12" t="s">
        <v>1060</v>
      </c>
      <c r="I12">
        <v>48000</v>
      </c>
      <c r="J12">
        <v>12</v>
      </c>
      <c r="K12">
        <v>576000</v>
      </c>
      <c r="L12">
        <v>4</v>
      </c>
      <c r="M12">
        <v>4</v>
      </c>
      <c r="N12">
        <v>14400</v>
      </c>
      <c r="O12">
        <v>90</v>
      </c>
      <c r="P12">
        <v>10</v>
      </c>
      <c r="Q12">
        <v>1</v>
      </c>
      <c r="R12" t="s">
        <v>37</v>
      </c>
      <c r="S12" t="s">
        <v>38</v>
      </c>
      <c r="T12">
        <v>5</v>
      </c>
      <c r="U12">
        <v>1500</v>
      </c>
      <c r="V12" t="s">
        <v>22</v>
      </c>
      <c r="W12" t="s">
        <v>1077</v>
      </c>
      <c r="X12" t="s">
        <v>20</v>
      </c>
      <c r="Y12">
        <v>12</v>
      </c>
    </row>
    <row r="13" spans="1:25">
      <c r="A13" t="s">
        <v>69</v>
      </c>
      <c r="B13" t="s">
        <v>70</v>
      </c>
      <c r="C13">
        <v>26</v>
      </c>
      <c r="D13" t="s">
        <v>25</v>
      </c>
      <c r="E13" t="s">
        <v>35</v>
      </c>
      <c r="F13" t="s">
        <v>27</v>
      </c>
      <c r="G13" t="s">
        <v>51</v>
      </c>
      <c r="H13" t="s">
        <v>1060</v>
      </c>
      <c r="I13">
        <v>31000</v>
      </c>
      <c r="J13">
        <v>12</v>
      </c>
      <c r="K13">
        <v>372000</v>
      </c>
      <c r="L13">
        <v>2</v>
      </c>
      <c r="M13">
        <v>5</v>
      </c>
      <c r="N13">
        <v>9300</v>
      </c>
      <c r="O13">
        <v>85</v>
      </c>
      <c r="P13">
        <v>7</v>
      </c>
      <c r="Q13">
        <v>5</v>
      </c>
      <c r="S13" t="s">
        <v>38</v>
      </c>
      <c r="T13">
        <v>20</v>
      </c>
      <c r="U13">
        <v>6000</v>
      </c>
      <c r="V13" t="s">
        <v>58</v>
      </c>
      <c r="W13" t="s">
        <v>1077</v>
      </c>
      <c r="X13" t="s">
        <v>20</v>
      </c>
      <c r="Y13">
        <v>12</v>
      </c>
    </row>
    <row r="14" spans="1:25">
      <c r="A14" t="s">
        <v>71</v>
      </c>
      <c r="B14" t="s">
        <v>72</v>
      </c>
      <c r="C14">
        <v>27</v>
      </c>
      <c r="D14" t="s">
        <v>1077</v>
      </c>
      <c r="E14" t="s">
        <v>73</v>
      </c>
      <c r="F14" t="s">
        <v>42</v>
      </c>
      <c r="G14" t="s">
        <v>51</v>
      </c>
      <c r="H14" t="s">
        <v>1060</v>
      </c>
      <c r="I14">
        <v>35000</v>
      </c>
      <c r="J14">
        <v>12</v>
      </c>
      <c r="K14">
        <v>420000</v>
      </c>
      <c r="L14">
        <v>3</v>
      </c>
      <c r="M14">
        <v>1</v>
      </c>
      <c r="N14" t="s">
        <v>1077</v>
      </c>
      <c r="O14">
        <v>90</v>
      </c>
      <c r="P14">
        <v>5</v>
      </c>
      <c r="Q14">
        <v>3</v>
      </c>
      <c r="R14" t="s">
        <v>21</v>
      </c>
      <c r="S14" t="s">
        <v>38</v>
      </c>
      <c r="U14">
        <v>0</v>
      </c>
      <c r="V14" t="s">
        <v>39</v>
      </c>
      <c r="W14" t="s">
        <v>1077</v>
      </c>
      <c r="X14" t="s">
        <v>20</v>
      </c>
      <c r="Y14">
        <v>14</v>
      </c>
    </row>
    <row r="15" spans="1:25">
      <c r="A15" t="s">
        <v>74</v>
      </c>
      <c r="B15" t="s">
        <v>75</v>
      </c>
      <c r="C15">
        <v>25</v>
      </c>
      <c r="D15" t="s">
        <v>25</v>
      </c>
      <c r="E15" t="s">
        <v>65</v>
      </c>
      <c r="F15" t="s">
        <v>18</v>
      </c>
      <c r="G15" t="s">
        <v>51</v>
      </c>
      <c r="H15" t="s">
        <v>1060</v>
      </c>
      <c r="I15">
        <v>38000</v>
      </c>
      <c r="J15">
        <v>12</v>
      </c>
      <c r="K15">
        <v>456000</v>
      </c>
      <c r="L15">
        <v>3</v>
      </c>
      <c r="M15">
        <v>5</v>
      </c>
      <c r="N15">
        <v>11400</v>
      </c>
      <c r="O15">
        <v>90</v>
      </c>
      <c r="P15">
        <v>15</v>
      </c>
      <c r="Q15">
        <v>5</v>
      </c>
      <c r="S15" t="s">
        <v>38</v>
      </c>
      <c r="U15">
        <v>0</v>
      </c>
      <c r="V15" t="s">
        <v>58</v>
      </c>
      <c r="W15" t="s">
        <v>1077</v>
      </c>
      <c r="X15" t="s">
        <v>20</v>
      </c>
      <c r="Y15">
        <v>10</v>
      </c>
    </row>
    <row r="16" spans="1:25">
      <c r="A16" t="s">
        <v>76</v>
      </c>
      <c r="B16" t="s">
        <v>77</v>
      </c>
      <c r="C16">
        <v>26</v>
      </c>
      <c r="D16" t="s">
        <v>1077</v>
      </c>
      <c r="E16" t="s">
        <v>47</v>
      </c>
      <c r="F16" t="s">
        <v>36</v>
      </c>
      <c r="G16" t="s">
        <v>51</v>
      </c>
      <c r="H16" t="s">
        <v>1060</v>
      </c>
      <c r="I16">
        <v>48000</v>
      </c>
      <c r="J16">
        <v>12</v>
      </c>
      <c r="K16">
        <v>576000</v>
      </c>
      <c r="L16">
        <v>4</v>
      </c>
      <c r="M16">
        <v>4</v>
      </c>
      <c r="N16">
        <v>14400</v>
      </c>
      <c r="O16">
        <v>90</v>
      </c>
      <c r="P16">
        <v>15</v>
      </c>
      <c r="Q16">
        <v>1</v>
      </c>
      <c r="R16" t="s">
        <v>37</v>
      </c>
      <c r="S16" t="s">
        <v>38</v>
      </c>
      <c r="T16">
        <v>20</v>
      </c>
      <c r="U16">
        <v>6000</v>
      </c>
      <c r="V16" t="s">
        <v>58</v>
      </c>
      <c r="W16" t="s">
        <v>1077</v>
      </c>
      <c r="X16" t="s">
        <v>20</v>
      </c>
      <c r="Y16">
        <v>25</v>
      </c>
    </row>
    <row r="17" spans="1:25">
      <c r="A17" t="s">
        <v>78</v>
      </c>
      <c r="B17" t="s">
        <v>79</v>
      </c>
      <c r="C17">
        <v>45</v>
      </c>
      <c r="D17" t="s">
        <v>25</v>
      </c>
      <c r="E17" t="s">
        <v>26</v>
      </c>
      <c r="F17" t="s">
        <v>36</v>
      </c>
      <c r="G17" t="s">
        <v>1049</v>
      </c>
      <c r="H17" t="s">
        <v>1060</v>
      </c>
      <c r="I17">
        <v>110000</v>
      </c>
      <c r="J17">
        <v>12</v>
      </c>
      <c r="K17">
        <v>1320000</v>
      </c>
      <c r="L17">
        <v>10</v>
      </c>
      <c r="M17">
        <v>2</v>
      </c>
      <c r="N17" t="s">
        <v>1077</v>
      </c>
      <c r="O17">
        <v>88</v>
      </c>
      <c r="P17">
        <v>7</v>
      </c>
      <c r="Q17">
        <v>5</v>
      </c>
      <c r="R17" t="s">
        <v>37</v>
      </c>
      <c r="S17" t="s">
        <v>19</v>
      </c>
      <c r="U17" t="s">
        <v>1077</v>
      </c>
      <c r="V17" t="s">
        <v>39</v>
      </c>
      <c r="W17" t="s">
        <v>1077</v>
      </c>
      <c r="X17" t="s">
        <v>20</v>
      </c>
      <c r="Y17">
        <v>25</v>
      </c>
    </row>
    <row r="18" spans="1:25">
      <c r="A18" t="s">
        <v>80</v>
      </c>
      <c r="B18" t="s">
        <v>81</v>
      </c>
      <c r="C18">
        <v>45</v>
      </c>
      <c r="D18" t="s">
        <v>25</v>
      </c>
      <c r="E18" t="s">
        <v>57</v>
      </c>
      <c r="F18" t="s">
        <v>66</v>
      </c>
      <c r="G18" t="s">
        <v>1049</v>
      </c>
      <c r="H18" t="s">
        <v>1060</v>
      </c>
      <c r="I18">
        <v>120000</v>
      </c>
      <c r="J18">
        <v>12</v>
      </c>
      <c r="K18">
        <v>1440000</v>
      </c>
      <c r="L18">
        <v>12</v>
      </c>
      <c r="M18">
        <v>2</v>
      </c>
      <c r="N18" t="s">
        <v>1077</v>
      </c>
      <c r="O18">
        <v>80</v>
      </c>
      <c r="P18">
        <v>5</v>
      </c>
      <c r="Q18">
        <v>3</v>
      </c>
      <c r="S18" t="s">
        <v>38</v>
      </c>
      <c r="U18" t="s">
        <v>1077</v>
      </c>
      <c r="V18" t="s">
        <v>39</v>
      </c>
      <c r="W18" t="s">
        <v>1077</v>
      </c>
      <c r="X18" t="s">
        <v>33</v>
      </c>
      <c r="Y18">
        <v>20</v>
      </c>
    </row>
    <row r="19" spans="1:25">
      <c r="A19" t="s">
        <v>83</v>
      </c>
      <c r="B19" t="s">
        <v>84</v>
      </c>
      <c r="C19">
        <v>37</v>
      </c>
      <c r="D19" t="s">
        <v>25</v>
      </c>
      <c r="E19" t="s">
        <v>47</v>
      </c>
      <c r="F19" t="s">
        <v>36</v>
      </c>
      <c r="G19" t="s">
        <v>32</v>
      </c>
      <c r="H19" t="s">
        <v>1060</v>
      </c>
      <c r="I19">
        <v>90000</v>
      </c>
      <c r="J19">
        <v>12</v>
      </c>
      <c r="K19">
        <v>1080000</v>
      </c>
      <c r="L19">
        <v>12</v>
      </c>
      <c r="M19">
        <v>4</v>
      </c>
      <c r="N19">
        <v>27000</v>
      </c>
      <c r="O19">
        <v>85</v>
      </c>
      <c r="P19">
        <v>7</v>
      </c>
      <c r="Q19">
        <v>3</v>
      </c>
      <c r="R19" t="s">
        <v>37</v>
      </c>
      <c r="S19" t="s">
        <v>38</v>
      </c>
      <c r="T19">
        <v>5</v>
      </c>
      <c r="U19">
        <v>1750</v>
      </c>
      <c r="V19" t="s">
        <v>58</v>
      </c>
      <c r="W19" t="s">
        <v>1077</v>
      </c>
      <c r="X19" t="s">
        <v>20</v>
      </c>
      <c r="Y19">
        <v>25</v>
      </c>
    </row>
    <row r="20" spans="1:25">
      <c r="A20" t="s">
        <v>85</v>
      </c>
      <c r="B20" t="s">
        <v>86</v>
      </c>
      <c r="C20">
        <v>41</v>
      </c>
      <c r="D20" t="s">
        <v>25</v>
      </c>
      <c r="E20" t="s">
        <v>73</v>
      </c>
      <c r="F20" t="s">
        <v>66</v>
      </c>
      <c r="G20" t="s">
        <v>1049</v>
      </c>
      <c r="H20" t="s">
        <v>1060</v>
      </c>
      <c r="I20">
        <v>123000</v>
      </c>
      <c r="J20">
        <v>12</v>
      </c>
      <c r="K20">
        <v>1476000</v>
      </c>
      <c r="L20">
        <v>13</v>
      </c>
      <c r="M20">
        <v>3</v>
      </c>
      <c r="N20">
        <v>36900</v>
      </c>
      <c r="O20">
        <v>95</v>
      </c>
      <c r="P20">
        <v>15</v>
      </c>
      <c r="Q20">
        <v>2</v>
      </c>
      <c r="R20" t="s">
        <v>37</v>
      </c>
      <c r="S20" t="s">
        <v>19</v>
      </c>
      <c r="T20">
        <v>10</v>
      </c>
      <c r="U20" t="s">
        <v>1077</v>
      </c>
      <c r="V20" t="s">
        <v>22</v>
      </c>
      <c r="W20" t="s">
        <v>1077</v>
      </c>
      <c r="X20" t="s">
        <v>33</v>
      </c>
      <c r="Y20">
        <v>20</v>
      </c>
    </row>
    <row r="21" spans="1:25">
      <c r="A21" t="s">
        <v>87</v>
      </c>
      <c r="B21" t="s">
        <v>88</v>
      </c>
      <c r="C21">
        <v>26</v>
      </c>
      <c r="D21" t="s">
        <v>25</v>
      </c>
      <c r="F21" t="s">
        <v>42</v>
      </c>
      <c r="G21" t="s">
        <v>51</v>
      </c>
      <c r="H21" t="s">
        <v>1060</v>
      </c>
      <c r="I21">
        <v>48000</v>
      </c>
      <c r="J21">
        <v>12</v>
      </c>
      <c r="K21">
        <v>576000</v>
      </c>
      <c r="L21">
        <v>4</v>
      </c>
      <c r="M21">
        <v>1</v>
      </c>
      <c r="N21" t="s">
        <v>1077</v>
      </c>
      <c r="O21">
        <v>88</v>
      </c>
      <c r="P21">
        <v>15</v>
      </c>
      <c r="Q21">
        <v>2</v>
      </c>
      <c r="S21" t="s">
        <v>38</v>
      </c>
      <c r="T21">
        <v>20</v>
      </c>
      <c r="U21">
        <v>6000</v>
      </c>
      <c r="V21" t="s">
        <v>39</v>
      </c>
      <c r="W21" t="s">
        <v>1077</v>
      </c>
      <c r="X21" t="s">
        <v>20</v>
      </c>
      <c r="Y21">
        <v>14</v>
      </c>
    </row>
    <row r="22" spans="1:25">
      <c r="A22" t="s">
        <v>89</v>
      </c>
      <c r="B22" t="s">
        <v>90</v>
      </c>
      <c r="C22">
        <v>26</v>
      </c>
      <c r="D22" t="s">
        <v>25</v>
      </c>
      <c r="E22" t="s">
        <v>61</v>
      </c>
      <c r="F22" t="s">
        <v>36</v>
      </c>
      <c r="G22" t="s">
        <v>51</v>
      </c>
      <c r="H22" t="s">
        <v>1060</v>
      </c>
      <c r="I22">
        <v>32000</v>
      </c>
      <c r="J22">
        <v>12</v>
      </c>
      <c r="K22">
        <v>384000</v>
      </c>
      <c r="L22">
        <v>2</v>
      </c>
      <c r="M22">
        <v>4</v>
      </c>
      <c r="N22">
        <v>9600</v>
      </c>
      <c r="O22">
        <v>88</v>
      </c>
      <c r="P22">
        <v>10</v>
      </c>
      <c r="Q22">
        <v>5</v>
      </c>
      <c r="S22" t="s">
        <v>19</v>
      </c>
      <c r="U22">
        <v>0</v>
      </c>
      <c r="V22" t="s">
        <v>22</v>
      </c>
      <c r="W22" t="s">
        <v>1077</v>
      </c>
      <c r="X22" t="s">
        <v>20</v>
      </c>
      <c r="Y22">
        <v>25</v>
      </c>
    </row>
    <row r="23" spans="1:25">
      <c r="A23" t="s">
        <v>91</v>
      </c>
      <c r="B23" t="s">
        <v>92</v>
      </c>
      <c r="C23">
        <v>34</v>
      </c>
      <c r="D23" t="s">
        <v>46</v>
      </c>
      <c r="E23" t="s">
        <v>61</v>
      </c>
      <c r="F23" t="s">
        <v>31</v>
      </c>
      <c r="G23" t="s">
        <v>82</v>
      </c>
      <c r="H23" t="s">
        <v>1060</v>
      </c>
      <c r="I23">
        <v>79000</v>
      </c>
      <c r="J23">
        <v>12</v>
      </c>
      <c r="K23">
        <v>948000</v>
      </c>
      <c r="L23">
        <v>6</v>
      </c>
      <c r="M23">
        <v>5</v>
      </c>
      <c r="N23">
        <v>23700</v>
      </c>
      <c r="O23">
        <v>85</v>
      </c>
      <c r="P23">
        <v>10</v>
      </c>
      <c r="Q23">
        <v>3</v>
      </c>
      <c r="R23" t="s">
        <v>37</v>
      </c>
      <c r="S23" t="s">
        <v>38</v>
      </c>
      <c r="T23">
        <v>10</v>
      </c>
      <c r="U23">
        <v>3500</v>
      </c>
      <c r="V23" t="s">
        <v>58</v>
      </c>
      <c r="W23" t="s">
        <v>1077</v>
      </c>
      <c r="X23" t="s">
        <v>33</v>
      </c>
      <c r="Y23">
        <v>13</v>
      </c>
    </row>
    <row r="24" spans="1:25">
      <c r="A24" t="s">
        <v>93</v>
      </c>
      <c r="B24" t="s">
        <v>94</v>
      </c>
      <c r="C24">
        <v>44</v>
      </c>
      <c r="D24" t="s">
        <v>25</v>
      </c>
      <c r="E24" t="s">
        <v>65</v>
      </c>
      <c r="F24" t="s">
        <v>27</v>
      </c>
      <c r="G24" t="s">
        <v>1049</v>
      </c>
      <c r="H24" t="s">
        <v>1060</v>
      </c>
      <c r="I24">
        <v>120000</v>
      </c>
      <c r="J24">
        <v>12</v>
      </c>
      <c r="K24">
        <v>1440000</v>
      </c>
      <c r="L24">
        <v>10</v>
      </c>
      <c r="M24">
        <v>4</v>
      </c>
      <c r="N24">
        <v>36000</v>
      </c>
      <c r="O24">
        <v>85</v>
      </c>
      <c r="P24">
        <v>7</v>
      </c>
      <c r="Q24">
        <v>3</v>
      </c>
      <c r="R24" t="s">
        <v>21</v>
      </c>
      <c r="S24" t="s">
        <v>38</v>
      </c>
      <c r="U24" t="s">
        <v>1077</v>
      </c>
      <c r="V24" t="s">
        <v>58</v>
      </c>
      <c r="W24" t="s">
        <v>1077</v>
      </c>
      <c r="X24" t="s">
        <v>20</v>
      </c>
      <c r="Y24">
        <v>12</v>
      </c>
    </row>
    <row r="25" spans="1:25">
      <c r="A25" t="s">
        <v>95</v>
      </c>
      <c r="B25" t="s">
        <v>96</v>
      </c>
      <c r="C25">
        <v>27</v>
      </c>
      <c r="D25" t="s">
        <v>25</v>
      </c>
      <c r="E25" t="s">
        <v>50</v>
      </c>
      <c r="F25" t="s">
        <v>31</v>
      </c>
      <c r="G25" t="s">
        <v>51</v>
      </c>
      <c r="H25" t="s">
        <v>1060</v>
      </c>
      <c r="I25">
        <v>38000</v>
      </c>
      <c r="J25">
        <v>12</v>
      </c>
      <c r="K25">
        <v>456000</v>
      </c>
      <c r="L25">
        <v>3</v>
      </c>
      <c r="M25">
        <v>1</v>
      </c>
      <c r="N25" t="s">
        <v>1077</v>
      </c>
      <c r="O25">
        <v>88</v>
      </c>
      <c r="P25">
        <v>15</v>
      </c>
      <c r="Q25">
        <v>2</v>
      </c>
      <c r="R25" t="s">
        <v>37</v>
      </c>
      <c r="S25" t="s">
        <v>19</v>
      </c>
      <c r="T25">
        <v>20</v>
      </c>
      <c r="U25">
        <v>6000</v>
      </c>
      <c r="V25" t="s">
        <v>39</v>
      </c>
      <c r="W25" t="s">
        <v>1077</v>
      </c>
      <c r="X25" t="s">
        <v>33</v>
      </c>
      <c r="Y25">
        <v>13</v>
      </c>
    </row>
    <row r="26" spans="1:25">
      <c r="A26" t="s">
        <v>97</v>
      </c>
      <c r="B26" t="s">
        <v>98</v>
      </c>
      <c r="C26">
        <v>27</v>
      </c>
      <c r="D26" t="s">
        <v>46</v>
      </c>
      <c r="E26" t="s">
        <v>17</v>
      </c>
      <c r="F26" t="s">
        <v>36</v>
      </c>
      <c r="G26" t="s">
        <v>1045</v>
      </c>
      <c r="H26" t="s">
        <v>1060</v>
      </c>
      <c r="I26">
        <v>78000</v>
      </c>
      <c r="J26">
        <v>12</v>
      </c>
      <c r="K26">
        <v>936000</v>
      </c>
      <c r="L26">
        <v>6</v>
      </c>
      <c r="M26">
        <v>3</v>
      </c>
      <c r="N26">
        <v>23400</v>
      </c>
      <c r="O26">
        <v>88</v>
      </c>
      <c r="P26">
        <v>15</v>
      </c>
      <c r="Q26">
        <v>1</v>
      </c>
      <c r="S26" t="s">
        <v>19</v>
      </c>
      <c r="T26">
        <v>10</v>
      </c>
      <c r="U26">
        <v>3000</v>
      </c>
      <c r="V26" t="s">
        <v>22</v>
      </c>
      <c r="W26" t="s">
        <v>1077</v>
      </c>
      <c r="X26" t="s">
        <v>20</v>
      </c>
      <c r="Y26">
        <v>25</v>
      </c>
    </row>
    <row r="27" spans="1:25">
      <c r="A27" t="s">
        <v>99</v>
      </c>
      <c r="B27" t="s">
        <v>100</v>
      </c>
      <c r="C27">
        <v>27</v>
      </c>
      <c r="D27" t="s">
        <v>25</v>
      </c>
      <c r="E27" t="s">
        <v>65</v>
      </c>
      <c r="F27" t="s">
        <v>27</v>
      </c>
      <c r="G27" t="s">
        <v>51</v>
      </c>
      <c r="H27" t="s">
        <v>1060</v>
      </c>
      <c r="I27">
        <v>38000</v>
      </c>
      <c r="J27">
        <v>12</v>
      </c>
      <c r="K27">
        <v>456000</v>
      </c>
      <c r="L27">
        <v>3</v>
      </c>
      <c r="M27">
        <v>1</v>
      </c>
      <c r="N27" t="s">
        <v>1077</v>
      </c>
      <c r="O27">
        <v>80</v>
      </c>
      <c r="P27">
        <v>10</v>
      </c>
      <c r="Q27">
        <v>5</v>
      </c>
      <c r="R27" t="s">
        <v>21</v>
      </c>
      <c r="S27" t="s">
        <v>38</v>
      </c>
      <c r="T27">
        <v>10</v>
      </c>
      <c r="U27">
        <v>3000</v>
      </c>
      <c r="V27" t="s">
        <v>39</v>
      </c>
      <c r="W27" t="s">
        <v>1077</v>
      </c>
      <c r="X27" t="s">
        <v>20</v>
      </c>
      <c r="Y27">
        <v>12</v>
      </c>
    </row>
    <row r="28" spans="1:25">
      <c r="A28" t="s">
        <v>101</v>
      </c>
      <c r="B28" t="s">
        <v>102</v>
      </c>
      <c r="C28">
        <v>45</v>
      </c>
      <c r="D28" t="s">
        <v>1077</v>
      </c>
      <c r="E28" t="s">
        <v>73</v>
      </c>
      <c r="F28" t="s">
        <v>27</v>
      </c>
      <c r="G28" t="s">
        <v>1049</v>
      </c>
      <c r="H28" t="s">
        <v>1060</v>
      </c>
      <c r="I28">
        <v>110000</v>
      </c>
      <c r="J28">
        <v>12</v>
      </c>
      <c r="K28">
        <v>1320000</v>
      </c>
      <c r="L28">
        <v>10</v>
      </c>
      <c r="M28">
        <v>1</v>
      </c>
      <c r="N28" t="s">
        <v>1077</v>
      </c>
      <c r="O28">
        <v>90</v>
      </c>
      <c r="P28">
        <v>10</v>
      </c>
      <c r="Q28">
        <v>1</v>
      </c>
      <c r="R28" t="s">
        <v>21</v>
      </c>
      <c r="S28" t="s">
        <v>19</v>
      </c>
      <c r="U28" t="s">
        <v>1077</v>
      </c>
      <c r="V28" t="s">
        <v>39</v>
      </c>
      <c r="W28" t="s">
        <v>1077</v>
      </c>
      <c r="X28" t="s">
        <v>20</v>
      </c>
      <c r="Y28">
        <v>12</v>
      </c>
    </row>
    <row r="29" spans="1:25">
      <c r="A29" t="s">
        <v>103</v>
      </c>
      <c r="B29" t="s">
        <v>104</v>
      </c>
      <c r="C29">
        <v>38</v>
      </c>
      <c r="D29" t="s">
        <v>46</v>
      </c>
      <c r="E29" t="s">
        <v>65</v>
      </c>
      <c r="F29" t="s">
        <v>66</v>
      </c>
      <c r="G29" t="s">
        <v>32</v>
      </c>
      <c r="H29" t="s">
        <v>1060</v>
      </c>
      <c r="I29">
        <v>91600</v>
      </c>
      <c r="J29">
        <v>12</v>
      </c>
      <c r="K29">
        <v>1099200</v>
      </c>
      <c r="L29">
        <v>12</v>
      </c>
      <c r="M29">
        <v>4</v>
      </c>
      <c r="N29">
        <v>27480</v>
      </c>
      <c r="O29">
        <v>90</v>
      </c>
      <c r="P29">
        <v>5</v>
      </c>
      <c r="Q29">
        <v>5</v>
      </c>
      <c r="R29" t="s">
        <v>37</v>
      </c>
      <c r="S29" t="s">
        <v>19</v>
      </c>
      <c r="T29">
        <v>20</v>
      </c>
      <c r="U29">
        <v>7000</v>
      </c>
      <c r="V29" t="s">
        <v>22</v>
      </c>
      <c r="W29" t="s">
        <v>1077</v>
      </c>
      <c r="X29" t="s">
        <v>33</v>
      </c>
      <c r="Y29">
        <v>20</v>
      </c>
    </row>
    <row r="30" spans="1:25">
      <c r="A30" t="s">
        <v>105</v>
      </c>
      <c r="B30" t="s">
        <v>106</v>
      </c>
      <c r="C30">
        <v>26</v>
      </c>
      <c r="D30" t="s">
        <v>25</v>
      </c>
      <c r="E30" t="s">
        <v>35</v>
      </c>
      <c r="F30" t="s">
        <v>31</v>
      </c>
      <c r="G30" t="s">
        <v>51</v>
      </c>
      <c r="H30" t="s">
        <v>1060</v>
      </c>
      <c r="I30">
        <v>42500</v>
      </c>
      <c r="J30">
        <v>12</v>
      </c>
      <c r="K30">
        <v>510000</v>
      </c>
      <c r="L30">
        <v>3</v>
      </c>
      <c r="M30">
        <v>2</v>
      </c>
      <c r="N30" t="s">
        <v>1077</v>
      </c>
      <c r="O30">
        <v>80</v>
      </c>
      <c r="P30">
        <v>10</v>
      </c>
      <c r="Q30">
        <v>1</v>
      </c>
      <c r="R30" t="s">
        <v>37</v>
      </c>
      <c r="S30" t="s">
        <v>19</v>
      </c>
      <c r="T30">
        <v>5</v>
      </c>
      <c r="U30">
        <v>1500</v>
      </c>
      <c r="V30" t="s">
        <v>39</v>
      </c>
      <c r="W30" t="s">
        <v>1077</v>
      </c>
      <c r="X30" t="s">
        <v>33</v>
      </c>
      <c r="Y30">
        <v>13</v>
      </c>
    </row>
    <row r="31" spans="1:25">
      <c r="A31" t="s">
        <v>107</v>
      </c>
      <c r="B31" t="s">
        <v>108</v>
      </c>
      <c r="C31">
        <v>36</v>
      </c>
      <c r="D31" t="s">
        <v>25</v>
      </c>
      <c r="E31" t="s">
        <v>17</v>
      </c>
      <c r="F31" t="s">
        <v>66</v>
      </c>
      <c r="G31" t="s">
        <v>32</v>
      </c>
      <c r="H31" t="s">
        <v>1060</v>
      </c>
      <c r="I31">
        <v>91700</v>
      </c>
      <c r="J31">
        <v>12</v>
      </c>
      <c r="K31">
        <v>1100400</v>
      </c>
      <c r="L31">
        <v>12</v>
      </c>
      <c r="M31">
        <v>2</v>
      </c>
      <c r="N31" t="s">
        <v>1077</v>
      </c>
      <c r="O31">
        <v>88</v>
      </c>
      <c r="P31">
        <v>7</v>
      </c>
      <c r="Q31">
        <v>5</v>
      </c>
      <c r="R31" t="s">
        <v>21</v>
      </c>
      <c r="S31" t="s">
        <v>38</v>
      </c>
      <c r="T31">
        <v>20</v>
      </c>
      <c r="U31">
        <v>7000</v>
      </c>
      <c r="V31" t="s">
        <v>39</v>
      </c>
      <c r="W31" t="s">
        <v>1077</v>
      </c>
      <c r="X31" t="s">
        <v>33</v>
      </c>
      <c r="Y31">
        <v>20</v>
      </c>
    </row>
    <row r="32" spans="1:25">
      <c r="A32" t="s">
        <v>109</v>
      </c>
      <c r="B32" t="s">
        <v>110</v>
      </c>
      <c r="C32">
        <v>25</v>
      </c>
      <c r="D32" t="s">
        <v>46</v>
      </c>
      <c r="F32" t="s">
        <v>42</v>
      </c>
      <c r="G32" t="s">
        <v>51</v>
      </c>
      <c r="H32" t="s">
        <v>1059</v>
      </c>
      <c r="I32">
        <v>31000</v>
      </c>
      <c r="J32">
        <v>12</v>
      </c>
      <c r="K32">
        <v>372000</v>
      </c>
      <c r="L32">
        <v>2</v>
      </c>
      <c r="M32">
        <v>2</v>
      </c>
      <c r="N32" t="s">
        <v>1077</v>
      </c>
      <c r="O32">
        <v>80</v>
      </c>
      <c r="P32">
        <v>10</v>
      </c>
      <c r="Q32">
        <v>3</v>
      </c>
      <c r="R32" t="s">
        <v>37</v>
      </c>
      <c r="S32" t="s">
        <v>28</v>
      </c>
      <c r="U32">
        <v>0</v>
      </c>
      <c r="V32" t="s">
        <v>39</v>
      </c>
      <c r="W32" t="s">
        <v>1077</v>
      </c>
      <c r="X32" t="s">
        <v>20</v>
      </c>
      <c r="Y32">
        <v>14</v>
      </c>
    </row>
    <row r="33" spans="1:25">
      <c r="A33" t="s">
        <v>111</v>
      </c>
      <c r="B33" t="s">
        <v>112</v>
      </c>
      <c r="C33">
        <v>25</v>
      </c>
      <c r="D33" t="s">
        <v>46</v>
      </c>
      <c r="E33" t="s">
        <v>50</v>
      </c>
      <c r="F33" t="s">
        <v>36</v>
      </c>
      <c r="G33" t="s">
        <v>51</v>
      </c>
      <c r="H33" t="s">
        <v>1060</v>
      </c>
      <c r="I33">
        <v>33000</v>
      </c>
      <c r="J33">
        <v>12</v>
      </c>
      <c r="K33">
        <v>396000</v>
      </c>
      <c r="L33">
        <v>2</v>
      </c>
      <c r="M33">
        <v>1</v>
      </c>
      <c r="N33" t="s">
        <v>1077</v>
      </c>
      <c r="O33">
        <v>85</v>
      </c>
      <c r="P33">
        <v>5</v>
      </c>
      <c r="Q33">
        <v>1</v>
      </c>
      <c r="S33" t="s">
        <v>19</v>
      </c>
      <c r="T33">
        <v>20</v>
      </c>
      <c r="U33">
        <v>6000</v>
      </c>
      <c r="V33" t="s">
        <v>39</v>
      </c>
      <c r="W33" t="s">
        <v>1077</v>
      </c>
      <c r="X33" t="s">
        <v>20</v>
      </c>
      <c r="Y33">
        <v>25</v>
      </c>
    </row>
    <row r="34" spans="1:25">
      <c r="A34" t="s">
        <v>115</v>
      </c>
      <c r="B34" t="s">
        <v>116</v>
      </c>
      <c r="C34">
        <v>25</v>
      </c>
      <c r="D34" t="s">
        <v>25</v>
      </c>
      <c r="E34" t="s">
        <v>61</v>
      </c>
      <c r="F34" t="s">
        <v>66</v>
      </c>
      <c r="G34" t="s">
        <v>51</v>
      </c>
      <c r="H34" t="s">
        <v>1060</v>
      </c>
      <c r="I34">
        <v>45000</v>
      </c>
      <c r="J34">
        <v>12</v>
      </c>
      <c r="K34">
        <v>540000</v>
      </c>
      <c r="L34">
        <v>4</v>
      </c>
      <c r="M34">
        <v>1</v>
      </c>
      <c r="N34" t="s">
        <v>1077</v>
      </c>
      <c r="O34">
        <v>95</v>
      </c>
      <c r="P34">
        <v>15</v>
      </c>
      <c r="Q34">
        <v>1</v>
      </c>
      <c r="S34" t="s">
        <v>38</v>
      </c>
      <c r="T34">
        <v>10</v>
      </c>
      <c r="U34">
        <v>3000</v>
      </c>
      <c r="V34" t="s">
        <v>39</v>
      </c>
      <c r="W34" t="s">
        <v>1077</v>
      </c>
      <c r="X34" t="s">
        <v>33</v>
      </c>
      <c r="Y34">
        <v>20</v>
      </c>
    </row>
    <row r="35" spans="1:25">
      <c r="A35" t="s">
        <v>117</v>
      </c>
      <c r="B35" t="s">
        <v>118</v>
      </c>
      <c r="C35">
        <v>27</v>
      </c>
      <c r="D35" t="s">
        <v>46</v>
      </c>
      <c r="E35" t="s">
        <v>35</v>
      </c>
      <c r="F35" t="s">
        <v>36</v>
      </c>
      <c r="G35" t="s">
        <v>51</v>
      </c>
      <c r="H35" t="s">
        <v>1060</v>
      </c>
      <c r="I35">
        <v>43000</v>
      </c>
      <c r="J35">
        <v>12</v>
      </c>
      <c r="K35">
        <v>516000</v>
      </c>
      <c r="L35">
        <v>3</v>
      </c>
      <c r="M35">
        <v>1</v>
      </c>
      <c r="N35" t="s">
        <v>1077</v>
      </c>
      <c r="O35">
        <v>88</v>
      </c>
      <c r="P35">
        <v>15</v>
      </c>
      <c r="Q35">
        <v>1</v>
      </c>
      <c r="R35" t="s">
        <v>21</v>
      </c>
      <c r="S35" t="s">
        <v>38</v>
      </c>
      <c r="T35">
        <v>5</v>
      </c>
      <c r="U35">
        <v>1500</v>
      </c>
      <c r="V35" t="s">
        <v>39</v>
      </c>
      <c r="W35" t="s">
        <v>1077</v>
      </c>
      <c r="X35" t="s">
        <v>20</v>
      </c>
      <c r="Y35">
        <v>25</v>
      </c>
    </row>
    <row r="36" spans="1:25">
      <c r="A36" t="s">
        <v>119</v>
      </c>
      <c r="B36" t="s">
        <v>120</v>
      </c>
      <c r="C36">
        <v>32</v>
      </c>
      <c r="D36" t="s">
        <v>46</v>
      </c>
      <c r="E36" t="s">
        <v>26</v>
      </c>
      <c r="F36" t="s">
        <v>31</v>
      </c>
      <c r="G36" t="s">
        <v>82</v>
      </c>
      <c r="H36" t="s">
        <v>1060</v>
      </c>
      <c r="I36">
        <v>80000</v>
      </c>
      <c r="J36">
        <v>12</v>
      </c>
      <c r="K36">
        <v>960000</v>
      </c>
      <c r="L36">
        <v>8</v>
      </c>
      <c r="M36">
        <v>4</v>
      </c>
      <c r="N36">
        <v>24000</v>
      </c>
      <c r="O36">
        <v>90</v>
      </c>
      <c r="P36">
        <v>5</v>
      </c>
      <c r="Q36">
        <v>7</v>
      </c>
      <c r="R36" t="s">
        <v>37</v>
      </c>
      <c r="S36" t="s">
        <v>19</v>
      </c>
      <c r="T36">
        <v>20</v>
      </c>
      <c r="U36">
        <v>7000</v>
      </c>
      <c r="V36" t="s">
        <v>22</v>
      </c>
      <c r="W36" t="s">
        <v>1077</v>
      </c>
      <c r="X36" t="s">
        <v>33</v>
      </c>
      <c r="Y36">
        <v>13</v>
      </c>
    </row>
    <row r="37" spans="1:25">
      <c r="A37" t="s">
        <v>121</v>
      </c>
      <c r="B37" t="s">
        <v>122</v>
      </c>
      <c r="C37">
        <v>29</v>
      </c>
      <c r="D37" t="s">
        <v>1077</v>
      </c>
      <c r="E37" t="s">
        <v>65</v>
      </c>
      <c r="F37" t="s">
        <v>31</v>
      </c>
      <c r="G37" t="s">
        <v>1045</v>
      </c>
      <c r="H37" t="s">
        <v>1060</v>
      </c>
      <c r="I37">
        <v>78000</v>
      </c>
      <c r="J37">
        <v>12</v>
      </c>
      <c r="K37">
        <v>936000</v>
      </c>
      <c r="L37">
        <v>5</v>
      </c>
      <c r="M37">
        <v>1</v>
      </c>
      <c r="N37" t="s">
        <v>1077</v>
      </c>
      <c r="O37">
        <v>85</v>
      </c>
      <c r="P37">
        <v>10</v>
      </c>
      <c r="Q37">
        <v>1</v>
      </c>
      <c r="S37" t="s">
        <v>38</v>
      </c>
      <c r="T37">
        <v>20</v>
      </c>
      <c r="U37">
        <v>6000</v>
      </c>
      <c r="V37" t="s">
        <v>39</v>
      </c>
      <c r="W37" t="s">
        <v>1077</v>
      </c>
      <c r="X37" t="s">
        <v>33</v>
      </c>
      <c r="Y37">
        <v>13</v>
      </c>
    </row>
    <row r="38" spans="1:25">
      <c r="A38" t="s">
        <v>123</v>
      </c>
      <c r="B38" t="s">
        <v>124</v>
      </c>
      <c r="C38">
        <v>38</v>
      </c>
      <c r="D38" t="s">
        <v>1077</v>
      </c>
      <c r="E38" t="s">
        <v>50</v>
      </c>
      <c r="F38" t="s">
        <v>31</v>
      </c>
      <c r="G38" t="s">
        <v>1049</v>
      </c>
      <c r="H38" t="s">
        <v>1060</v>
      </c>
      <c r="I38">
        <v>110000</v>
      </c>
      <c r="J38">
        <v>12</v>
      </c>
      <c r="K38">
        <v>1320000</v>
      </c>
      <c r="L38">
        <v>11</v>
      </c>
      <c r="M38">
        <v>5</v>
      </c>
      <c r="N38">
        <v>33000</v>
      </c>
      <c r="O38">
        <v>95</v>
      </c>
      <c r="P38">
        <v>10</v>
      </c>
      <c r="Q38">
        <v>5</v>
      </c>
      <c r="R38" t="s">
        <v>37</v>
      </c>
      <c r="S38" t="s">
        <v>38</v>
      </c>
      <c r="U38" t="s">
        <v>1077</v>
      </c>
      <c r="V38" t="s">
        <v>58</v>
      </c>
      <c r="W38" t="s">
        <v>1077</v>
      </c>
      <c r="X38" t="s">
        <v>33</v>
      </c>
      <c r="Y38">
        <v>13</v>
      </c>
    </row>
    <row r="39" spans="1:25">
      <c r="A39" t="s">
        <v>125</v>
      </c>
      <c r="B39" t="s">
        <v>126</v>
      </c>
      <c r="C39">
        <v>38</v>
      </c>
      <c r="D39" t="s">
        <v>25</v>
      </c>
      <c r="E39" t="s">
        <v>64</v>
      </c>
      <c r="F39" t="s">
        <v>18</v>
      </c>
      <c r="G39" t="s">
        <v>1049</v>
      </c>
      <c r="H39" t="s">
        <v>1060</v>
      </c>
      <c r="I39">
        <v>99000</v>
      </c>
      <c r="J39">
        <v>12</v>
      </c>
      <c r="K39">
        <v>1188000</v>
      </c>
      <c r="L39">
        <v>13</v>
      </c>
      <c r="M39">
        <v>4</v>
      </c>
      <c r="N39">
        <v>29700</v>
      </c>
      <c r="O39">
        <v>90</v>
      </c>
      <c r="P39">
        <v>7</v>
      </c>
      <c r="Q39">
        <v>2</v>
      </c>
      <c r="R39" t="s">
        <v>37</v>
      </c>
      <c r="S39" t="s">
        <v>38</v>
      </c>
      <c r="U39" t="s">
        <v>1077</v>
      </c>
      <c r="V39" t="s">
        <v>22</v>
      </c>
      <c r="W39" t="s">
        <v>1077</v>
      </c>
      <c r="X39" t="s">
        <v>20</v>
      </c>
      <c r="Y39">
        <v>10</v>
      </c>
    </row>
    <row r="40" spans="1:25">
      <c r="A40" t="s">
        <v>127</v>
      </c>
      <c r="B40" t="s">
        <v>128</v>
      </c>
      <c r="C40">
        <v>27</v>
      </c>
      <c r="D40" t="s">
        <v>25</v>
      </c>
      <c r="E40" t="s">
        <v>57</v>
      </c>
      <c r="F40" t="s">
        <v>31</v>
      </c>
      <c r="G40" t="s">
        <v>1045</v>
      </c>
      <c r="H40" t="s">
        <v>1060</v>
      </c>
      <c r="I40">
        <v>79000</v>
      </c>
      <c r="J40">
        <v>12</v>
      </c>
      <c r="K40">
        <v>948000</v>
      </c>
      <c r="L40">
        <v>6</v>
      </c>
      <c r="M40">
        <v>4</v>
      </c>
      <c r="N40">
        <v>23700</v>
      </c>
      <c r="O40">
        <v>87</v>
      </c>
      <c r="P40">
        <v>15</v>
      </c>
      <c r="Q40">
        <v>2</v>
      </c>
      <c r="R40" t="s">
        <v>37</v>
      </c>
      <c r="S40" t="s">
        <v>19</v>
      </c>
      <c r="T40">
        <v>10</v>
      </c>
      <c r="U40">
        <v>3000</v>
      </c>
      <c r="V40" t="s">
        <v>58</v>
      </c>
      <c r="W40" t="s">
        <v>1077</v>
      </c>
      <c r="X40" t="s">
        <v>33</v>
      </c>
      <c r="Y40">
        <v>13</v>
      </c>
    </row>
    <row r="41" spans="1:25">
      <c r="A41" t="s">
        <v>129</v>
      </c>
      <c r="B41" t="s">
        <v>130</v>
      </c>
      <c r="C41">
        <v>42</v>
      </c>
      <c r="D41" t="s">
        <v>46</v>
      </c>
      <c r="E41" t="s">
        <v>61</v>
      </c>
      <c r="F41" t="s">
        <v>31</v>
      </c>
      <c r="G41" t="s">
        <v>1049</v>
      </c>
      <c r="H41" t="s">
        <v>1060</v>
      </c>
      <c r="I41">
        <v>100000</v>
      </c>
      <c r="J41">
        <v>12</v>
      </c>
      <c r="K41">
        <v>1200000</v>
      </c>
      <c r="L41">
        <v>11</v>
      </c>
      <c r="M41">
        <v>4</v>
      </c>
      <c r="N41">
        <v>30000</v>
      </c>
      <c r="O41">
        <v>85</v>
      </c>
      <c r="P41">
        <v>10</v>
      </c>
      <c r="Q41">
        <v>2</v>
      </c>
      <c r="R41" t="s">
        <v>21</v>
      </c>
      <c r="S41" t="s">
        <v>38</v>
      </c>
      <c r="U41" t="s">
        <v>1077</v>
      </c>
      <c r="V41" t="s">
        <v>58</v>
      </c>
      <c r="W41" t="s">
        <v>1077</v>
      </c>
      <c r="X41" t="s">
        <v>33</v>
      </c>
      <c r="Y41">
        <v>13</v>
      </c>
    </row>
    <row r="42" spans="1:25">
      <c r="A42" t="s">
        <v>131</v>
      </c>
      <c r="B42" t="s">
        <v>132</v>
      </c>
      <c r="C42">
        <v>28</v>
      </c>
      <c r="D42" t="s">
        <v>25</v>
      </c>
      <c r="E42" t="s">
        <v>26</v>
      </c>
      <c r="F42" t="s">
        <v>18</v>
      </c>
      <c r="G42" t="s">
        <v>1045</v>
      </c>
      <c r="H42" t="s">
        <v>1059</v>
      </c>
      <c r="I42">
        <v>80000</v>
      </c>
      <c r="J42">
        <v>12</v>
      </c>
      <c r="K42">
        <v>960000</v>
      </c>
      <c r="L42">
        <v>6</v>
      </c>
      <c r="M42">
        <v>2</v>
      </c>
      <c r="N42" t="s">
        <v>1077</v>
      </c>
      <c r="O42">
        <v>80</v>
      </c>
      <c r="P42">
        <v>5</v>
      </c>
      <c r="Q42">
        <v>5</v>
      </c>
      <c r="S42" t="s">
        <v>28</v>
      </c>
      <c r="T42">
        <v>5</v>
      </c>
      <c r="U42">
        <v>1500</v>
      </c>
      <c r="V42" t="s">
        <v>39</v>
      </c>
      <c r="W42" t="s">
        <v>1077</v>
      </c>
      <c r="X42" t="s">
        <v>20</v>
      </c>
      <c r="Y42">
        <v>10</v>
      </c>
    </row>
    <row r="43" spans="1:25">
      <c r="A43" t="s">
        <v>133</v>
      </c>
      <c r="B43" t="s">
        <v>134</v>
      </c>
      <c r="C43">
        <v>27</v>
      </c>
      <c r="D43" t="s">
        <v>46</v>
      </c>
      <c r="E43" t="s">
        <v>64</v>
      </c>
      <c r="F43" t="s">
        <v>27</v>
      </c>
      <c r="G43" t="s">
        <v>51</v>
      </c>
      <c r="H43" t="s">
        <v>1060</v>
      </c>
      <c r="I43">
        <v>48000</v>
      </c>
      <c r="J43">
        <v>12</v>
      </c>
      <c r="K43">
        <v>576000</v>
      </c>
      <c r="L43">
        <v>4</v>
      </c>
      <c r="M43">
        <v>2</v>
      </c>
      <c r="N43" t="s">
        <v>1077</v>
      </c>
      <c r="O43">
        <v>95</v>
      </c>
      <c r="P43">
        <v>5</v>
      </c>
      <c r="Q43">
        <v>13</v>
      </c>
      <c r="S43" t="s">
        <v>38</v>
      </c>
      <c r="T43">
        <v>5</v>
      </c>
      <c r="U43">
        <v>1500</v>
      </c>
      <c r="V43" t="s">
        <v>39</v>
      </c>
      <c r="W43" t="s">
        <v>1077</v>
      </c>
      <c r="X43" t="s">
        <v>20</v>
      </c>
      <c r="Y43">
        <v>12</v>
      </c>
    </row>
    <row r="44" spans="1:25">
      <c r="A44" t="s">
        <v>135</v>
      </c>
      <c r="B44" t="s">
        <v>136</v>
      </c>
      <c r="C44">
        <v>27</v>
      </c>
      <c r="D44" t="s">
        <v>1077</v>
      </c>
      <c r="E44" t="s">
        <v>50</v>
      </c>
      <c r="F44" t="s">
        <v>31</v>
      </c>
      <c r="G44" t="s">
        <v>51</v>
      </c>
      <c r="H44" t="s">
        <v>1060</v>
      </c>
      <c r="I44">
        <v>35000</v>
      </c>
      <c r="J44">
        <v>12</v>
      </c>
      <c r="K44">
        <v>420000</v>
      </c>
      <c r="L44">
        <v>2</v>
      </c>
      <c r="M44">
        <v>5</v>
      </c>
      <c r="N44">
        <v>10500</v>
      </c>
      <c r="O44">
        <v>80</v>
      </c>
      <c r="P44">
        <v>7</v>
      </c>
      <c r="Q44">
        <v>10</v>
      </c>
      <c r="S44" t="s">
        <v>19</v>
      </c>
      <c r="T44">
        <v>20</v>
      </c>
      <c r="U44">
        <v>6000</v>
      </c>
      <c r="V44" t="s">
        <v>58</v>
      </c>
      <c r="W44" t="s">
        <v>1077</v>
      </c>
      <c r="X44" t="s">
        <v>33</v>
      </c>
      <c r="Y44">
        <v>13</v>
      </c>
    </row>
    <row r="45" spans="1:25">
      <c r="A45" t="s">
        <v>137</v>
      </c>
      <c r="B45" t="s">
        <v>138</v>
      </c>
      <c r="C45">
        <v>25</v>
      </c>
      <c r="D45" t="s">
        <v>46</v>
      </c>
      <c r="E45" t="s">
        <v>64</v>
      </c>
      <c r="F45" t="s">
        <v>31</v>
      </c>
      <c r="G45" t="s">
        <v>1045</v>
      </c>
      <c r="H45" t="s">
        <v>1060</v>
      </c>
      <c r="I45">
        <v>78000</v>
      </c>
      <c r="J45">
        <v>12</v>
      </c>
      <c r="K45">
        <v>936000</v>
      </c>
      <c r="L45">
        <v>6</v>
      </c>
      <c r="M45">
        <v>2</v>
      </c>
      <c r="N45" t="s">
        <v>1077</v>
      </c>
      <c r="O45">
        <v>87</v>
      </c>
      <c r="P45">
        <v>10</v>
      </c>
      <c r="Q45">
        <v>6</v>
      </c>
      <c r="R45" t="s">
        <v>21</v>
      </c>
      <c r="S45" t="s">
        <v>38</v>
      </c>
      <c r="T45">
        <v>10</v>
      </c>
      <c r="U45">
        <v>3000</v>
      </c>
      <c r="V45" t="s">
        <v>39</v>
      </c>
      <c r="W45" t="s">
        <v>1077</v>
      </c>
      <c r="X45" t="s">
        <v>33</v>
      </c>
      <c r="Y45">
        <v>13</v>
      </c>
    </row>
    <row r="46" spans="1:25">
      <c r="A46" t="s">
        <v>139</v>
      </c>
      <c r="B46" t="s">
        <v>140</v>
      </c>
      <c r="C46">
        <v>30</v>
      </c>
      <c r="D46" t="s">
        <v>25</v>
      </c>
      <c r="E46" t="s">
        <v>17</v>
      </c>
      <c r="F46" t="s">
        <v>42</v>
      </c>
      <c r="G46" t="s">
        <v>1045</v>
      </c>
      <c r="H46" t="s">
        <v>1060</v>
      </c>
      <c r="I46">
        <v>78000</v>
      </c>
      <c r="J46">
        <v>12</v>
      </c>
      <c r="K46">
        <v>936000</v>
      </c>
      <c r="L46">
        <v>6</v>
      </c>
      <c r="M46">
        <v>4</v>
      </c>
      <c r="N46">
        <v>23400</v>
      </c>
      <c r="O46">
        <v>80</v>
      </c>
      <c r="P46">
        <v>7</v>
      </c>
      <c r="Q46">
        <v>1</v>
      </c>
      <c r="S46" t="s">
        <v>38</v>
      </c>
      <c r="U46">
        <v>0</v>
      </c>
      <c r="V46" t="s">
        <v>58</v>
      </c>
      <c r="W46" t="s">
        <v>1077</v>
      </c>
      <c r="X46" t="s">
        <v>20</v>
      </c>
      <c r="Y46">
        <v>14</v>
      </c>
    </row>
    <row r="47" spans="1:25">
      <c r="A47" t="s">
        <v>141</v>
      </c>
      <c r="B47" t="s">
        <v>142</v>
      </c>
      <c r="C47">
        <v>26</v>
      </c>
      <c r="D47" t="s">
        <v>25</v>
      </c>
      <c r="E47" t="s">
        <v>73</v>
      </c>
      <c r="F47" t="s">
        <v>66</v>
      </c>
      <c r="G47" t="s">
        <v>51</v>
      </c>
      <c r="H47" t="s">
        <v>1060</v>
      </c>
      <c r="I47">
        <v>56000</v>
      </c>
      <c r="J47">
        <v>12</v>
      </c>
      <c r="K47">
        <v>672000</v>
      </c>
      <c r="L47">
        <v>4</v>
      </c>
      <c r="M47">
        <v>4</v>
      </c>
      <c r="N47">
        <v>16800</v>
      </c>
      <c r="O47">
        <v>90</v>
      </c>
      <c r="P47">
        <v>10</v>
      </c>
      <c r="Q47">
        <v>1</v>
      </c>
      <c r="R47" t="s">
        <v>21</v>
      </c>
      <c r="S47" t="s">
        <v>38</v>
      </c>
      <c r="U47">
        <v>0</v>
      </c>
      <c r="V47" t="s">
        <v>22</v>
      </c>
      <c r="W47" t="s">
        <v>1077</v>
      </c>
      <c r="X47" t="s">
        <v>33</v>
      </c>
      <c r="Y47">
        <v>20</v>
      </c>
    </row>
    <row r="48" spans="1:25">
      <c r="A48" t="s">
        <v>143</v>
      </c>
      <c r="B48" t="s">
        <v>144</v>
      </c>
      <c r="C48">
        <v>25</v>
      </c>
      <c r="D48" t="s">
        <v>25</v>
      </c>
      <c r="E48" t="s">
        <v>47</v>
      </c>
      <c r="F48" t="s">
        <v>42</v>
      </c>
      <c r="G48" t="s">
        <v>1045</v>
      </c>
      <c r="H48" t="s">
        <v>1060</v>
      </c>
      <c r="I48">
        <v>78000</v>
      </c>
      <c r="J48">
        <v>12</v>
      </c>
      <c r="K48">
        <v>936000</v>
      </c>
      <c r="L48">
        <v>7</v>
      </c>
      <c r="M48">
        <v>4</v>
      </c>
      <c r="N48">
        <v>23400</v>
      </c>
      <c r="O48">
        <v>95</v>
      </c>
      <c r="P48">
        <v>7</v>
      </c>
      <c r="Q48">
        <v>1</v>
      </c>
      <c r="R48" t="s">
        <v>37</v>
      </c>
      <c r="S48" t="s">
        <v>38</v>
      </c>
      <c r="T48">
        <v>5</v>
      </c>
      <c r="U48">
        <v>1500</v>
      </c>
      <c r="V48" t="s">
        <v>22</v>
      </c>
      <c r="W48" t="s">
        <v>1077</v>
      </c>
      <c r="X48" t="s">
        <v>20</v>
      </c>
      <c r="Y48">
        <v>14</v>
      </c>
    </row>
    <row r="49" spans="1:25">
      <c r="A49" t="s">
        <v>145</v>
      </c>
      <c r="B49" t="s">
        <v>146</v>
      </c>
      <c r="C49">
        <v>43</v>
      </c>
      <c r="D49" t="s">
        <v>25</v>
      </c>
      <c r="E49" t="s">
        <v>17</v>
      </c>
      <c r="F49" t="s">
        <v>31</v>
      </c>
      <c r="G49" t="s">
        <v>1049</v>
      </c>
      <c r="H49" t="s">
        <v>1060</v>
      </c>
      <c r="I49">
        <v>99000</v>
      </c>
      <c r="J49">
        <v>12</v>
      </c>
      <c r="K49">
        <v>1188000</v>
      </c>
      <c r="L49">
        <v>12</v>
      </c>
      <c r="M49">
        <v>1</v>
      </c>
      <c r="N49" t="s">
        <v>1077</v>
      </c>
      <c r="O49">
        <v>85</v>
      </c>
      <c r="P49">
        <v>7</v>
      </c>
      <c r="Q49">
        <v>3</v>
      </c>
      <c r="R49" t="s">
        <v>37</v>
      </c>
      <c r="S49" t="s">
        <v>38</v>
      </c>
      <c r="T49">
        <v>12</v>
      </c>
      <c r="U49" t="s">
        <v>1077</v>
      </c>
      <c r="V49" t="s">
        <v>39</v>
      </c>
      <c r="W49" t="s">
        <v>1077</v>
      </c>
      <c r="X49" t="s">
        <v>33</v>
      </c>
      <c r="Y49">
        <v>13</v>
      </c>
    </row>
    <row r="50" spans="1:25">
      <c r="A50" t="s">
        <v>147</v>
      </c>
      <c r="B50" t="s">
        <v>148</v>
      </c>
      <c r="C50">
        <v>26</v>
      </c>
      <c r="D50" t="s">
        <v>1077</v>
      </c>
      <c r="E50" t="s">
        <v>73</v>
      </c>
      <c r="F50" t="s">
        <v>66</v>
      </c>
      <c r="G50" t="s">
        <v>51</v>
      </c>
      <c r="H50" t="s">
        <v>1059</v>
      </c>
      <c r="I50">
        <v>48000</v>
      </c>
      <c r="J50">
        <v>12</v>
      </c>
      <c r="K50">
        <v>576000</v>
      </c>
      <c r="L50">
        <v>4</v>
      </c>
      <c r="M50">
        <v>3</v>
      </c>
      <c r="N50">
        <v>14400</v>
      </c>
      <c r="O50">
        <v>87</v>
      </c>
      <c r="P50">
        <v>15</v>
      </c>
      <c r="Q50">
        <v>2</v>
      </c>
      <c r="R50" t="s">
        <v>21</v>
      </c>
      <c r="S50" t="s">
        <v>28</v>
      </c>
      <c r="T50">
        <v>10</v>
      </c>
      <c r="U50">
        <v>3000</v>
      </c>
      <c r="V50" t="s">
        <v>22</v>
      </c>
      <c r="W50" t="s">
        <v>1077</v>
      </c>
      <c r="X50" t="s">
        <v>33</v>
      </c>
      <c r="Y50">
        <v>20</v>
      </c>
    </row>
    <row r="51" spans="1:25">
      <c r="A51" t="s">
        <v>149</v>
      </c>
      <c r="B51" t="s">
        <v>150</v>
      </c>
      <c r="C51">
        <v>19</v>
      </c>
      <c r="D51" t="s">
        <v>46</v>
      </c>
      <c r="E51" t="s">
        <v>50</v>
      </c>
      <c r="F51" t="s">
        <v>27</v>
      </c>
      <c r="G51" t="s">
        <v>1047</v>
      </c>
      <c r="H51" t="s">
        <v>1060</v>
      </c>
      <c r="I51">
        <v>9000</v>
      </c>
      <c r="J51">
        <v>12</v>
      </c>
      <c r="K51">
        <v>108000</v>
      </c>
      <c r="L51">
        <v>0</v>
      </c>
      <c r="M51">
        <v>1</v>
      </c>
      <c r="N51" t="s">
        <v>1077</v>
      </c>
      <c r="O51">
        <v>85</v>
      </c>
      <c r="P51">
        <v>15</v>
      </c>
      <c r="Q51">
        <v>3</v>
      </c>
      <c r="R51" t="s">
        <v>21</v>
      </c>
      <c r="S51" t="s">
        <v>38</v>
      </c>
      <c r="T51">
        <v>10</v>
      </c>
      <c r="U51">
        <v>2500</v>
      </c>
      <c r="V51" t="s">
        <v>39</v>
      </c>
      <c r="W51" t="s">
        <v>1077</v>
      </c>
      <c r="X51" t="s">
        <v>20</v>
      </c>
      <c r="Y51">
        <v>12</v>
      </c>
    </row>
    <row r="52" spans="1:25">
      <c r="A52" t="s">
        <v>151</v>
      </c>
      <c r="B52" t="s">
        <v>152</v>
      </c>
      <c r="C52">
        <v>25</v>
      </c>
      <c r="D52" t="s">
        <v>46</v>
      </c>
      <c r="F52" t="s">
        <v>31</v>
      </c>
      <c r="G52" t="s">
        <v>51</v>
      </c>
      <c r="H52" t="s">
        <v>1060</v>
      </c>
      <c r="I52">
        <v>48000</v>
      </c>
      <c r="J52">
        <v>12</v>
      </c>
      <c r="K52">
        <v>576000</v>
      </c>
      <c r="L52">
        <v>4</v>
      </c>
      <c r="M52">
        <v>2</v>
      </c>
      <c r="N52" t="s">
        <v>1077</v>
      </c>
      <c r="O52">
        <v>87</v>
      </c>
      <c r="P52">
        <v>15</v>
      </c>
      <c r="Q52">
        <v>3</v>
      </c>
      <c r="R52" t="s">
        <v>37</v>
      </c>
      <c r="S52" t="s">
        <v>38</v>
      </c>
      <c r="U52">
        <v>0</v>
      </c>
      <c r="V52" t="s">
        <v>39</v>
      </c>
      <c r="W52" t="s">
        <v>1077</v>
      </c>
      <c r="X52" t="s">
        <v>33</v>
      </c>
      <c r="Y52">
        <v>13</v>
      </c>
    </row>
    <row r="53" spans="1:25">
      <c r="A53" t="s">
        <v>153</v>
      </c>
      <c r="B53" t="s">
        <v>154</v>
      </c>
      <c r="C53">
        <v>21</v>
      </c>
      <c r="D53" t="s">
        <v>46</v>
      </c>
      <c r="E53" t="s">
        <v>50</v>
      </c>
      <c r="F53" t="s">
        <v>36</v>
      </c>
      <c r="G53" t="s">
        <v>1047</v>
      </c>
      <c r="H53" t="s">
        <v>1060</v>
      </c>
      <c r="I53">
        <v>15000</v>
      </c>
      <c r="J53">
        <v>12</v>
      </c>
      <c r="K53">
        <v>180000</v>
      </c>
      <c r="L53">
        <v>1</v>
      </c>
      <c r="M53">
        <v>2</v>
      </c>
      <c r="N53" t="s">
        <v>1077</v>
      </c>
      <c r="O53">
        <v>90</v>
      </c>
      <c r="P53">
        <v>7</v>
      </c>
      <c r="Q53">
        <v>3</v>
      </c>
      <c r="R53" t="s">
        <v>21</v>
      </c>
      <c r="S53" t="s">
        <v>38</v>
      </c>
      <c r="U53">
        <v>0</v>
      </c>
      <c r="V53" t="s">
        <v>39</v>
      </c>
      <c r="W53" t="s">
        <v>1077</v>
      </c>
      <c r="X53" t="s">
        <v>20</v>
      </c>
      <c r="Y53">
        <v>25</v>
      </c>
    </row>
    <row r="54" spans="1:25">
      <c r="A54" t="s">
        <v>155</v>
      </c>
      <c r="B54" t="s">
        <v>156</v>
      </c>
      <c r="C54">
        <v>24</v>
      </c>
      <c r="D54" t="s">
        <v>1077</v>
      </c>
      <c r="E54" t="s">
        <v>61</v>
      </c>
      <c r="F54" t="s">
        <v>31</v>
      </c>
      <c r="G54" t="s">
        <v>1045</v>
      </c>
      <c r="H54" t="s">
        <v>1060</v>
      </c>
      <c r="I54">
        <v>78000</v>
      </c>
      <c r="J54">
        <v>12</v>
      </c>
      <c r="K54">
        <v>936000</v>
      </c>
      <c r="L54">
        <v>7</v>
      </c>
      <c r="M54">
        <v>1</v>
      </c>
      <c r="N54" t="s">
        <v>1077</v>
      </c>
      <c r="O54">
        <v>80</v>
      </c>
      <c r="P54">
        <v>15</v>
      </c>
      <c r="Q54">
        <v>12</v>
      </c>
      <c r="R54" t="s">
        <v>37</v>
      </c>
      <c r="S54" t="s">
        <v>19</v>
      </c>
      <c r="T54">
        <v>20</v>
      </c>
      <c r="U54">
        <v>6000</v>
      </c>
      <c r="V54" t="s">
        <v>39</v>
      </c>
      <c r="W54" t="s">
        <v>1077</v>
      </c>
      <c r="X54" t="s">
        <v>33</v>
      </c>
      <c r="Y54">
        <v>13</v>
      </c>
    </row>
    <row r="55" spans="1:25">
      <c r="A55" t="s">
        <v>157</v>
      </c>
      <c r="B55" t="s">
        <v>158</v>
      </c>
      <c r="C55">
        <v>25</v>
      </c>
      <c r="D55" t="s">
        <v>25</v>
      </c>
      <c r="E55" t="s">
        <v>35</v>
      </c>
      <c r="F55" t="s">
        <v>66</v>
      </c>
      <c r="G55" t="s">
        <v>51</v>
      </c>
      <c r="H55" t="s">
        <v>1060</v>
      </c>
      <c r="I55">
        <v>37000</v>
      </c>
      <c r="J55">
        <v>12</v>
      </c>
      <c r="K55">
        <v>444000</v>
      </c>
      <c r="L55">
        <v>2</v>
      </c>
      <c r="M55">
        <v>5</v>
      </c>
      <c r="N55">
        <v>11100</v>
      </c>
      <c r="O55">
        <v>95</v>
      </c>
      <c r="P55">
        <v>10</v>
      </c>
      <c r="Q55">
        <v>1</v>
      </c>
      <c r="R55" t="s">
        <v>37</v>
      </c>
      <c r="S55" t="s">
        <v>19</v>
      </c>
      <c r="U55">
        <v>0</v>
      </c>
      <c r="V55" t="s">
        <v>58</v>
      </c>
      <c r="W55" t="s">
        <v>1077</v>
      </c>
      <c r="X55" t="s">
        <v>33</v>
      </c>
      <c r="Y55">
        <v>20</v>
      </c>
    </row>
    <row r="56" spans="1:25">
      <c r="A56" t="s">
        <v>159</v>
      </c>
      <c r="B56" t="s">
        <v>160</v>
      </c>
      <c r="C56">
        <v>25</v>
      </c>
      <c r="D56" t="s">
        <v>1077</v>
      </c>
      <c r="F56" t="s">
        <v>66</v>
      </c>
      <c r="G56" t="s">
        <v>51</v>
      </c>
      <c r="H56" t="s">
        <v>1060</v>
      </c>
      <c r="I56">
        <v>43000</v>
      </c>
      <c r="J56">
        <v>12</v>
      </c>
      <c r="K56">
        <v>516000</v>
      </c>
      <c r="L56">
        <v>3</v>
      </c>
      <c r="M56">
        <v>4</v>
      </c>
      <c r="N56">
        <v>12900</v>
      </c>
      <c r="O56">
        <v>85</v>
      </c>
      <c r="P56">
        <v>5</v>
      </c>
      <c r="Q56">
        <v>12</v>
      </c>
      <c r="R56" t="s">
        <v>37</v>
      </c>
      <c r="S56" t="s">
        <v>38</v>
      </c>
      <c r="T56">
        <v>20</v>
      </c>
      <c r="U56">
        <v>6000</v>
      </c>
      <c r="V56" t="s">
        <v>58</v>
      </c>
      <c r="W56" t="s">
        <v>1077</v>
      </c>
      <c r="X56" t="s">
        <v>33</v>
      </c>
      <c r="Y56">
        <v>20</v>
      </c>
    </row>
    <row r="57" spans="1:25">
      <c r="A57" t="s">
        <v>161</v>
      </c>
      <c r="B57" t="s">
        <v>162</v>
      </c>
      <c r="C57">
        <v>26</v>
      </c>
      <c r="D57" t="s">
        <v>46</v>
      </c>
      <c r="E57" t="s">
        <v>17</v>
      </c>
      <c r="F57" t="s">
        <v>36</v>
      </c>
      <c r="G57" t="s">
        <v>51</v>
      </c>
      <c r="H57" t="s">
        <v>1060</v>
      </c>
      <c r="I57">
        <v>37000</v>
      </c>
      <c r="J57">
        <v>12</v>
      </c>
      <c r="K57">
        <v>444000</v>
      </c>
      <c r="L57">
        <v>2</v>
      </c>
      <c r="M57">
        <v>1</v>
      </c>
      <c r="N57" t="s">
        <v>1077</v>
      </c>
      <c r="O57">
        <v>90</v>
      </c>
      <c r="P57">
        <v>10</v>
      </c>
      <c r="Q57">
        <v>6</v>
      </c>
      <c r="R57" t="s">
        <v>21</v>
      </c>
      <c r="S57" t="s">
        <v>38</v>
      </c>
      <c r="U57">
        <v>0</v>
      </c>
      <c r="V57" t="s">
        <v>39</v>
      </c>
      <c r="W57" t="s">
        <v>1077</v>
      </c>
      <c r="X57" t="s">
        <v>20</v>
      </c>
      <c r="Y57">
        <v>25</v>
      </c>
    </row>
    <row r="58" spans="1:25">
      <c r="A58" t="s">
        <v>163</v>
      </c>
      <c r="B58" t="s">
        <v>164</v>
      </c>
      <c r="C58">
        <v>27</v>
      </c>
      <c r="D58" t="s">
        <v>25</v>
      </c>
      <c r="E58" t="s">
        <v>73</v>
      </c>
      <c r="F58" t="s">
        <v>36</v>
      </c>
      <c r="G58" t="s">
        <v>51</v>
      </c>
      <c r="H58" t="s">
        <v>1060</v>
      </c>
      <c r="I58">
        <v>48000</v>
      </c>
      <c r="J58">
        <v>12</v>
      </c>
      <c r="K58">
        <v>576000</v>
      </c>
      <c r="L58">
        <v>4</v>
      </c>
      <c r="M58">
        <v>3</v>
      </c>
      <c r="N58">
        <v>14400</v>
      </c>
      <c r="O58">
        <v>80</v>
      </c>
      <c r="P58">
        <v>7</v>
      </c>
      <c r="Q58">
        <v>1</v>
      </c>
      <c r="R58" t="s">
        <v>37</v>
      </c>
      <c r="S58" t="s">
        <v>38</v>
      </c>
      <c r="U58">
        <v>0</v>
      </c>
      <c r="V58" t="s">
        <v>22</v>
      </c>
      <c r="W58" t="s">
        <v>1077</v>
      </c>
      <c r="X58" t="s">
        <v>20</v>
      </c>
      <c r="Y58">
        <v>25</v>
      </c>
    </row>
    <row r="59" spans="1:25">
      <c r="A59" t="s">
        <v>167</v>
      </c>
      <c r="B59" t="s">
        <v>168</v>
      </c>
      <c r="C59">
        <v>26</v>
      </c>
      <c r="D59" t="s">
        <v>1077</v>
      </c>
      <c r="E59" t="s">
        <v>26</v>
      </c>
      <c r="F59" t="s">
        <v>18</v>
      </c>
      <c r="G59" t="s">
        <v>51</v>
      </c>
      <c r="H59" t="s">
        <v>1060</v>
      </c>
      <c r="I59">
        <v>53500</v>
      </c>
      <c r="J59">
        <v>12</v>
      </c>
      <c r="K59">
        <v>642000</v>
      </c>
      <c r="L59">
        <v>4</v>
      </c>
      <c r="M59">
        <v>2</v>
      </c>
      <c r="N59" t="s">
        <v>1077</v>
      </c>
      <c r="O59">
        <v>85</v>
      </c>
      <c r="P59">
        <v>5</v>
      </c>
      <c r="Q59">
        <v>3</v>
      </c>
      <c r="S59" t="s">
        <v>38</v>
      </c>
      <c r="U59">
        <v>0</v>
      </c>
      <c r="V59" t="s">
        <v>39</v>
      </c>
      <c r="W59" t="s">
        <v>1077</v>
      </c>
      <c r="X59" t="s">
        <v>20</v>
      </c>
      <c r="Y59">
        <v>10</v>
      </c>
    </row>
    <row r="60" spans="1:25">
      <c r="A60" t="s">
        <v>169</v>
      </c>
      <c r="B60" t="s">
        <v>170</v>
      </c>
      <c r="C60">
        <v>25</v>
      </c>
      <c r="D60" t="s">
        <v>46</v>
      </c>
      <c r="E60" t="s">
        <v>61</v>
      </c>
      <c r="F60" t="s">
        <v>36</v>
      </c>
      <c r="G60" t="s">
        <v>51</v>
      </c>
      <c r="H60" t="s">
        <v>1060</v>
      </c>
      <c r="I60">
        <v>43000</v>
      </c>
      <c r="J60">
        <v>12</v>
      </c>
      <c r="K60">
        <v>516000</v>
      </c>
      <c r="L60">
        <v>3</v>
      </c>
      <c r="M60">
        <v>1</v>
      </c>
      <c r="N60" t="s">
        <v>1077</v>
      </c>
      <c r="O60">
        <v>80</v>
      </c>
      <c r="P60">
        <v>15</v>
      </c>
      <c r="Q60">
        <v>3</v>
      </c>
      <c r="S60" t="s">
        <v>19</v>
      </c>
      <c r="T60">
        <v>10</v>
      </c>
      <c r="U60">
        <v>3000</v>
      </c>
      <c r="V60" t="s">
        <v>39</v>
      </c>
      <c r="W60" t="s">
        <v>1077</v>
      </c>
      <c r="X60" t="s">
        <v>20</v>
      </c>
      <c r="Y60">
        <v>25</v>
      </c>
    </row>
    <row r="61" spans="1:25">
      <c r="A61" t="s">
        <v>171</v>
      </c>
      <c r="B61" t="s">
        <v>172</v>
      </c>
      <c r="C61">
        <v>45</v>
      </c>
      <c r="D61" t="s">
        <v>46</v>
      </c>
      <c r="E61" t="s">
        <v>65</v>
      </c>
      <c r="F61" t="s">
        <v>66</v>
      </c>
      <c r="G61" t="s">
        <v>1049</v>
      </c>
      <c r="H61" t="s">
        <v>1060</v>
      </c>
      <c r="I61">
        <v>120000</v>
      </c>
      <c r="J61">
        <v>12</v>
      </c>
      <c r="K61">
        <v>1440000</v>
      </c>
      <c r="L61">
        <v>13</v>
      </c>
      <c r="M61">
        <v>2</v>
      </c>
      <c r="N61" t="s">
        <v>1077</v>
      </c>
      <c r="O61">
        <v>90</v>
      </c>
      <c r="P61">
        <v>10</v>
      </c>
      <c r="Q61">
        <v>13</v>
      </c>
      <c r="S61" t="s">
        <v>38</v>
      </c>
      <c r="U61" t="s">
        <v>1077</v>
      </c>
      <c r="V61" t="s">
        <v>39</v>
      </c>
      <c r="W61" t="s">
        <v>1077</v>
      </c>
      <c r="X61" t="s">
        <v>33</v>
      </c>
      <c r="Y61">
        <v>20</v>
      </c>
    </row>
    <row r="62" spans="1:25">
      <c r="A62" t="s">
        <v>173</v>
      </c>
      <c r="B62" t="s">
        <v>174</v>
      </c>
      <c r="C62">
        <v>25</v>
      </c>
      <c r="D62" t="s">
        <v>25</v>
      </c>
      <c r="E62" t="s">
        <v>73</v>
      </c>
      <c r="F62" t="s">
        <v>27</v>
      </c>
      <c r="G62" t="s">
        <v>51</v>
      </c>
      <c r="H62" t="s">
        <v>1060</v>
      </c>
      <c r="I62">
        <v>48000</v>
      </c>
      <c r="J62">
        <v>12</v>
      </c>
      <c r="K62">
        <v>576000</v>
      </c>
      <c r="L62">
        <v>4</v>
      </c>
      <c r="M62">
        <v>4</v>
      </c>
      <c r="N62">
        <v>14400</v>
      </c>
      <c r="O62">
        <v>90</v>
      </c>
      <c r="P62">
        <v>5</v>
      </c>
      <c r="Q62">
        <v>3</v>
      </c>
      <c r="S62" t="s">
        <v>38</v>
      </c>
      <c r="T62">
        <v>20</v>
      </c>
      <c r="U62">
        <v>6000</v>
      </c>
      <c r="V62" t="s">
        <v>58</v>
      </c>
      <c r="W62" t="s">
        <v>1077</v>
      </c>
      <c r="X62" t="s">
        <v>20</v>
      </c>
      <c r="Y62">
        <v>12</v>
      </c>
    </row>
    <row r="63" spans="1:25">
      <c r="A63" t="s">
        <v>175</v>
      </c>
      <c r="B63" t="s">
        <v>176</v>
      </c>
      <c r="C63">
        <v>35</v>
      </c>
      <c r="D63" t="s">
        <v>25</v>
      </c>
      <c r="E63" t="s">
        <v>73</v>
      </c>
      <c r="F63" t="s">
        <v>31</v>
      </c>
      <c r="G63" t="s">
        <v>1045</v>
      </c>
      <c r="H63" t="s">
        <v>1060</v>
      </c>
      <c r="I63">
        <v>76500</v>
      </c>
      <c r="J63">
        <v>12</v>
      </c>
      <c r="K63">
        <v>918000</v>
      </c>
      <c r="L63">
        <v>5</v>
      </c>
      <c r="M63">
        <v>3</v>
      </c>
      <c r="N63">
        <v>22950</v>
      </c>
      <c r="O63">
        <v>85</v>
      </c>
      <c r="P63">
        <v>10</v>
      </c>
      <c r="Q63">
        <v>2</v>
      </c>
      <c r="R63" t="s">
        <v>37</v>
      </c>
      <c r="S63" t="s">
        <v>38</v>
      </c>
      <c r="T63">
        <v>10</v>
      </c>
      <c r="U63">
        <v>3000</v>
      </c>
      <c r="V63" t="s">
        <v>22</v>
      </c>
      <c r="W63" t="s">
        <v>1077</v>
      </c>
      <c r="X63" t="s">
        <v>33</v>
      </c>
      <c r="Y63">
        <v>13</v>
      </c>
    </row>
    <row r="64" spans="1:25">
      <c r="A64" t="s">
        <v>177</v>
      </c>
      <c r="B64" t="s">
        <v>178</v>
      </c>
      <c r="C64">
        <v>26</v>
      </c>
      <c r="D64" t="s">
        <v>25</v>
      </c>
      <c r="E64" t="s">
        <v>35</v>
      </c>
      <c r="F64" t="s">
        <v>66</v>
      </c>
      <c r="G64" t="s">
        <v>51</v>
      </c>
      <c r="H64" t="s">
        <v>1060</v>
      </c>
      <c r="I64">
        <v>37000</v>
      </c>
      <c r="J64">
        <v>12</v>
      </c>
      <c r="K64">
        <v>444000</v>
      </c>
      <c r="L64">
        <v>2</v>
      </c>
      <c r="M64">
        <v>4</v>
      </c>
      <c r="N64">
        <v>11100</v>
      </c>
      <c r="O64">
        <v>80</v>
      </c>
      <c r="P64">
        <v>15</v>
      </c>
      <c r="Q64">
        <v>11</v>
      </c>
      <c r="R64" t="s">
        <v>21</v>
      </c>
      <c r="S64" t="s">
        <v>19</v>
      </c>
      <c r="T64">
        <v>10</v>
      </c>
      <c r="U64">
        <v>3000</v>
      </c>
      <c r="V64" t="s">
        <v>22</v>
      </c>
      <c r="W64" t="s">
        <v>1077</v>
      </c>
      <c r="X64" t="s">
        <v>33</v>
      </c>
      <c r="Y64">
        <v>20</v>
      </c>
    </row>
    <row r="65" spans="1:25">
      <c r="A65" t="s">
        <v>179</v>
      </c>
      <c r="B65" t="s">
        <v>180</v>
      </c>
      <c r="C65">
        <v>28</v>
      </c>
      <c r="D65" t="s">
        <v>46</v>
      </c>
      <c r="F65" t="s">
        <v>18</v>
      </c>
      <c r="G65" t="s">
        <v>1045</v>
      </c>
      <c r="H65" t="s">
        <v>1059</v>
      </c>
      <c r="I65">
        <v>78000</v>
      </c>
      <c r="J65">
        <v>12</v>
      </c>
      <c r="K65">
        <v>936000</v>
      </c>
      <c r="L65">
        <v>7</v>
      </c>
      <c r="M65">
        <v>1</v>
      </c>
      <c r="N65" t="s">
        <v>1077</v>
      </c>
      <c r="O65">
        <v>90</v>
      </c>
      <c r="P65">
        <v>7</v>
      </c>
      <c r="Q65">
        <v>1</v>
      </c>
      <c r="R65" t="s">
        <v>37</v>
      </c>
      <c r="S65" t="s">
        <v>28</v>
      </c>
      <c r="T65">
        <v>20</v>
      </c>
      <c r="U65">
        <v>6000</v>
      </c>
      <c r="V65" t="s">
        <v>39</v>
      </c>
      <c r="W65" t="s">
        <v>1077</v>
      </c>
      <c r="X65" t="s">
        <v>20</v>
      </c>
      <c r="Y65">
        <v>10</v>
      </c>
    </row>
    <row r="66" spans="1:25">
      <c r="A66" t="s">
        <v>181</v>
      </c>
      <c r="B66" t="s">
        <v>182</v>
      </c>
      <c r="C66">
        <v>27</v>
      </c>
      <c r="D66" t="s">
        <v>46</v>
      </c>
      <c r="E66" t="s">
        <v>73</v>
      </c>
      <c r="F66" t="s">
        <v>66</v>
      </c>
      <c r="G66" t="s">
        <v>51</v>
      </c>
      <c r="H66" t="s">
        <v>1060</v>
      </c>
      <c r="I66">
        <v>37000</v>
      </c>
      <c r="J66">
        <v>12</v>
      </c>
      <c r="K66">
        <v>444000</v>
      </c>
      <c r="L66">
        <v>2</v>
      </c>
      <c r="M66">
        <v>4</v>
      </c>
      <c r="N66">
        <v>11100</v>
      </c>
      <c r="O66">
        <v>85</v>
      </c>
      <c r="P66">
        <v>10</v>
      </c>
      <c r="Q66">
        <v>1</v>
      </c>
      <c r="R66" t="s">
        <v>21</v>
      </c>
      <c r="S66" t="s">
        <v>38</v>
      </c>
      <c r="T66">
        <v>5</v>
      </c>
      <c r="U66">
        <v>1500</v>
      </c>
      <c r="V66" t="s">
        <v>22</v>
      </c>
      <c r="W66" t="s">
        <v>1077</v>
      </c>
      <c r="X66" t="s">
        <v>33</v>
      </c>
      <c r="Y66">
        <v>20</v>
      </c>
    </row>
    <row r="67" spans="1:25">
      <c r="A67" t="s">
        <v>183</v>
      </c>
      <c r="B67" t="s">
        <v>184</v>
      </c>
      <c r="C67">
        <v>26</v>
      </c>
      <c r="D67" t="s">
        <v>25</v>
      </c>
      <c r="E67" t="s">
        <v>64</v>
      </c>
      <c r="F67" t="s">
        <v>18</v>
      </c>
      <c r="G67" t="s">
        <v>51</v>
      </c>
      <c r="H67" t="s">
        <v>1060</v>
      </c>
      <c r="I67">
        <v>43000</v>
      </c>
      <c r="J67">
        <v>12</v>
      </c>
      <c r="K67">
        <v>516000</v>
      </c>
      <c r="L67">
        <v>3</v>
      </c>
      <c r="M67">
        <v>2</v>
      </c>
      <c r="N67" t="s">
        <v>1077</v>
      </c>
      <c r="O67">
        <v>85</v>
      </c>
      <c r="P67">
        <v>10</v>
      </c>
      <c r="Q67">
        <v>3</v>
      </c>
      <c r="R67" t="s">
        <v>37</v>
      </c>
      <c r="S67" t="s">
        <v>19</v>
      </c>
      <c r="T67">
        <v>10</v>
      </c>
      <c r="U67">
        <v>3000</v>
      </c>
      <c r="V67" t="s">
        <v>39</v>
      </c>
      <c r="W67" t="s">
        <v>1077</v>
      </c>
      <c r="X67" t="s">
        <v>20</v>
      </c>
      <c r="Y67">
        <v>10</v>
      </c>
    </row>
    <row r="68" spans="1:25">
      <c r="A68" t="s">
        <v>185</v>
      </c>
      <c r="B68" t="s">
        <v>186</v>
      </c>
      <c r="C68">
        <v>35</v>
      </c>
      <c r="D68" t="s">
        <v>25</v>
      </c>
      <c r="E68" t="s">
        <v>73</v>
      </c>
      <c r="F68" t="s">
        <v>42</v>
      </c>
      <c r="G68" t="s">
        <v>82</v>
      </c>
      <c r="H68" t="s">
        <v>1059</v>
      </c>
      <c r="I68">
        <v>80000</v>
      </c>
      <c r="J68">
        <v>12</v>
      </c>
      <c r="K68">
        <v>960000</v>
      </c>
      <c r="L68">
        <v>9</v>
      </c>
      <c r="M68">
        <v>1</v>
      </c>
      <c r="N68" t="s">
        <v>1077</v>
      </c>
      <c r="O68">
        <v>90</v>
      </c>
      <c r="P68">
        <v>10</v>
      </c>
      <c r="Q68">
        <v>11</v>
      </c>
      <c r="R68" t="s">
        <v>37</v>
      </c>
      <c r="S68" t="s">
        <v>28</v>
      </c>
      <c r="U68">
        <v>0</v>
      </c>
      <c r="V68" t="s">
        <v>39</v>
      </c>
      <c r="W68" t="s">
        <v>1077</v>
      </c>
      <c r="X68" t="s">
        <v>20</v>
      </c>
      <c r="Y68">
        <v>14</v>
      </c>
    </row>
    <row r="69" spans="1:25">
      <c r="A69" t="s">
        <v>187</v>
      </c>
      <c r="B69" t="s">
        <v>188</v>
      </c>
      <c r="C69">
        <v>26</v>
      </c>
      <c r="D69" t="s">
        <v>1077</v>
      </c>
      <c r="E69" t="s">
        <v>61</v>
      </c>
      <c r="F69" t="s">
        <v>27</v>
      </c>
      <c r="G69" t="s">
        <v>51</v>
      </c>
      <c r="H69" t="s">
        <v>1060</v>
      </c>
      <c r="I69">
        <v>43000</v>
      </c>
      <c r="J69">
        <v>12</v>
      </c>
      <c r="K69">
        <v>516000</v>
      </c>
      <c r="L69">
        <v>3</v>
      </c>
      <c r="M69">
        <v>1</v>
      </c>
      <c r="N69" t="s">
        <v>1077</v>
      </c>
      <c r="O69">
        <v>87</v>
      </c>
      <c r="P69">
        <v>5</v>
      </c>
      <c r="Q69">
        <v>5</v>
      </c>
      <c r="S69" t="s">
        <v>19</v>
      </c>
      <c r="T69">
        <v>5</v>
      </c>
      <c r="U69">
        <v>1500</v>
      </c>
      <c r="V69" t="s">
        <v>39</v>
      </c>
      <c r="W69" t="s">
        <v>1077</v>
      </c>
      <c r="X69" t="s">
        <v>20</v>
      </c>
      <c r="Y69">
        <v>12</v>
      </c>
    </row>
    <row r="70" spans="1:25">
      <c r="A70" t="s">
        <v>189</v>
      </c>
      <c r="B70" t="s">
        <v>190</v>
      </c>
      <c r="C70">
        <v>28</v>
      </c>
      <c r="D70" t="s">
        <v>46</v>
      </c>
      <c r="E70" t="s">
        <v>73</v>
      </c>
      <c r="F70" t="s">
        <v>18</v>
      </c>
      <c r="G70" t="s">
        <v>1045</v>
      </c>
      <c r="H70" t="s">
        <v>1060</v>
      </c>
      <c r="I70">
        <v>78000</v>
      </c>
      <c r="J70">
        <v>12</v>
      </c>
      <c r="K70">
        <v>936000</v>
      </c>
      <c r="L70">
        <v>7</v>
      </c>
      <c r="M70">
        <v>3</v>
      </c>
      <c r="N70">
        <v>23400</v>
      </c>
      <c r="O70">
        <v>90</v>
      </c>
      <c r="P70">
        <v>7</v>
      </c>
      <c r="Q70">
        <v>2</v>
      </c>
      <c r="R70" t="s">
        <v>37</v>
      </c>
      <c r="S70" t="s">
        <v>19</v>
      </c>
      <c r="U70">
        <v>0</v>
      </c>
      <c r="V70" t="s">
        <v>22</v>
      </c>
      <c r="W70" t="s">
        <v>1077</v>
      </c>
      <c r="X70" t="s">
        <v>20</v>
      </c>
      <c r="Y70">
        <v>10</v>
      </c>
    </row>
    <row r="71" spans="1:25">
      <c r="A71" t="s">
        <v>191</v>
      </c>
      <c r="B71" t="s">
        <v>192</v>
      </c>
      <c r="C71">
        <v>40</v>
      </c>
      <c r="D71" t="s">
        <v>25</v>
      </c>
      <c r="E71" t="s">
        <v>50</v>
      </c>
      <c r="F71" t="s">
        <v>18</v>
      </c>
      <c r="G71" t="s">
        <v>1049</v>
      </c>
      <c r="H71" t="s">
        <v>1060</v>
      </c>
      <c r="I71">
        <v>130000</v>
      </c>
      <c r="J71">
        <v>12</v>
      </c>
      <c r="K71">
        <v>1560000</v>
      </c>
      <c r="L71">
        <v>13</v>
      </c>
      <c r="M71">
        <v>1</v>
      </c>
      <c r="N71" t="s">
        <v>1077</v>
      </c>
      <c r="O71">
        <v>87</v>
      </c>
      <c r="P71">
        <v>15</v>
      </c>
      <c r="Q71">
        <v>2</v>
      </c>
      <c r="R71" t="s">
        <v>37</v>
      </c>
      <c r="S71" t="s">
        <v>19</v>
      </c>
      <c r="U71" t="s">
        <v>1077</v>
      </c>
      <c r="V71" t="s">
        <v>39</v>
      </c>
      <c r="W71" t="s">
        <v>1077</v>
      </c>
      <c r="X71" t="s">
        <v>20</v>
      </c>
      <c r="Y71">
        <v>10</v>
      </c>
    </row>
    <row r="72" spans="1:25">
      <c r="A72" t="s">
        <v>193</v>
      </c>
      <c r="B72" t="s">
        <v>194</v>
      </c>
      <c r="C72">
        <v>27</v>
      </c>
      <c r="D72" t="s">
        <v>46</v>
      </c>
      <c r="E72" t="s">
        <v>47</v>
      </c>
      <c r="F72" t="s">
        <v>31</v>
      </c>
      <c r="G72" t="s">
        <v>1045</v>
      </c>
      <c r="H72" t="s">
        <v>1060</v>
      </c>
      <c r="I72">
        <v>78000</v>
      </c>
      <c r="J72">
        <v>12</v>
      </c>
      <c r="K72">
        <v>936000</v>
      </c>
      <c r="L72">
        <v>7</v>
      </c>
      <c r="M72">
        <v>1</v>
      </c>
      <c r="N72" t="s">
        <v>1077</v>
      </c>
      <c r="O72">
        <v>87</v>
      </c>
      <c r="P72">
        <v>15</v>
      </c>
      <c r="Q72">
        <v>5</v>
      </c>
      <c r="R72" t="s">
        <v>37</v>
      </c>
      <c r="S72" t="s">
        <v>19</v>
      </c>
      <c r="T72">
        <v>10</v>
      </c>
      <c r="U72">
        <v>3000</v>
      </c>
      <c r="V72" t="s">
        <v>39</v>
      </c>
      <c r="W72" t="s">
        <v>1077</v>
      </c>
      <c r="X72" t="s">
        <v>33</v>
      </c>
      <c r="Y72">
        <v>13</v>
      </c>
    </row>
    <row r="73" spans="1:25">
      <c r="A73" t="s">
        <v>195</v>
      </c>
      <c r="B73" t="s">
        <v>196</v>
      </c>
      <c r="C73">
        <v>25</v>
      </c>
      <c r="D73" t="s">
        <v>1077</v>
      </c>
      <c r="E73" t="s">
        <v>47</v>
      </c>
      <c r="F73" t="s">
        <v>18</v>
      </c>
      <c r="G73" t="s">
        <v>51</v>
      </c>
      <c r="H73" t="s">
        <v>1060</v>
      </c>
      <c r="I73">
        <v>38000</v>
      </c>
      <c r="J73">
        <v>12</v>
      </c>
      <c r="K73">
        <v>456000</v>
      </c>
      <c r="L73">
        <v>2</v>
      </c>
      <c r="M73">
        <v>4</v>
      </c>
      <c r="N73">
        <v>11400</v>
      </c>
      <c r="O73">
        <v>85</v>
      </c>
      <c r="P73">
        <v>5</v>
      </c>
      <c r="Q73">
        <v>2</v>
      </c>
      <c r="R73" t="s">
        <v>37</v>
      </c>
      <c r="S73" t="s">
        <v>38</v>
      </c>
      <c r="T73">
        <v>10</v>
      </c>
      <c r="U73">
        <v>3000</v>
      </c>
      <c r="V73" t="s">
        <v>22</v>
      </c>
      <c r="W73" t="s">
        <v>1077</v>
      </c>
      <c r="X73" t="s">
        <v>20</v>
      </c>
      <c r="Y73">
        <v>10</v>
      </c>
    </row>
    <row r="74" spans="1:25">
      <c r="A74" t="s">
        <v>197</v>
      </c>
      <c r="B74" t="s">
        <v>198</v>
      </c>
      <c r="C74">
        <v>33</v>
      </c>
      <c r="D74" t="s">
        <v>46</v>
      </c>
      <c r="F74" t="s">
        <v>27</v>
      </c>
      <c r="G74" t="s">
        <v>32</v>
      </c>
      <c r="H74" t="s">
        <v>1060</v>
      </c>
      <c r="I74">
        <v>94500</v>
      </c>
      <c r="J74">
        <v>12</v>
      </c>
      <c r="K74">
        <v>1134000</v>
      </c>
      <c r="L74">
        <v>9</v>
      </c>
      <c r="M74">
        <v>5</v>
      </c>
      <c r="N74">
        <v>28350</v>
      </c>
      <c r="O74">
        <v>90</v>
      </c>
      <c r="P74">
        <v>5</v>
      </c>
      <c r="Q74">
        <v>5</v>
      </c>
      <c r="R74" t="s">
        <v>21</v>
      </c>
      <c r="S74" t="s">
        <v>38</v>
      </c>
      <c r="U74">
        <v>0</v>
      </c>
      <c r="V74" t="s">
        <v>58</v>
      </c>
      <c r="W74" t="s">
        <v>1077</v>
      </c>
      <c r="X74" t="s">
        <v>20</v>
      </c>
      <c r="Y74">
        <v>12</v>
      </c>
    </row>
    <row r="75" spans="1:25">
      <c r="A75" t="s">
        <v>199</v>
      </c>
      <c r="B75" t="s">
        <v>200</v>
      </c>
      <c r="C75">
        <v>25</v>
      </c>
      <c r="D75" t="s">
        <v>1077</v>
      </c>
      <c r="E75" t="s">
        <v>26</v>
      </c>
      <c r="F75" t="s">
        <v>18</v>
      </c>
      <c r="G75" t="s">
        <v>51</v>
      </c>
      <c r="H75" t="s">
        <v>1059</v>
      </c>
      <c r="I75">
        <v>48000</v>
      </c>
      <c r="J75">
        <v>12</v>
      </c>
      <c r="K75">
        <v>576000</v>
      </c>
      <c r="L75">
        <v>4</v>
      </c>
      <c r="M75">
        <v>1</v>
      </c>
      <c r="N75" t="s">
        <v>1077</v>
      </c>
      <c r="O75">
        <v>95</v>
      </c>
      <c r="P75">
        <v>5</v>
      </c>
      <c r="Q75">
        <v>1</v>
      </c>
      <c r="R75" t="s">
        <v>37</v>
      </c>
      <c r="S75" t="s">
        <v>28</v>
      </c>
      <c r="T75">
        <v>10</v>
      </c>
      <c r="U75">
        <v>3000</v>
      </c>
      <c r="V75" t="s">
        <v>39</v>
      </c>
      <c r="W75" t="s">
        <v>1077</v>
      </c>
      <c r="X75" t="s">
        <v>20</v>
      </c>
      <c r="Y75">
        <v>10</v>
      </c>
    </row>
    <row r="76" spans="1:25">
      <c r="A76" t="s">
        <v>201</v>
      </c>
      <c r="B76" t="s">
        <v>202</v>
      </c>
      <c r="C76">
        <v>25</v>
      </c>
      <c r="D76" t="s">
        <v>25</v>
      </c>
      <c r="E76" t="s">
        <v>35</v>
      </c>
      <c r="F76" t="s">
        <v>66</v>
      </c>
      <c r="G76" t="s">
        <v>51</v>
      </c>
      <c r="H76" t="s">
        <v>1060</v>
      </c>
      <c r="I76">
        <v>45000</v>
      </c>
      <c r="J76">
        <v>12</v>
      </c>
      <c r="K76">
        <v>540000</v>
      </c>
      <c r="L76">
        <v>3</v>
      </c>
      <c r="M76">
        <v>4</v>
      </c>
      <c r="N76">
        <v>13500</v>
      </c>
      <c r="O76">
        <v>85</v>
      </c>
      <c r="P76">
        <v>5</v>
      </c>
      <c r="Q76">
        <v>8</v>
      </c>
      <c r="R76" t="s">
        <v>21</v>
      </c>
      <c r="S76" t="s">
        <v>38</v>
      </c>
      <c r="T76">
        <v>5</v>
      </c>
      <c r="U76">
        <v>1500</v>
      </c>
      <c r="V76" t="s">
        <v>22</v>
      </c>
      <c r="W76" t="s">
        <v>1077</v>
      </c>
      <c r="X76" t="s">
        <v>33</v>
      </c>
      <c r="Y76">
        <v>20</v>
      </c>
    </row>
    <row r="77" spans="1:25">
      <c r="A77" t="s">
        <v>203</v>
      </c>
      <c r="B77" t="s">
        <v>204</v>
      </c>
      <c r="C77">
        <v>27</v>
      </c>
      <c r="D77" t="s">
        <v>1077</v>
      </c>
      <c r="E77" t="s">
        <v>50</v>
      </c>
      <c r="F77" t="s">
        <v>31</v>
      </c>
      <c r="G77" t="s">
        <v>51</v>
      </c>
      <c r="H77" t="s">
        <v>1060</v>
      </c>
      <c r="I77">
        <v>37000</v>
      </c>
      <c r="J77">
        <v>12</v>
      </c>
      <c r="K77">
        <v>444000</v>
      </c>
      <c r="L77">
        <v>2</v>
      </c>
      <c r="M77">
        <v>1</v>
      </c>
      <c r="N77" t="s">
        <v>1077</v>
      </c>
      <c r="O77">
        <v>85</v>
      </c>
      <c r="P77">
        <v>7</v>
      </c>
      <c r="Q77">
        <v>13</v>
      </c>
      <c r="R77" t="s">
        <v>21</v>
      </c>
      <c r="S77" t="s">
        <v>38</v>
      </c>
      <c r="T77">
        <v>10</v>
      </c>
      <c r="U77">
        <v>3000</v>
      </c>
      <c r="V77" t="s">
        <v>39</v>
      </c>
      <c r="W77" t="s">
        <v>1077</v>
      </c>
      <c r="X77" t="s">
        <v>33</v>
      </c>
      <c r="Y77">
        <v>13</v>
      </c>
    </row>
    <row r="78" spans="1:25">
      <c r="A78" t="s">
        <v>205</v>
      </c>
      <c r="B78" t="s">
        <v>206</v>
      </c>
      <c r="C78">
        <v>26</v>
      </c>
      <c r="D78" t="s">
        <v>46</v>
      </c>
      <c r="E78" t="s">
        <v>17</v>
      </c>
      <c r="F78" t="s">
        <v>18</v>
      </c>
      <c r="G78" t="s">
        <v>51</v>
      </c>
      <c r="H78" t="s">
        <v>1060</v>
      </c>
      <c r="I78">
        <v>45000</v>
      </c>
      <c r="J78">
        <v>12</v>
      </c>
      <c r="K78">
        <v>540000</v>
      </c>
      <c r="L78">
        <v>3</v>
      </c>
      <c r="M78">
        <v>4</v>
      </c>
      <c r="N78">
        <v>13500</v>
      </c>
      <c r="O78">
        <v>90</v>
      </c>
      <c r="P78">
        <v>7</v>
      </c>
      <c r="Q78">
        <v>2</v>
      </c>
      <c r="R78" t="s">
        <v>21</v>
      </c>
      <c r="S78" t="s">
        <v>38</v>
      </c>
      <c r="U78">
        <v>0</v>
      </c>
      <c r="V78" t="s">
        <v>22</v>
      </c>
      <c r="W78" t="s">
        <v>1077</v>
      </c>
      <c r="X78" t="s">
        <v>20</v>
      </c>
      <c r="Y78">
        <v>10</v>
      </c>
    </row>
    <row r="79" spans="1:25">
      <c r="A79" t="s">
        <v>207</v>
      </c>
      <c r="B79" t="s">
        <v>208</v>
      </c>
      <c r="C79">
        <v>33</v>
      </c>
      <c r="D79" t="s">
        <v>46</v>
      </c>
      <c r="F79" t="s">
        <v>27</v>
      </c>
      <c r="G79" t="s">
        <v>32</v>
      </c>
      <c r="H79" t="s">
        <v>1060</v>
      </c>
      <c r="I79">
        <v>90000</v>
      </c>
      <c r="J79">
        <v>12</v>
      </c>
      <c r="K79">
        <v>1080000</v>
      </c>
      <c r="L79">
        <v>12</v>
      </c>
      <c r="M79">
        <v>2</v>
      </c>
      <c r="N79" t="s">
        <v>1077</v>
      </c>
      <c r="O79">
        <v>85</v>
      </c>
      <c r="P79">
        <v>7</v>
      </c>
      <c r="Q79">
        <v>2</v>
      </c>
      <c r="S79" t="s">
        <v>38</v>
      </c>
      <c r="T79">
        <v>5</v>
      </c>
      <c r="U79">
        <v>1750</v>
      </c>
      <c r="V79" t="s">
        <v>39</v>
      </c>
      <c r="W79" t="s">
        <v>1077</v>
      </c>
      <c r="X79" t="s">
        <v>20</v>
      </c>
      <c r="Y79">
        <v>12</v>
      </c>
    </row>
    <row r="80" spans="1:25">
      <c r="A80" t="s">
        <v>209</v>
      </c>
      <c r="B80" t="s">
        <v>210</v>
      </c>
      <c r="C80">
        <v>27</v>
      </c>
      <c r="D80" t="s">
        <v>46</v>
      </c>
      <c r="E80" t="s">
        <v>17</v>
      </c>
      <c r="F80" t="s">
        <v>42</v>
      </c>
      <c r="G80" t="s">
        <v>51</v>
      </c>
      <c r="H80" t="s">
        <v>1059</v>
      </c>
      <c r="I80">
        <v>37000</v>
      </c>
      <c r="J80">
        <v>12</v>
      </c>
      <c r="K80">
        <v>444000</v>
      </c>
      <c r="L80">
        <v>2</v>
      </c>
      <c r="M80">
        <v>3</v>
      </c>
      <c r="N80">
        <v>11100</v>
      </c>
      <c r="O80">
        <v>90</v>
      </c>
      <c r="P80">
        <v>7</v>
      </c>
      <c r="Q80">
        <v>6</v>
      </c>
      <c r="S80" t="s">
        <v>28</v>
      </c>
      <c r="U80">
        <v>0</v>
      </c>
      <c r="V80" t="s">
        <v>22</v>
      </c>
      <c r="W80" t="s">
        <v>1077</v>
      </c>
      <c r="X80" t="s">
        <v>20</v>
      </c>
      <c r="Y80">
        <v>14</v>
      </c>
    </row>
    <row r="81" spans="1:25">
      <c r="A81" t="s">
        <v>211</v>
      </c>
      <c r="B81" t="s">
        <v>212</v>
      </c>
      <c r="C81">
        <v>19</v>
      </c>
      <c r="D81" t="s">
        <v>1077</v>
      </c>
      <c r="E81" t="s">
        <v>35</v>
      </c>
      <c r="F81" t="s">
        <v>36</v>
      </c>
      <c r="G81" t="s">
        <v>1047</v>
      </c>
      <c r="H81" t="s">
        <v>1060</v>
      </c>
      <c r="I81">
        <v>12000</v>
      </c>
      <c r="J81">
        <v>12</v>
      </c>
      <c r="K81">
        <v>144000</v>
      </c>
      <c r="L81">
        <v>0</v>
      </c>
      <c r="M81">
        <v>1</v>
      </c>
      <c r="N81" t="s">
        <v>1077</v>
      </c>
      <c r="O81">
        <v>85</v>
      </c>
      <c r="P81">
        <v>10</v>
      </c>
      <c r="Q81">
        <v>8</v>
      </c>
      <c r="R81" t="s">
        <v>21</v>
      </c>
      <c r="S81" t="s">
        <v>38</v>
      </c>
      <c r="T81">
        <v>5</v>
      </c>
      <c r="U81">
        <v>1250</v>
      </c>
      <c r="V81" t="s">
        <v>39</v>
      </c>
      <c r="W81" t="s">
        <v>1077</v>
      </c>
      <c r="X81" t="s">
        <v>20</v>
      </c>
      <c r="Y81">
        <v>25</v>
      </c>
    </row>
    <row r="82" spans="1:25">
      <c r="A82" t="s">
        <v>213</v>
      </c>
      <c r="B82" t="s">
        <v>214</v>
      </c>
      <c r="C82">
        <v>27</v>
      </c>
      <c r="D82" t="s">
        <v>25</v>
      </c>
      <c r="E82" t="s">
        <v>17</v>
      </c>
      <c r="F82" t="s">
        <v>31</v>
      </c>
      <c r="G82" t="s">
        <v>1045</v>
      </c>
      <c r="H82" t="s">
        <v>1060</v>
      </c>
      <c r="I82">
        <v>78000</v>
      </c>
      <c r="J82">
        <v>12</v>
      </c>
      <c r="K82">
        <v>936000</v>
      </c>
      <c r="L82">
        <v>7</v>
      </c>
      <c r="M82">
        <v>2</v>
      </c>
      <c r="N82" t="s">
        <v>1077</v>
      </c>
      <c r="O82">
        <v>85</v>
      </c>
      <c r="P82">
        <v>7</v>
      </c>
      <c r="Q82">
        <v>5</v>
      </c>
      <c r="S82" t="s">
        <v>38</v>
      </c>
      <c r="U82">
        <v>0</v>
      </c>
      <c r="V82" t="s">
        <v>39</v>
      </c>
      <c r="W82" t="s">
        <v>1077</v>
      </c>
      <c r="X82" t="s">
        <v>33</v>
      </c>
      <c r="Y82">
        <v>13</v>
      </c>
    </row>
    <row r="83" spans="1:25">
      <c r="A83" t="s">
        <v>215</v>
      </c>
      <c r="B83" t="s">
        <v>216</v>
      </c>
      <c r="C83">
        <v>34</v>
      </c>
      <c r="D83" t="s">
        <v>25</v>
      </c>
      <c r="E83" t="s">
        <v>65</v>
      </c>
      <c r="F83" t="s">
        <v>42</v>
      </c>
      <c r="G83" t="s">
        <v>82</v>
      </c>
      <c r="H83" t="s">
        <v>1060</v>
      </c>
      <c r="I83">
        <v>88000</v>
      </c>
      <c r="J83">
        <v>12</v>
      </c>
      <c r="K83">
        <v>1056000</v>
      </c>
      <c r="L83">
        <v>8</v>
      </c>
      <c r="M83">
        <v>1</v>
      </c>
      <c r="N83" t="s">
        <v>1077</v>
      </c>
      <c r="O83">
        <v>85</v>
      </c>
      <c r="P83">
        <v>10</v>
      </c>
      <c r="Q83">
        <v>5</v>
      </c>
      <c r="R83" t="s">
        <v>21</v>
      </c>
      <c r="S83" t="s">
        <v>38</v>
      </c>
      <c r="T83">
        <v>10</v>
      </c>
      <c r="U83">
        <v>3500</v>
      </c>
      <c r="V83" t="s">
        <v>39</v>
      </c>
      <c r="W83" t="s">
        <v>1077</v>
      </c>
      <c r="X83" t="s">
        <v>20</v>
      </c>
      <c r="Y83">
        <v>14</v>
      </c>
    </row>
    <row r="84" spans="1:25">
      <c r="A84" t="s">
        <v>217</v>
      </c>
      <c r="B84" t="s">
        <v>218</v>
      </c>
      <c r="C84">
        <v>25</v>
      </c>
      <c r="D84" t="s">
        <v>46</v>
      </c>
      <c r="E84" t="s">
        <v>26</v>
      </c>
      <c r="F84" t="s">
        <v>18</v>
      </c>
      <c r="G84" t="s">
        <v>51</v>
      </c>
      <c r="H84" t="s">
        <v>1060</v>
      </c>
      <c r="I84">
        <v>47000</v>
      </c>
      <c r="J84">
        <v>12</v>
      </c>
      <c r="K84">
        <v>564000</v>
      </c>
      <c r="L84">
        <v>3</v>
      </c>
      <c r="M84">
        <v>2</v>
      </c>
      <c r="N84" t="s">
        <v>1077</v>
      </c>
      <c r="O84">
        <v>90</v>
      </c>
      <c r="P84">
        <v>15</v>
      </c>
      <c r="Q84">
        <v>1</v>
      </c>
      <c r="S84" t="s">
        <v>38</v>
      </c>
      <c r="T84">
        <v>10</v>
      </c>
      <c r="U84">
        <v>3000</v>
      </c>
      <c r="V84" t="s">
        <v>39</v>
      </c>
      <c r="W84" t="s">
        <v>1077</v>
      </c>
      <c r="X84" t="s">
        <v>20</v>
      </c>
      <c r="Y84">
        <v>10</v>
      </c>
    </row>
    <row r="85" spans="1:25">
      <c r="A85" t="s">
        <v>219</v>
      </c>
      <c r="B85" t="s">
        <v>220</v>
      </c>
      <c r="C85">
        <v>37</v>
      </c>
      <c r="D85" t="s">
        <v>25</v>
      </c>
      <c r="E85" t="s">
        <v>26</v>
      </c>
      <c r="F85" t="s">
        <v>18</v>
      </c>
      <c r="G85" t="s">
        <v>32</v>
      </c>
      <c r="H85" t="s">
        <v>1059</v>
      </c>
      <c r="I85">
        <v>90000</v>
      </c>
      <c r="J85">
        <v>12</v>
      </c>
      <c r="K85">
        <v>1080000</v>
      </c>
      <c r="L85">
        <v>12</v>
      </c>
      <c r="M85">
        <v>4</v>
      </c>
      <c r="N85">
        <v>27000</v>
      </c>
      <c r="O85">
        <v>80</v>
      </c>
      <c r="P85">
        <v>7</v>
      </c>
      <c r="Q85">
        <v>2</v>
      </c>
      <c r="R85" t="s">
        <v>37</v>
      </c>
      <c r="S85" t="s">
        <v>28</v>
      </c>
      <c r="T85">
        <v>10</v>
      </c>
      <c r="U85">
        <v>3500</v>
      </c>
      <c r="V85" t="s">
        <v>58</v>
      </c>
      <c r="W85" t="s">
        <v>1077</v>
      </c>
      <c r="X85" t="s">
        <v>20</v>
      </c>
      <c r="Y85">
        <v>10</v>
      </c>
    </row>
    <row r="86" spans="1:25">
      <c r="A86" t="s">
        <v>221</v>
      </c>
      <c r="B86" t="s">
        <v>222</v>
      </c>
      <c r="C86">
        <v>34</v>
      </c>
      <c r="D86" t="s">
        <v>25</v>
      </c>
      <c r="E86" t="s">
        <v>65</v>
      </c>
      <c r="F86" t="s">
        <v>36</v>
      </c>
      <c r="G86" t="s">
        <v>32</v>
      </c>
      <c r="H86" t="s">
        <v>1060</v>
      </c>
      <c r="I86">
        <v>93200</v>
      </c>
      <c r="J86">
        <v>12</v>
      </c>
      <c r="K86">
        <v>1118400</v>
      </c>
      <c r="L86">
        <v>9</v>
      </c>
      <c r="M86">
        <v>2</v>
      </c>
      <c r="N86" t="s">
        <v>1077</v>
      </c>
      <c r="O86">
        <v>80</v>
      </c>
      <c r="P86">
        <v>15</v>
      </c>
      <c r="Q86">
        <v>6</v>
      </c>
      <c r="R86" t="s">
        <v>21</v>
      </c>
      <c r="S86" t="s">
        <v>38</v>
      </c>
      <c r="T86">
        <v>5</v>
      </c>
      <c r="U86">
        <v>1750</v>
      </c>
      <c r="V86" t="s">
        <v>39</v>
      </c>
      <c r="W86" t="s">
        <v>1077</v>
      </c>
      <c r="X86" t="s">
        <v>20</v>
      </c>
      <c r="Y86">
        <v>25</v>
      </c>
    </row>
    <row r="87" spans="1:25">
      <c r="A87" t="s">
        <v>223</v>
      </c>
      <c r="B87" t="s">
        <v>224</v>
      </c>
      <c r="C87">
        <v>27</v>
      </c>
      <c r="D87" t="s">
        <v>25</v>
      </c>
      <c r="E87" t="s">
        <v>57</v>
      </c>
      <c r="F87" t="s">
        <v>31</v>
      </c>
      <c r="G87" t="s">
        <v>51</v>
      </c>
      <c r="H87" t="s">
        <v>1060</v>
      </c>
      <c r="I87">
        <v>48000</v>
      </c>
      <c r="J87">
        <v>12</v>
      </c>
      <c r="K87">
        <v>576000</v>
      </c>
      <c r="L87">
        <v>4</v>
      </c>
      <c r="M87">
        <v>1</v>
      </c>
      <c r="N87" t="s">
        <v>1077</v>
      </c>
      <c r="O87">
        <v>85</v>
      </c>
      <c r="P87">
        <v>10</v>
      </c>
      <c r="Q87">
        <v>1</v>
      </c>
      <c r="R87" t="s">
        <v>21</v>
      </c>
      <c r="S87" t="s">
        <v>38</v>
      </c>
      <c r="T87">
        <v>5</v>
      </c>
      <c r="U87">
        <v>1500</v>
      </c>
      <c r="V87" t="s">
        <v>39</v>
      </c>
      <c r="W87" t="s">
        <v>1077</v>
      </c>
      <c r="X87" t="s">
        <v>33</v>
      </c>
      <c r="Y87">
        <v>13</v>
      </c>
    </row>
    <row r="88" spans="1:25">
      <c r="A88" t="s">
        <v>225</v>
      </c>
      <c r="B88" t="s">
        <v>226</v>
      </c>
      <c r="C88">
        <v>27</v>
      </c>
      <c r="D88" t="s">
        <v>1077</v>
      </c>
      <c r="E88" t="s">
        <v>47</v>
      </c>
      <c r="F88" t="s">
        <v>36</v>
      </c>
      <c r="G88" t="s">
        <v>51</v>
      </c>
      <c r="H88" t="s">
        <v>1060</v>
      </c>
      <c r="I88">
        <v>47000</v>
      </c>
      <c r="J88">
        <v>12</v>
      </c>
      <c r="K88">
        <v>564000</v>
      </c>
      <c r="L88">
        <v>3</v>
      </c>
      <c r="M88">
        <v>5</v>
      </c>
      <c r="N88">
        <v>14100</v>
      </c>
      <c r="O88">
        <v>85</v>
      </c>
      <c r="P88">
        <v>5</v>
      </c>
      <c r="Q88">
        <v>5</v>
      </c>
      <c r="R88" t="s">
        <v>21</v>
      </c>
      <c r="S88" t="s">
        <v>38</v>
      </c>
      <c r="T88">
        <v>20</v>
      </c>
      <c r="U88">
        <v>6000</v>
      </c>
      <c r="V88" t="s">
        <v>58</v>
      </c>
      <c r="W88" t="s">
        <v>1077</v>
      </c>
      <c r="X88" t="s">
        <v>20</v>
      </c>
      <c r="Y88">
        <v>25</v>
      </c>
    </row>
    <row r="89" spans="1:25">
      <c r="A89" t="s">
        <v>227</v>
      </c>
      <c r="B89" t="s">
        <v>228</v>
      </c>
      <c r="C89">
        <v>27</v>
      </c>
      <c r="D89" t="s">
        <v>1077</v>
      </c>
      <c r="E89" t="s">
        <v>50</v>
      </c>
      <c r="F89" t="s">
        <v>36</v>
      </c>
      <c r="G89" t="s">
        <v>51</v>
      </c>
      <c r="H89" t="s">
        <v>1060</v>
      </c>
      <c r="I89">
        <v>47500</v>
      </c>
      <c r="J89">
        <v>12</v>
      </c>
      <c r="K89">
        <v>570000</v>
      </c>
      <c r="L89">
        <v>4</v>
      </c>
      <c r="M89">
        <v>5</v>
      </c>
      <c r="N89">
        <v>14250</v>
      </c>
      <c r="O89">
        <v>85</v>
      </c>
      <c r="P89">
        <v>5</v>
      </c>
      <c r="Q89">
        <v>5</v>
      </c>
      <c r="S89" t="s">
        <v>38</v>
      </c>
      <c r="T89">
        <v>5</v>
      </c>
      <c r="U89">
        <v>1500</v>
      </c>
      <c r="V89" t="s">
        <v>58</v>
      </c>
      <c r="W89" t="s">
        <v>1077</v>
      </c>
      <c r="X89" t="s">
        <v>20</v>
      </c>
      <c r="Y89">
        <v>25</v>
      </c>
    </row>
    <row r="90" spans="1:25">
      <c r="A90" t="s">
        <v>229</v>
      </c>
      <c r="B90" t="s">
        <v>230</v>
      </c>
      <c r="C90">
        <v>27</v>
      </c>
      <c r="D90" t="s">
        <v>46</v>
      </c>
      <c r="E90" t="s">
        <v>26</v>
      </c>
      <c r="F90" t="s">
        <v>66</v>
      </c>
      <c r="G90" t="s">
        <v>51</v>
      </c>
      <c r="H90" t="s">
        <v>1060</v>
      </c>
      <c r="I90">
        <v>47000</v>
      </c>
      <c r="J90">
        <v>12</v>
      </c>
      <c r="K90">
        <v>564000</v>
      </c>
      <c r="L90">
        <v>3</v>
      </c>
      <c r="M90">
        <v>3</v>
      </c>
      <c r="N90">
        <v>14100</v>
      </c>
      <c r="O90">
        <v>85</v>
      </c>
      <c r="P90">
        <v>7</v>
      </c>
      <c r="Q90">
        <v>1</v>
      </c>
      <c r="R90" t="s">
        <v>37</v>
      </c>
      <c r="S90" t="s">
        <v>38</v>
      </c>
      <c r="T90">
        <v>20</v>
      </c>
      <c r="U90">
        <v>6000</v>
      </c>
      <c r="V90" t="s">
        <v>22</v>
      </c>
      <c r="W90" t="s">
        <v>1077</v>
      </c>
      <c r="X90" t="s">
        <v>33</v>
      </c>
      <c r="Y90">
        <v>20</v>
      </c>
    </row>
    <row r="91" spans="1:25">
      <c r="A91" t="s">
        <v>231</v>
      </c>
      <c r="B91" t="s">
        <v>232</v>
      </c>
      <c r="C91">
        <v>26</v>
      </c>
      <c r="D91" t="s">
        <v>46</v>
      </c>
      <c r="E91" t="s">
        <v>35</v>
      </c>
      <c r="F91" t="s">
        <v>36</v>
      </c>
      <c r="G91" t="s">
        <v>51</v>
      </c>
      <c r="H91" t="s">
        <v>1060</v>
      </c>
      <c r="I91">
        <v>47000</v>
      </c>
      <c r="J91">
        <v>12</v>
      </c>
      <c r="K91">
        <v>564000</v>
      </c>
      <c r="L91">
        <v>3</v>
      </c>
      <c r="M91">
        <v>1</v>
      </c>
      <c r="N91" t="s">
        <v>1077</v>
      </c>
      <c r="O91">
        <v>95</v>
      </c>
      <c r="P91">
        <v>7</v>
      </c>
      <c r="Q91">
        <v>3</v>
      </c>
      <c r="R91" t="s">
        <v>21</v>
      </c>
      <c r="S91" t="s">
        <v>38</v>
      </c>
      <c r="T91">
        <v>20</v>
      </c>
      <c r="U91">
        <v>6000</v>
      </c>
      <c r="V91" t="s">
        <v>39</v>
      </c>
      <c r="W91" t="s">
        <v>1077</v>
      </c>
      <c r="X91" t="s">
        <v>20</v>
      </c>
      <c r="Y91">
        <v>25</v>
      </c>
    </row>
    <row r="92" spans="1:25">
      <c r="A92" t="s">
        <v>233</v>
      </c>
      <c r="B92" t="s">
        <v>234</v>
      </c>
      <c r="C92">
        <v>25</v>
      </c>
      <c r="D92" t="s">
        <v>46</v>
      </c>
      <c r="E92" t="s">
        <v>61</v>
      </c>
      <c r="F92" t="s">
        <v>66</v>
      </c>
      <c r="G92" t="s">
        <v>51</v>
      </c>
      <c r="H92" t="s">
        <v>1060</v>
      </c>
      <c r="I92">
        <v>48000</v>
      </c>
      <c r="J92">
        <v>12</v>
      </c>
      <c r="K92">
        <v>576000</v>
      </c>
      <c r="L92">
        <v>4</v>
      </c>
      <c r="M92">
        <v>4</v>
      </c>
      <c r="N92">
        <v>14400</v>
      </c>
      <c r="O92">
        <v>85</v>
      </c>
      <c r="P92">
        <v>5</v>
      </c>
      <c r="Q92">
        <v>3</v>
      </c>
      <c r="R92" t="s">
        <v>37</v>
      </c>
      <c r="S92" t="s">
        <v>38</v>
      </c>
      <c r="T92">
        <v>20</v>
      </c>
      <c r="U92">
        <v>6000</v>
      </c>
      <c r="V92" t="s">
        <v>58</v>
      </c>
      <c r="W92" t="s">
        <v>1077</v>
      </c>
      <c r="X92" t="s">
        <v>33</v>
      </c>
      <c r="Y92">
        <v>20</v>
      </c>
    </row>
    <row r="93" spans="1:25">
      <c r="A93" t="s">
        <v>235</v>
      </c>
      <c r="B93" t="s">
        <v>236</v>
      </c>
      <c r="C93">
        <v>25</v>
      </c>
      <c r="D93" t="s">
        <v>1077</v>
      </c>
      <c r="E93" t="s">
        <v>64</v>
      </c>
      <c r="F93" t="s">
        <v>42</v>
      </c>
      <c r="G93" t="s">
        <v>51</v>
      </c>
      <c r="H93" t="s">
        <v>1060</v>
      </c>
      <c r="I93">
        <v>48000</v>
      </c>
      <c r="J93">
        <v>12</v>
      </c>
      <c r="K93">
        <v>576000</v>
      </c>
      <c r="L93">
        <v>4</v>
      </c>
      <c r="M93">
        <v>4</v>
      </c>
      <c r="N93">
        <v>14400</v>
      </c>
      <c r="O93">
        <v>80</v>
      </c>
      <c r="P93">
        <v>7</v>
      </c>
      <c r="Q93">
        <v>1</v>
      </c>
      <c r="R93" t="s">
        <v>37</v>
      </c>
      <c r="S93" t="s">
        <v>38</v>
      </c>
      <c r="T93">
        <v>5</v>
      </c>
      <c r="U93">
        <v>1500</v>
      </c>
      <c r="V93" t="s">
        <v>22</v>
      </c>
      <c r="W93" t="s">
        <v>1077</v>
      </c>
      <c r="X93" t="s">
        <v>20</v>
      </c>
      <c r="Y93">
        <v>14</v>
      </c>
    </row>
    <row r="94" spans="1:25">
      <c r="A94" t="s">
        <v>237</v>
      </c>
      <c r="B94" t="s">
        <v>238</v>
      </c>
      <c r="C94">
        <v>25</v>
      </c>
      <c r="D94" t="s">
        <v>1077</v>
      </c>
      <c r="F94" t="s">
        <v>42</v>
      </c>
      <c r="G94" t="s">
        <v>51</v>
      </c>
      <c r="H94" t="s">
        <v>1060</v>
      </c>
      <c r="I94">
        <v>44000</v>
      </c>
      <c r="J94">
        <v>12</v>
      </c>
      <c r="K94">
        <v>528000</v>
      </c>
      <c r="L94">
        <v>3</v>
      </c>
      <c r="M94">
        <v>5</v>
      </c>
      <c r="N94">
        <v>13200</v>
      </c>
      <c r="O94">
        <v>95</v>
      </c>
      <c r="P94">
        <v>5</v>
      </c>
      <c r="Q94">
        <v>2</v>
      </c>
      <c r="R94" t="s">
        <v>21</v>
      </c>
      <c r="S94" t="s">
        <v>19</v>
      </c>
      <c r="T94">
        <v>5</v>
      </c>
      <c r="U94">
        <v>1500</v>
      </c>
      <c r="V94" t="s">
        <v>58</v>
      </c>
      <c r="W94" t="s">
        <v>1077</v>
      </c>
      <c r="X94" t="s">
        <v>20</v>
      </c>
      <c r="Y94">
        <v>14</v>
      </c>
    </row>
    <row r="95" spans="1:25">
      <c r="A95" t="s">
        <v>239</v>
      </c>
      <c r="B95" t="s">
        <v>240</v>
      </c>
      <c r="C95">
        <v>26</v>
      </c>
      <c r="D95" t="s">
        <v>1077</v>
      </c>
      <c r="E95" t="s">
        <v>50</v>
      </c>
      <c r="F95" t="s">
        <v>27</v>
      </c>
      <c r="G95" t="s">
        <v>51</v>
      </c>
      <c r="H95" t="s">
        <v>1060</v>
      </c>
      <c r="I95">
        <v>33000</v>
      </c>
      <c r="J95">
        <v>12</v>
      </c>
      <c r="K95">
        <v>396000</v>
      </c>
      <c r="L95">
        <v>2</v>
      </c>
      <c r="M95">
        <v>4</v>
      </c>
      <c r="N95">
        <v>9900</v>
      </c>
      <c r="O95">
        <v>80</v>
      </c>
      <c r="P95">
        <v>5</v>
      </c>
      <c r="Q95">
        <v>1</v>
      </c>
      <c r="R95" t="s">
        <v>37</v>
      </c>
      <c r="S95" t="s">
        <v>38</v>
      </c>
      <c r="U95">
        <v>0</v>
      </c>
      <c r="V95" t="s">
        <v>58</v>
      </c>
      <c r="W95" t="s">
        <v>1077</v>
      </c>
      <c r="X95" t="s">
        <v>20</v>
      </c>
      <c r="Y95">
        <v>12</v>
      </c>
    </row>
    <row r="96" spans="1:25">
      <c r="A96" t="s">
        <v>241</v>
      </c>
      <c r="B96" t="s">
        <v>242</v>
      </c>
      <c r="C96">
        <v>27</v>
      </c>
      <c r="D96" t="s">
        <v>1077</v>
      </c>
      <c r="E96" t="s">
        <v>26</v>
      </c>
      <c r="F96" t="s">
        <v>18</v>
      </c>
      <c r="G96" t="s">
        <v>51</v>
      </c>
      <c r="H96" t="s">
        <v>1059</v>
      </c>
      <c r="I96">
        <v>48000</v>
      </c>
      <c r="J96">
        <v>12</v>
      </c>
      <c r="K96">
        <v>576000</v>
      </c>
      <c r="L96">
        <v>4</v>
      </c>
      <c r="M96">
        <v>5</v>
      </c>
      <c r="N96">
        <v>14400</v>
      </c>
      <c r="O96">
        <v>95</v>
      </c>
      <c r="P96">
        <v>10</v>
      </c>
      <c r="Q96">
        <v>1</v>
      </c>
      <c r="R96" t="s">
        <v>37</v>
      </c>
      <c r="S96" t="s">
        <v>28</v>
      </c>
      <c r="T96">
        <v>10</v>
      </c>
      <c r="U96">
        <v>3000</v>
      </c>
      <c r="V96" t="s">
        <v>58</v>
      </c>
      <c r="W96" t="s">
        <v>1077</v>
      </c>
      <c r="X96" t="s">
        <v>20</v>
      </c>
      <c r="Y96">
        <v>10</v>
      </c>
    </row>
    <row r="97" spans="1:25">
      <c r="A97" t="s">
        <v>243</v>
      </c>
      <c r="B97" t="s">
        <v>244</v>
      </c>
      <c r="C97">
        <v>26</v>
      </c>
      <c r="D97" t="s">
        <v>46</v>
      </c>
      <c r="E97" t="s">
        <v>73</v>
      </c>
      <c r="F97" t="s">
        <v>18</v>
      </c>
      <c r="G97" t="s">
        <v>51</v>
      </c>
      <c r="H97" t="s">
        <v>1060</v>
      </c>
      <c r="I97">
        <v>37000</v>
      </c>
      <c r="J97">
        <v>12</v>
      </c>
      <c r="K97">
        <v>444000</v>
      </c>
      <c r="L97">
        <v>2</v>
      </c>
      <c r="M97">
        <v>2</v>
      </c>
      <c r="N97" t="s">
        <v>1077</v>
      </c>
      <c r="O97">
        <v>80</v>
      </c>
      <c r="P97">
        <v>5</v>
      </c>
      <c r="Q97">
        <v>1</v>
      </c>
      <c r="R97" t="s">
        <v>21</v>
      </c>
      <c r="S97" t="s">
        <v>38</v>
      </c>
      <c r="T97">
        <v>5</v>
      </c>
      <c r="U97">
        <v>1500</v>
      </c>
      <c r="V97" t="s">
        <v>39</v>
      </c>
      <c r="W97" t="s">
        <v>1077</v>
      </c>
      <c r="X97" t="s">
        <v>20</v>
      </c>
      <c r="Y97">
        <v>10</v>
      </c>
    </row>
    <row r="98" spans="1:25">
      <c r="A98" t="s">
        <v>245</v>
      </c>
      <c r="B98" t="s">
        <v>246</v>
      </c>
      <c r="C98">
        <v>27</v>
      </c>
      <c r="D98" t="s">
        <v>1077</v>
      </c>
      <c r="E98" t="s">
        <v>17</v>
      </c>
      <c r="F98" t="s">
        <v>42</v>
      </c>
      <c r="G98" t="s">
        <v>51</v>
      </c>
      <c r="H98" t="s">
        <v>1060</v>
      </c>
      <c r="I98">
        <v>37000</v>
      </c>
      <c r="J98">
        <v>12</v>
      </c>
      <c r="K98">
        <v>444000</v>
      </c>
      <c r="L98">
        <v>2</v>
      </c>
      <c r="M98">
        <v>1</v>
      </c>
      <c r="N98" t="s">
        <v>1077</v>
      </c>
      <c r="O98">
        <v>90</v>
      </c>
      <c r="P98">
        <v>15</v>
      </c>
      <c r="Q98">
        <v>5</v>
      </c>
      <c r="R98" t="s">
        <v>37</v>
      </c>
      <c r="S98" t="s">
        <v>38</v>
      </c>
      <c r="T98">
        <v>5</v>
      </c>
      <c r="U98">
        <v>1500</v>
      </c>
      <c r="V98" t="s">
        <v>39</v>
      </c>
      <c r="W98" t="s">
        <v>1077</v>
      </c>
      <c r="X98" t="s">
        <v>20</v>
      </c>
      <c r="Y98">
        <v>14</v>
      </c>
    </row>
    <row r="99" spans="1:25">
      <c r="A99" t="s">
        <v>247</v>
      </c>
      <c r="B99" t="s">
        <v>248</v>
      </c>
      <c r="C99">
        <v>25</v>
      </c>
      <c r="D99" t="s">
        <v>46</v>
      </c>
      <c r="E99" t="s">
        <v>26</v>
      </c>
      <c r="F99" t="s">
        <v>31</v>
      </c>
      <c r="G99" t="s">
        <v>51</v>
      </c>
      <c r="H99" t="s">
        <v>1060</v>
      </c>
      <c r="I99">
        <v>37000</v>
      </c>
      <c r="J99">
        <v>12</v>
      </c>
      <c r="K99">
        <v>444000</v>
      </c>
      <c r="L99">
        <v>2</v>
      </c>
      <c r="M99">
        <v>2</v>
      </c>
      <c r="N99" t="s">
        <v>1077</v>
      </c>
      <c r="O99">
        <v>85</v>
      </c>
      <c r="P99">
        <v>15</v>
      </c>
      <c r="Q99">
        <v>3</v>
      </c>
      <c r="S99" t="s">
        <v>38</v>
      </c>
      <c r="U99">
        <v>0</v>
      </c>
      <c r="V99" t="s">
        <v>39</v>
      </c>
      <c r="W99" t="s">
        <v>1077</v>
      </c>
      <c r="X99" t="s">
        <v>33</v>
      </c>
      <c r="Y99">
        <v>13</v>
      </c>
    </row>
    <row r="100" spans="1:25">
      <c r="A100" t="s">
        <v>249</v>
      </c>
      <c r="B100" t="s">
        <v>250</v>
      </c>
      <c r="C100">
        <v>26</v>
      </c>
      <c r="D100" t="s">
        <v>1077</v>
      </c>
      <c r="E100" t="s">
        <v>26</v>
      </c>
      <c r="F100" t="s">
        <v>36</v>
      </c>
      <c r="G100" t="s">
        <v>51</v>
      </c>
      <c r="H100" t="s">
        <v>1060</v>
      </c>
      <c r="I100">
        <v>47000</v>
      </c>
      <c r="J100">
        <v>12</v>
      </c>
      <c r="K100">
        <v>564000</v>
      </c>
      <c r="L100">
        <v>3</v>
      </c>
      <c r="M100">
        <v>2</v>
      </c>
      <c r="N100" t="s">
        <v>1077</v>
      </c>
      <c r="O100">
        <v>95</v>
      </c>
      <c r="P100">
        <v>10</v>
      </c>
      <c r="Q100">
        <v>3</v>
      </c>
      <c r="S100" t="s">
        <v>38</v>
      </c>
      <c r="T100">
        <v>20</v>
      </c>
      <c r="U100">
        <v>6000</v>
      </c>
      <c r="V100" t="s">
        <v>39</v>
      </c>
      <c r="W100" t="s">
        <v>1077</v>
      </c>
      <c r="X100" t="s">
        <v>20</v>
      </c>
      <c r="Y100">
        <v>25</v>
      </c>
    </row>
    <row r="101" spans="1:25">
      <c r="A101" t="s">
        <v>251</v>
      </c>
      <c r="B101" t="s">
        <v>252</v>
      </c>
      <c r="C101">
        <v>26</v>
      </c>
      <c r="D101" t="s">
        <v>46</v>
      </c>
      <c r="F101" t="s">
        <v>31</v>
      </c>
      <c r="G101" t="s">
        <v>51</v>
      </c>
      <c r="H101" t="s">
        <v>1060</v>
      </c>
      <c r="I101">
        <v>35000</v>
      </c>
      <c r="J101">
        <v>12</v>
      </c>
      <c r="K101">
        <v>420000</v>
      </c>
      <c r="L101">
        <v>2</v>
      </c>
      <c r="M101">
        <v>4</v>
      </c>
      <c r="N101">
        <v>10500</v>
      </c>
      <c r="O101">
        <v>80</v>
      </c>
      <c r="P101">
        <v>7</v>
      </c>
      <c r="Q101">
        <v>5</v>
      </c>
      <c r="R101" t="s">
        <v>21</v>
      </c>
      <c r="S101" t="s">
        <v>19</v>
      </c>
      <c r="T101">
        <v>10</v>
      </c>
      <c r="U101">
        <v>3000</v>
      </c>
      <c r="V101" t="s">
        <v>22</v>
      </c>
      <c r="W101" t="s">
        <v>1077</v>
      </c>
      <c r="X101" t="s">
        <v>33</v>
      </c>
      <c r="Y101">
        <v>13</v>
      </c>
    </row>
    <row r="102" spans="1:25">
      <c r="A102" t="s">
        <v>255</v>
      </c>
      <c r="B102" t="s">
        <v>256</v>
      </c>
      <c r="C102">
        <v>27</v>
      </c>
      <c r="D102" t="s">
        <v>1077</v>
      </c>
      <c r="E102" t="s">
        <v>26</v>
      </c>
      <c r="F102" t="s">
        <v>31</v>
      </c>
      <c r="G102" t="s">
        <v>1045</v>
      </c>
      <c r="H102" t="s">
        <v>1059</v>
      </c>
      <c r="I102">
        <v>81000</v>
      </c>
      <c r="J102">
        <v>12</v>
      </c>
      <c r="K102">
        <v>972000</v>
      </c>
      <c r="L102">
        <v>6</v>
      </c>
      <c r="M102">
        <v>1</v>
      </c>
      <c r="N102" t="s">
        <v>1077</v>
      </c>
      <c r="O102">
        <v>80</v>
      </c>
      <c r="P102">
        <v>15</v>
      </c>
      <c r="Q102">
        <v>11</v>
      </c>
      <c r="R102" t="s">
        <v>37</v>
      </c>
      <c r="S102" t="s">
        <v>28</v>
      </c>
      <c r="T102">
        <v>10</v>
      </c>
      <c r="U102">
        <v>3000</v>
      </c>
      <c r="V102" t="s">
        <v>39</v>
      </c>
      <c r="W102" t="s">
        <v>1077</v>
      </c>
      <c r="X102" t="s">
        <v>33</v>
      </c>
      <c r="Y102">
        <v>13</v>
      </c>
    </row>
    <row r="103" spans="1:25">
      <c r="A103" t="s">
        <v>257</v>
      </c>
      <c r="B103" t="s">
        <v>258</v>
      </c>
      <c r="C103">
        <v>29</v>
      </c>
      <c r="D103" t="s">
        <v>1077</v>
      </c>
      <c r="E103" t="s">
        <v>50</v>
      </c>
      <c r="F103" t="s">
        <v>42</v>
      </c>
      <c r="G103" t="s">
        <v>1045</v>
      </c>
      <c r="H103" t="s">
        <v>1060</v>
      </c>
      <c r="I103">
        <v>78000</v>
      </c>
      <c r="J103">
        <v>12</v>
      </c>
      <c r="K103">
        <v>936000</v>
      </c>
      <c r="L103">
        <v>5</v>
      </c>
      <c r="M103">
        <v>5</v>
      </c>
      <c r="N103">
        <v>23400</v>
      </c>
      <c r="O103">
        <v>85</v>
      </c>
      <c r="P103">
        <v>10</v>
      </c>
      <c r="Q103">
        <v>1</v>
      </c>
      <c r="S103" t="s">
        <v>19</v>
      </c>
      <c r="T103">
        <v>20</v>
      </c>
      <c r="U103">
        <v>6000</v>
      </c>
      <c r="V103" t="s">
        <v>58</v>
      </c>
      <c r="W103" t="s">
        <v>1077</v>
      </c>
      <c r="X103" t="s">
        <v>20</v>
      </c>
      <c r="Y103">
        <v>14</v>
      </c>
    </row>
    <row r="104" spans="1:25">
      <c r="A104" t="s">
        <v>259</v>
      </c>
      <c r="B104" t="s">
        <v>260</v>
      </c>
      <c r="C104">
        <v>34</v>
      </c>
      <c r="D104" t="s">
        <v>25</v>
      </c>
      <c r="E104" t="s">
        <v>17</v>
      </c>
      <c r="F104" t="s">
        <v>27</v>
      </c>
      <c r="G104" t="s">
        <v>32</v>
      </c>
      <c r="H104" t="s">
        <v>1060</v>
      </c>
      <c r="I104">
        <v>90000</v>
      </c>
      <c r="J104">
        <v>12</v>
      </c>
      <c r="K104">
        <v>1080000</v>
      </c>
      <c r="L104">
        <v>9</v>
      </c>
      <c r="M104">
        <v>1</v>
      </c>
      <c r="N104" t="s">
        <v>1077</v>
      </c>
      <c r="O104">
        <v>85</v>
      </c>
      <c r="P104">
        <v>10</v>
      </c>
      <c r="Q104">
        <v>3</v>
      </c>
      <c r="S104" t="s">
        <v>38</v>
      </c>
      <c r="U104">
        <v>0</v>
      </c>
      <c r="V104" t="s">
        <v>39</v>
      </c>
      <c r="W104" t="s">
        <v>1077</v>
      </c>
      <c r="X104" t="s">
        <v>20</v>
      </c>
      <c r="Y104">
        <v>12</v>
      </c>
    </row>
    <row r="105" spans="1:25">
      <c r="A105" t="s">
        <v>261</v>
      </c>
      <c r="B105" t="s">
        <v>262</v>
      </c>
      <c r="C105">
        <v>43</v>
      </c>
      <c r="D105" t="s">
        <v>1077</v>
      </c>
      <c r="E105" t="s">
        <v>65</v>
      </c>
      <c r="F105" t="s">
        <v>66</v>
      </c>
      <c r="G105" t="s">
        <v>1049</v>
      </c>
      <c r="H105" t="s">
        <v>1060</v>
      </c>
      <c r="I105">
        <v>120000</v>
      </c>
      <c r="J105">
        <v>12</v>
      </c>
      <c r="K105">
        <v>1440000</v>
      </c>
      <c r="L105">
        <v>13</v>
      </c>
      <c r="M105">
        <v>3</v>
      </c>
      <c r="N105">
        <v>36000</v>
      </c>
      <c r="O105">
        <v>95</v>
      </c>
      <c r="P105">
        <v>5</v>
      </c>
      <c r="Q105">
        <v>1</v>
      </c>
      <c r="S105" t="s">
        <v>38</v>
      </c>
      <c r="U105" t="s">
        <v>1077</v>
      </c>
      <c r="V105" t="s">
        <v>22</v>
      </c>
      <c r="W105" t="s">
        <v>1077</v>
      </c>
      <c r="X105" t="s">
        <v>33</v>
      </c>
      <c r="Y105">
        <v>20</v>
      </c>
    </row>
    <row r="106" spans="1:25">
      <c r="A106" t="s">
        <v>263</v>
      </c>
      <c r="B106" t="s">
        <v>264</v>
      </c>
      <c r="C106">
        <v>38</v>
      </c>
      <c r="D106" t="s">
        <v>46</v>
      </c>
      <c r="E106" t="s">
        <v>47</v>
      </c>
      <c r="F106" t="s">
        <v>27</v>
      </c>
      <c r="G106" t="s">
        <v>32</v>
      </c>
      <c r="H106" t="s">
        <v>1060</v>
      </c>
      <c r="I106">
        <v>93500</v>
      </c>
      <c r="J106">
        <v>12</v>
      </c>
      <c r="K106">
        <v>1122000</v>
      </c>
      <c r="L106">
        <v>12</v>
      </c>
      <c r="M106">
        <v>2</v>
      </c>
      <c r="N106" t="s">
        <v>1077</v>
      </c>
      <c r="O106">
        <v>90</v>
      </c>
      <c r="P106">
        <v>10</v>
      </c>
      <c r="Q106">
        <v>5</v>
      </c>
      <c r="R106" t="s">
        <v>37</v>
      </c>
      <c r="S106" t="s">
        <v>19</v>
      </c>
      <c r="T106">
        <v>5</v>
      </c>
      <c r="U106">
        <v>1750</v>
      </c>
      <c r="V106" t="s">
        <v>39</v>
      </c>
      <c r="W106" t="s">
        <v>1077</v>
      </c>
      <c r="X106" t="s">
        <v>20</v>
      </c>
      <c r="Y106">
        <v>12</v>
      </c>
    </row>
    <row r="107" spans="1:25">
      <c r="A107" t="s">
        <v>265</v>
      </c>
      <c r="B107" t="s">
        <v>266</v>
      </c>
      <c r="C107">
        <v>24</v>
      </c>
      <c r="D107" t="s">
        <v>46</v>
      </c>
      <c r="E107" t="s">
        <v>17</v>
      </c>
      <c r="F107" t="s">
        <v>42</v>
      </c>
      <c r="G107" t="s">
        <v>1045</v>
      </c>
      <c r="H107" t="s">
        <v>1059</v>
      </c>
      <c r="I107">
        <v>78000</v>
      </c>
      <c r="J107">
        <v>12</v>
      </c>
      <c r="K107">
        <v>936000</v>
      </c>
      <c r="L107">
        <v>5</v>
      </c>
      <c r="M107">
        <v>4</v>
      </c>
      <c r="N107">
        <v>23400</v>
      </c>
      <c r="O107">
        <v>85</v>
      </c>
      <c r="P107">
        <v>7</v>
      </c>
      <c r="Q107">
        <v>4</v>
      </c>
      <c r="R107" t="s">
        <v>21</v>
      </c>
      <c r="S107" t="s">
        <v>28</v>
      </c>
      <c r="T107">
        <v>5</v>
      </c>
      <c r="U107">
        <v>1500</v>
      </c>
      <c r="V107" t="s">
        <v>22</v>
      </c>
      <c r="W107" t="s">
        <v>1077</v>
      </c>
      <c r="X107" t="s">
        <v>20</v>
      </c>
      <c r="Y107">
        <v>14</v>
      </c>
    </row>
    <row r="108" spans="1:25">
      <c r="A108" t="s">
        <v>267</v>
      </c>
      <c r="B108" t="s">
        <v>268</v>
      </c>
      <c r="C108">
        <v>26</v>
      </c>
      <c r="D108" t="s">
        <v>1077</v>
      </c>
      <c r="E108" t="s">
        <v>26</v>
      </c>
      <c r="F108" t="s">
        <v>27</v>
      </c>
      <c r="G108" t="s">
        <v>51</v>
      </c>
      <c r="H108" t="s">
        <v>1060</v>
      </c>
      <c r="I108">
        <v>48000</v>
      </c>
      <c r="J108">
        <v>12</v>
      </c>
      <c r="K108">
        <v>576000</v>
      </c>
      <c r="L108">
        <v>4</v>
      </c>
      <c r="M108">
        <v>2</v>
      </c>
      <c r="N108" t="s">
        <v>1077</v>
      </c>
      <c r="O108">
        <v>95</v>
      </c>
      <c r="P108">
        <v>7</v>
      </c>
      <c r="Q108">
        <v>3</v>
      </c>
      <c r="S108" t="s">
        <v>19</v>
      </c>
      <c r="T108">
        <v>5</v>
      </c>
      <c r="U108">
        <v>1500</v>
      </c>
      <c r="V108" t="s">
        <v>39</v>
      </c>
      <c r="W108" t="s">
        <v>1077</v>
      </c>
      <c r="X108" t="s">
        <v>20</v>
      </c>
      <c r="Y108">
        <v>12</v>
      </c>
    </row>
    <row r="109" spans="1:25">
      <c r="A109" t="s">
        <v>269</v>
      </c>
      <c r="B109" t="s">
        <v>270</v>
      </c>
      <c r="C109">
        <v>27</v>
      </c>
      <c r="D109" t="s">
        <v>46</v>
      </c>
      <c r="E109" t="s">
        <v>50</v>
      </c>
      <c r="F109" t="s">
        <v>42</v>
      </c>
      <c r="G109" t="s">
        <v>1045</v>
      </c>
      <c r="H109" t="s">
        <v>1060</v>
      </c>
      <c r="I109">
        <v>78000</v>
      </c>
      <c r="J109">
        <v>12</v>
      </c>
      <c r="K109">
        <v>936000</v>
      </c>
      <c r="L109">
        <v>7</v>
      </c>
      <c r="M109">
        <v>4</v>
      </c>
      <c r="N109">
        <v>23400</v>
      </c>
      <c r="O109">
        <v>90</v>
      </c>
      <c r="P109">
        <v>5</v>
      </c>
      <c r="Q109">
        <v>1</v>
      </c>
      <c r="R109" t="s">
        <v>37</v>
      </c>
      <c r="S109" t="s">
        <v>19</v>
      </c>
      <c r="T109">
        <v>20</v>
      </c>
      <c r="U109">
        <v>6000</v>
      </c>
      <c r="V109" t="s">
        <v>58</v>
      </c>
      <c r="W109" t="s">
        <v>1077</v>
      </c>
      <c r="X109" t="s">
        <v>20</v>
      </c>
      <c r="Y109">
        <v>14</v>
      </c>
    </row>
    <row r="110" spans="1:25">
      <c r="A110" t="s">
        <v>271</v>
      </c>
      <c r="B110" t="s">
        <v>272</v>
      </c>
      <c r="C110">
        <v>25</v>
      </c>
      <c r="D110" t="s">
        <v>46</v>
      </c>
      <c r="E110" t="s">
        <v>61</v>
      </c>
      <c r="F110" t="s">
        <v>31</v>
      </c>
      <c r="G110" t="s">
        <v>51</v>
      </c>
      <c r="H110" t="s">
        <v>1060</v>
      </c>
      <c r="I110">
        <v>37000</v>
      </c>
      <c r="J110">
        <v>12</v>
      </c>
      <c r="K110">
        <v>444000</v>
      </c>
      <c r="L110">
        <v>2</v>
      </c>
      <c r="M110">
        <v>2</v>
      </c>
      <c r="N110" t="s">
        <v>1077</v>
      </c>
      <c r="O110">
        <v>80</v>
      </c>
      <c r="P110">
        <v>15</v>
      </c>
      <c r="Q110">
        <v>5</v>
      </c>
      <c r="S110" t="s">
        <v>19</v>
      </c>
      <c r="U110">
        <v>0</v>
      </c>
      <c r="V110" t="s">
        <v>39</v>
      </c>
      <c r="W110" t="s">
        <v>1077</v>
      </c>
      <c r="X110" t="s">
        <v>33</v>
      </c>
      <c r="Y110">
        <v>13</v>
      </c>
    </row>
    <row r="111" spans="1:25">
      <c r="A111" t="s">
        <v>273</v>
      </c>
      <c r="B111" t="s">
        <v>274</v>
      </c>
      <c r="C111">
        <v>27</v>
      </c>
      <c r="D111" t="s">
        <v>46</v>
      </c>
      <c r="E111" t="s">
        <v>47</v>
      </c>
      <c r="F111" t="s">
        <v>18</v>
      </c>
      <c r="G111" t="s">
        <v>51</v>
      </c>
      <c r="H111" t="s">
        <v>1060</v>
      </c>
      <c r="I111">
        <v>47000</v>
      </c>
      <c r="J111">
        <v>12</v>
      </c>
      <c r="K111">
        <v>564000</v>
      </c>
      <c r="L111">
        <v>3</v>
      </c>
      <c r="M111">
        <v>5</v>
      </c>
      <c r="N111">
        <v>14100</v>
      </c>
      <c r="O111">
        <v>85</v>
      </c>
      <c r="P111">
        <v>5</v>
      </c>
      <c r="Q111">
        <v>10</v>
      </c>
      <c r="R111" t="s">
        <v>37</v>
      </c>
      <c r="S111" t="s">
        <v>38</v>
      </c>
      <c r="U111">
        <v>0</v>
      </c>
      <c r="V111" t="s">
        <v>58</v>
      </c>
      <c r="W111" t="s">
        <v>1077</v>
      </c>
      <c r="X111" t="s">
        <v>20</v>
      </c>
      <c r="Y111">
        <v>10</v>
      </c>
    </row>
    <row r="112" spans="1:25">
      <c r="A112" t="s">
        <v>275</v>
      </c>
      <c r="B112" t="s">
        <v>276</v>
      </c>
      <c r="C112">
        <v>27</v>
      </c>
      <c r="D112" t="s">
        <v>25</v>
      </c>
      <c r="E112" t="s">
        <v>57</v>
      </c>
      <c r="F112" t="s">
        <v>42</v>
      </c>
      <c r="G112" t="s">
        <v>51</v>
      </c>
      <c r="H112" t="s">
        <v>1060</v>
      </c>
      <c r="I112">
        <v>47000</v>
      </c>
      <c r="J112">
        <v>12</v>
      </c>
      <c r="K112">
        <v>564000</v>
      </c>
      <c r="L112">
        <v>3</v>
      </c>
      <c r="M112">
        <v>2</v>
      </c>
      <c r="N112" t="s">
        <v>1077</v>
      </c>
      <c r="O112">
        <v>80</v>
      </c>
      <c r="P112">
        <v>5</v>
      </c>
      <c r="Q112">
        <v>3</v>
      </c>
      <c r="R112" t="s">
        <v>37</v>
      </c>
      <c r="S112" t="s">
        <v>38</v>
      </c>
      <c r="T112">
        <v>10</v>
      </c>
      <c r="U112">
        <v>3000</v>
      </c>
      <c r="V112" t="s">
        <v>39</v>
      </c>
      <c r="W112" t="s">
        <v>1077</v>
      </c>
      <c r="X112" t="s">
        <v>20</v>
      </c>
      <c r="Y112">
        <v>14</v>
      </c>
    </row>
    <row r="113" spans="1:25">
      <c r="A113" t="s">
        <v>277</v>
      </c>
      <c r="B113" t="s">
        <v>278</v>
      </c>
      <c r="C113">
        <v>25</v>
      </c>
      <c r="D113" t="s">
        <v>25</v>
      </c>
      <c r="E113" t="s">
        <v>50</v>
      </c>
      <c r="F113" t="s">
        <v>42</v>
      </c>
      <c r="G113" t="s">
        <v>51</v>
      </c>
      <c r="H113" t="s">
        <v>1060</v>
      </c>
      <c r="I113">
        <v>35500</v>
      </c>
      <c r="J113">
        <v>12</v>
      </c>
      <c r="K113">
        <v>426000</v>
      </c>
      <c r="L113">
        <v>2</v>
      </c>
      <c r="M113">
        <v>1</v>
      </c>
      <c r="N113" t="s">
        <v>1077</v>
      </c>
      <c r="O113">
        <v>90</v>
      </c>
      <c r="P113">
        <v>5</v>
      </c>
      <c r="Q113">
        <v>5</v>
      </c>
      <c r="R113" t="s">
        <v>37</v>
      </c>
      <c r="S113" t="s">
        <v>38</v>
      </c>
      <c r="U113">
        <v>0</v>
      </c>
      <c r="V113" t="s">
        <v>39</v>
      </c>
      <c r="W113" t="s">
        <v>1077</v>
      </c>
      <c r="X113" t="s">
        <v>20</v>
      </c>
      <c r="Y113">
        <v>14</v>
      </c>
    </row>
    <row r="114" spans="1:25">
      <c r="A114" t="s">
        <v>279</v>
      </c>
      <c r="B114" t="s">
        <v>280</v>
      </c>
      <c r="C114">
        <v>26</v>
      </c>
      <c r="D114" t="s">
        <v>1077</v>
      </c>
      <c r="F114" t="s">
        <v>36</v>
      </c>
      <c r="G114" t="s">
        <v>51</v>
      </c>
      <c r="H114" t="s">
        <v>1060</v>
      </c>
      <c r="I114">
        <v>48000</v>
      </c>
      <c r="J114">
        <v>12</v>
      </c>
      <c r="K114">
        <v>576000</v>
      </c>
      <c r="L114">
        <v>4</v>
      </c>
      <c r="M114">
        <v>1</v>
      </c>
      <c r="N114" t="s">
        <v>1077</v>
      </c>
      <c r="O114">
        <v>85</v>
      </c>
      <c r="P114">
        <v>5</v>
      </c>
      <c r="Q114">
        <v>5</v>
      </c>
      <c r="R114" t="s">
        <v>37</v>
      </c>
      <c r="S114" t="s">
        <v>38</v>
      </c>
      <c r="T114">
        <v>20</v>
      </c>
      <c r="U114">
        <v>6000</v>
      </c>
      <c r="V114" t="s">
        <v>39</v>
      </c>
      <c r="W114" t="s">
        <v>1077</v>
      </c>
      <c r="X114" t="s">
        <v>20</v>
      </c>
      <c r="Y114">
        <v>25</v>
      </c>
    </row>
    <row r="115" spans="1:25">
      <c r="A115" t="s">
        <v>281</v>
      </c>
      <c r="B115" t="s">
        <v>282</v>
      </c>
      <c r="C115">
        <v>25</v>
      </c>
      <c r="D115" t="s">
        <v>46</v>
      </c>
      <c r="E115" t="s">
        <v>35</v>
      </c>
      <c r="F115" t="s">
        <v>66</v>
      </c>
      <c r="G115" t="s">
        <v>51</v>
      </c>
      <c r="H115" t="s">
        <v>1060</v>
      </c>
      <c r="I115">
        <v>43000</v>
      </c>
      <c r="J115">
        <v>12</v>
      </c>
      <c r="K115">
        <v>516000</v>
      </c>
      <c r="L115">
        <v>3</v>
      </c>
      <c r="M115">
        <v>2</v>
      </c>
      <c r="N115" t="s">
        <v>1077</v>
      </c>
      <c r="O115">
        <v>80</v>
      </c>
      <c r="P115">
        <v>23</v>
      </c>
      <c r="Q115">
        <v>9</v>
      </c>
      <c r="S115" t="s">
        <v>38</v>
      </c>
      <c r="U115">
        <v>0</v>
      </c>
      <c r="V115" t="s">
        <v>39</v>
      </c>
      <c r="W115" t="s">
        <v>1077</v>
      </c>
      <c r="X115" t="s">
        <v>33</v>
      </c>
      <c r="Y115">
        <v>20</v>
      </c>
    </row>
    <row r="116" spans="1:25">
      <c r="A116" t="s">
        <v>283</v>
      </c>
      <c r="B116" t="s">
        <v>284</v>
      </c>
      <c r="C116">
        <v>26</v>
      </c>
      <c r="D116" t="s">
        <v>25</v>
      </c>
      <c r="E116" t="s">
        <v>26</v>
      </c>
      <c r="F116" t="s">
        <v>66</v>
      </c>
      <c r="G116" t="s">
        <v>51</v>
      </c>
      <c r="H116" t="s">
        <v>1060</v>
      </c>
      <c r="I116">
        <v>48000</v>
      </c>
      <c r="J116">
        <v>12</v>
      </c>
      <c r="K116">
        <v>576000</v>
      </c>
      <c r="L116">
        <v>4</v>
      </c>
      <c r="M116">
        <v>2</v>
      </c>
      <c r="N116" t="s">
        <v>1077</v>
      </c>
      <c r="O116">
        <v>80</v>
      </c>
      <c r="P116">
        <v>10</v>
      </c>
      <c r="Q116">
        <v>3</v>
      </c>
      <c r="R116" t="s">
        <v>21</v>
      </c>
      <c r="S116" t="s">
        <v>19</v>
      </c>
      <c r="T116">
        <v>20</v>
      </c>
      <c r="U116">
        <v>6000</v>
      </c>
      <c r="V116" t="s">
        <v>39</v>
      </c>
      <c r="W116" t="s">
        <v>1077</v>
      </c>
      <c r="X116" t="s">
        <v>33</v>
      </c>
      <c r="Y116">
        <v>20</v>
      </c>
    </row>
    <row r="117" spans="1:25">
      <c r="A117" t="s">
        <v>285</v>
      </c>
      <c r="B117" t="s">
        <v>286</v>
      </c>
      <c r="C117">
        <v>27</v>
      </c>
      <c r="D117" t="s">
        <v>25</v>
      </c>
      <c r="E117" t="s">
        <v>73</v>
      </c>
      <c r="F117" t="s">
        <v>31</v>
      </c>
      <c r="G117" t="s">
        <v>51</v>
      </c>
      <c r="H117" t="s">
        <v>1060</v>
      </c>
      <c r="I117">
        <v>43000</v>
      </c>
      <c r="J117">
        <v>12</v>
      </c>
      <c r="K117">
        <v>516000</v>
      </c>
      <c r="L117">
        <v>3</v>
      </c>
      <c r="M117">
        <v>5</v>
      </c>
      <c r="N117">
        <v>12900</v>
      </c>
      <c r="O117">
        <v>90</v>
      </c>
      <c r="P117">
        <v>15</v>
      </c>
      <c r="Q117">
        <v>3</v>
      </c>
      <c r="R117" t="s">
        <v>37</v>
      </c>
      <c r="S117" t="s">
        <v>19</v>
      </c>
      <c r="T117">
        <v>10</v>
      </c>
      <c r="U117">
        <v>3000</v>
      </c>
      <c r="V117" t="s">
        <v>58</v>
      </c>
      <c r="W117" t="s">
        <v>1077</v>
      </c>
      <c r="X117" t="s">
        <v>33</v>
      </c>
      <c r="Y117">
        <v>13</v>
      </c>
    </row>
    <row r="118" spans="1:25">
      <c r="A118" t="s">
        <v>287</v>
      </c>
      <c r="B118" t="s">
        <v>288</v>
      </c>
      <c r="C118">
        <v>26</v>
      </c>
      <c r="D118" t="s">
        <v>25</v>
      </c>
      <c r="E118" t="s">
        <v>26</v>
      </c>
      <c r="F118" t="s">
        <v>31</v>
      </c>
      <c r="G118" t="s">
        <v>51</v>
      </c>
      <c r="H118" t="s">
        <v>1060</v>
      </c>
      <c r="I118">
        <v>37000</v>
      </c>
      <c r="J118">
        <v>12</v>
      </c>
      <c r="K118">
        <v>444000</v>
      </c>
      <c r="L118">
        <v>2</v>
      </c>
      <c r="M118">
        <v>2</v>
      </c>
      <c r="N118" t="s">
        <v>1077</v>
      </c>
      <c r="O118">
        <v>85</v>
      </c>
      <c r="P118">
        <v>5</v>
      </c>
      <c r="Q118">
        <v>1</v>
      </c>
      <c r="R118" t="s">
        <v>37</v>
      </c>
      <c r="S118" t="s">
        <v>38</v>
      </c>
      <c r="T118">
        <v>20</v>
      </c>
      <c r="U118">
        <v>6000</v>
      </c>
      <c r="V118" t="s">
        <v>39</v>
      </c>
      <c r="W118" t="s">
        <v>1077</v>
      </c>
      <c r="X118" t="s">
        <v>33</v>
      </c>
      <c r="Y118">
        <v>13</v>
      </c>
    </row>
    <row r="119" spans="1:25">
      <c r="A119" t="s">
        <v>289</v>
      </c>
      <c r="B119" t="s">
        <v>290</v>
      </c>
      <c r="C119">
        <v>26</v>
      </c>
      <c r="D119" t="s">
        <v>46</v>
      </c>
      <c r="E119" t="s">
        <v>73</v>
      </c>
      <c r="F119" t="s">
        <v>27</v>
      </c>
      <c r="G119" t="s">
        <v>51</v>
      </c>
      <c r="H119" t="s">
        <v>1060</v>
      </c>
      <c r="I119">
        <v>43000</v>
      </c>
      <c r="J119">
        <v>12</v>
      </c>
      <c r="K119">
        <v>516000</v>
      </c>
      <c r="L119">
        <v>3</v>
      </c>
      <c r="M119">
        <v>4</v>
      </c>
      <c r="N119">
        <v>12900</v>
      </c>
      <c r="O119">
        <v>85</v>
      </c>
      <c r="P119">
        <v>15</v>
      </c>
      <c r="Q119">
        <v>2</v>
      </c>
      <c r="S119" t="s">
        <v>38</v>
      </c>
      <c r="T119">
        <v>10</v>
      </c>
      <c r="U119">
        <v>3000</v>
      </c>
      <c r="V119" t="s">
        <v>22</v>
      </c>
      <c r="W119" t="s">
        <v>1077</v>
      </c>
      <c r="X119" t="s">
        <v>20</v>
      </c>
      <c r="Y119">
        <v>12</v>
      </c>
    </row>
    <row r="120" spans="1:25">
      <c r="A120" t="s">
        <v>291</v>
      </c>
      <c r="B120" t="s">
        <v>292</v>
      </c>
      <c r="C120">
        <v>25</v>
      </c>
      <c r="D120" t="s">
        <v>46</v>
      </c>
      <c r="E120" t="s">
        <v>35</v>
      </c>
      <c r="F120" t="s">
        <v>42</v>
      </c>
      <c r="G120" t="s">
        <v>51</v>
      </c>
      <c r="H120" t="s">
        <v>1060</v>
      </c>
      <c r="I120">
        <v>43000</v>
      </c>
      <c r="J120">
        <v>12</v>
      </c>
      <c r="K120">
        <v>516000</v>
      </c>
      <c r="L120">
        <v>3</v>
      </c>
      <c r="M120">
        <v>1</v>
      </c>
      <c r="N120" t="s">
        <v>1077</v>
      </c>
      <c r="O120">
        <v>85</v>
      </c>
      <c r="P120">
        <v>15</v>
      </c>
      <c r="Q120">
        <v>5</v>
      </c>
      <c r="R120" t="s">
        <v>21</v>
      </c>
      <c r="S120" t="s">
        <v>38</v>
      </c>
      <c r="T120">
        <v>20</v>
      </c>
      <c r="U120">
        <v>6000</v>
      </c>
      <c r="V120" t="s">
        <v>39</v>
      </c>
      <c r="W120" t="s">
        <v>1077</v>
      </c>
      <c r="X120" t="s">
        <v>20</v>
      </c>
      <c r="Y120">
        <v>14</v>
      </c>
    </row>
    <row r="121" spans="1:25">
      <c r="A121" t="s">
        <v>293</v>
      </c>
      <c r="B121" t="s">
        <v>294</v>
      </c>
      <c r="C121">
        <v>25</v>
      </c>
      <c r="D121" t="s">
        <v>46</v>
      </c>
      <c r="E121" t="s">
        <v>17</v>
      </c>
      <c r="F121" t="s">
        <v>31</v>
      </c>
      <c r="G121" t="s">
        <v>51</v>
      </c>
      <c r="H121" t="s">
        <v>1060</v>
      </c>
      <c r="I121">
        <v>48000</v>
      </c>
      <c r="J121">
        <v>12</v>
      </c>
      <c r="K121">
        <v>576000</v>
      </c>
      <c r="L121">
        <v>4</v>
      </c>
      <c r="M121">
        <v>4</v>
      </c>
      <c r="N121">
        <v>14400</v>
      </c>
      <c r="O121">
        <v>85</v>
      </c>
      <c r="P121">
        <v>15</v>
      </c>
      <c r="Q121">
        <v>3</v>
      </c>
      <c r="S121" t="s">
        <v>38</v>
      </c>
      <c r="T121">
        <v>20</v>
      </c>
      <c r="U121">
        <v>6000</v>
      </c>
      <c r="V121" t="s">
        <v>58</v>
      </c>
      <c r="W121" t="s">
        <v>1077</v>
      </c>
      <c r="X121" t="s">
        <v>33</v>
      </c>
      <c r="Y121">
        <v>13</v>
      </c>
    </row>
    <row r="122" spans="1:25">
      <c r="A122" t="s">
        <v>295</v>
      </c>
      <c r="B122" t="s">
        <v>296</v>
      </c>
      <c r="C122">
        <v>25</v>
      </c>
      <c r="D122" t="s">
        <v>1077</v>
      </c>
      <c r="E122" t="s">
        <v>26</v>
      </c>
      <c r="F122" t="s">
        <v>36</v>
      </c>
      <c r="G122" t="s">
        <v>51</v>
      </c>
      <c r="H122" t="s">
        <v>1059</v>
      </c>
      <c r="I122">
        <v>43000</v>
      </c>
      <c r="J122">
        <v>12</v>
      </c>
      <c r="K122">
        <v>516000</v>
      </c>
      <c r="L122">
        <v>3</v>
      </c>
      <c r="M122">
        <v>4</v>
      </c>
      <c r="N122">
        <v>12900</v>
      </c>
      <c r="O122">
        <v>90</v>
      </c>
      <c r="P122">
        <v>10</v>
      </c>
      <c r="Q122">
        <v>2</v>
      </c>
      <c r="R122" t="s">
        <v>21</v>
      </c>
      <c r="S122" t="s">
        <v>28</v>
      </c>
      <c r="T122">
        <v>5</v>
      </c>
      <c r="U122">
        <v>1500</v>
      </c>
      <c r="V122" t="s">
        <v>22</v>
      </c>
      <c r="W122" t="s">
        <v>1077</v>
      </c>
      <c r="X122" t="s">
        <v>20</v>
      </c>
      <c r="Y122">
        <v>25</v>
      </c>
    </row>
    <row r="123" spans="1:25">
      <c r="A123" t="s">
        <v>297</v>
      </c>
      <c r="B123" t="s">
        <v>298</v>
      </c>
      <c r="C123">
        <v>40</v>
      </c>
      <c r="D123" t="s">
        <v>25</v>
      </c>
      <c r="E123" t="s">
        <v>17</v>
      </c>
      <c r="F123" t="s">
        <v>27</v>
      </c>
      <c r="G123" t="s">
        <v>32</v>
      </c>
      <c r="H123" t="s">
        <v>1060</v>
      </c>
      <c r="I123">
        <v>89000</v>
      </c>
      <c r="J123">
        <v>12</v>
      </c>
      <c r="K123">
        <v>1068000</v>
      </c>
      <c r="L123">
        <v>11</v>
      </c>
      <c r="M123">
        <v>1</v>
      </c>
      <c r="N123" t="s">
        <v>1077</v>
      </c>
      <c r="O123">
        <v>80</v>
      </c>
      <c r="P123">
        <v>5</v>
      </c>
      <c r="Q123">
        <v>3</v>
      </c>
      <c r="S123" t="s">
        <v>19</v>
      </c>
      <c r="T123">
        <v>20</v>
      </c>
      <c r="U123">
        <v>7000</v>
      </c>
      <c r="V123" t="s">
        <v>39</v>
      </c>
      <c r="W123" t="s">
        <v>1077</v>
      </c>
      <c r="X123" t="s">
        <v>20</v>
      </c>
      <c r="Y123">
        <v>12</v>
      </c>
    </row>
    <row r="124" spans="1:25">
      <c r="A124" t="s">
        <v>299</v>
      </c>
      <c r="B124" t="s">
        <v>300</v>
      </c>
      <c r="C124">
        <v>25</v>
      </c>
      <c r="D124" t="s">
        <v>46</v>
      </c>
      <c r="E124" t="s">
        <v>64</v>
      </c>
      <c r="F124" t="s">
        <v>66</v>
      </c>
      <c r="G124" t="s">
        <v>51</v>
      </c>
      <c r="H124" t="s">
        <v>1060</v>
      </c>
      <c r="I124">
        <v>35000</v>
      </c>
      <c r="J124">
        <v>12</v>
      </c>
      <c r="K124">
        <v>420000</v>
      </c>
      <c r="L124">
        <v>3</v>
      </c>
      <c r="M124">
        <v>2</v>
      </c>
      <c r="N124" t="s">
        <v>1077</v>
      </c>
      <c r="O124">
        <v>85</v>
      </c>
      <c r="P124">
        <v>23</v>
      </c>
      <c r="Q124">
        <v>1</v>
      </c>
      <c r="S124" t="s">
        <v>38</v>
      </c>
      <c r="T124">
        <v>20</v>
      </c>
      <c r="U124">
        <v>6000</v>
      </c>
      <c r="V124" t="s">
        <v>39</v>
      </c>
      <c r="W124" t="s">
        <v>1077</v>
      </c>
      <c r="X124" t="s">
        <v>33</v>
      </c>
      <c r="Y124">
        <v>20</v>
      </c>
    </row>
    <row r="125" spans="1:25">
      <c r="A125" t="s">
        <v>301</v>
      </c>
      <c r="B125" t="s">
        <v>302</v>
      </c>
      <c r="C125">
        <v>25</v>
      </c>
      <c r="D125" t="s">
        <v>46</v>
      </c>
      <c r="E125" t="s">
        <v>64</v>
      </c>
      <c r="F125" t="s">
        <v>42</v>
      </c>
      <c r="G125" t="s">
        <v>51</v>
      </c>
      <c r="H125" t="s">
        <v>1060</v>
      </c>
      <c r="I125">
        <v>48000</v>
      </c>
      <c r="J125">
        <v>12</v>
      </c>
      <c r="K125">
        <v>576000</v>
      </c>
      <c r="L125">
        <v>4</v>
      </c>
      <c r="M125">
        <v>2</v>
      </c>
      <c r="N125" t="s">
        <v>1077</v>
      </c>
      <c r="O125">
        <v>90</v>
      </c>
      <c r="P125">
        <v>15</v>
      </c>
      <c r="Q125">
        <v>2</v>
      </c>
      <c r="R125" t="s">
        <v>21</v>
      </c>
      <c r="S125" t="s">
        <v>19</v>
      </c>
      <c r="T125">
        <v>10</v>
      </c>
      <c r="U125">
        <v>3000</v>
      </c>
      <c r="V125" t="s">
        <v>39</v>
      </c>
      <c r="W125" t="s">
        <v>1077</v>
      </c>
      <c r="X125" t="s">
        <v>20</v>
      </c>
      <c r="Y125">
        <v>14</v>
      </c>
    </row>
    <row r="126" spans="1:25">
      <c r="A126" t="s">
        <v>303</v>
      </c>
      <c r="B126" t="s">
        <v>304</v>
      </c>
      <c r="C126">
        <v>39</v>
      </c>
      <c r="D126" t="s">
        <v>1077</v>
      </c>
      <c r="E126" t="s">
        <v>57</v>
      </c>
      <c r="F126" t="s">
        <v>42</v>
      </c>
      <c r="G126" t="s">
        <v>1049</v>
      </c>
      <c r="H126" t="s">
        <v>1060</v>
      </c>
      <c r="I126">
        <v>123000</v>
      </c>
      <c r="J126">
        <v>12</v>
      </c>
      <c r="K126">
        <v>1476000</v>
      </c>
      <c r="L126">
        <v>13</v>
      </c>
      <c r="M126">
        <v>1</v>
      </c>
      <c r="N126" t="s">
        <v>1077</v>
      </c>
      <c r="O126">
        <v>85</v>
      </c>
      <c r="P126">
        <v>31</v>
      </c>
      <c r="Q126">
        <v>5</v>
      </c>
      <c r="R126" t="s">
        <v>21</v>
      </c>
      <c r="S126" t="s">
        <v>38</v>
      </c>
      <c r="U126" t="s">
        <v>1077</v>
      </c>
      <c r="V126" t="s">
        <v>39</v>
      </c>
      <c r="W126" t="s">
        <v>1077</v>
      </c>
      <c r="X126" t="s">
        <v>20</v>
      </c>
      <c r="Y126">
        <v>14</v>
      </c>
    </row>
    <row r="127" spans="1:25">
      <c r="A127" t="s">
        <v>305</v>
      </c>
      <c r="B127" t="s">
        <v>306</v>
      </c>
      <c r="C127">
        <v>26</v>
      </c>
      <c r="D127" t="s">
        <v>46</v>
      </c>
      <c r="E127" t="s">
        <v>65</v>
      </c>
      <c r="F127" t="s">
        <v>42</v>
      </c>
      <c r="G127" t="s">
        <v>51</v>
      </c>
      <c r="H127" t="s">
        <v>1060</v>
      </c>
      <c r="I127">
        <v>48000</v>
      </c>
      <c r="J127">
        <v>12</v>
      </c>
      <c r="K127">
        <v>576000</v>
      </c>
      <c r="L127">
        <v>4</v>
      </c>
      <c r="M127">
        <v>1</v>
      </c>
      <c r="N127" t="s">
        <v>1077</v>
      </c>
      <c r="O127">
        <v>95</v>
      </c>
      <c r="P127">
        <v>10</v>
      </c>
      <c r="Q127">
        <v>1</v>
      </c>
      <c r="R127" t="s">
        <v>37</v>
      </c>
      <c r="S127" t="s">
        <v>19</v>
      </c>
      <c r="T127">
        <v>5</v>
      </c>
      <c r="U127">
        <v>1500</v>
      </c>
      <c r="V127" t="s">
        <v>39</v>
      </c>
      <c r="W127" t="s">
        <v>1077</v>
      </c>
      <c r="X127" t="s">
        <v>20</v>
      </c>
      <c r="Y127">
        <v>14</v>
      </c>
    </row>
    <row r="128" spans="1:25">
      <c r="A128" t="s">
        <v>307</v>
      </c>
      <c r="B128" t="s">
        <v>308</v>
      </c>
      <c r="C128">
        <v>27</v>
      </c>
      <c r="D128" t="s">
        <v>25</v>
      </c>
      <c r="E128" t="s">
        <v>65</v>
      </c>
      <c r="F128" t="s">
        <v>42</v>
      </c>
      <c r="G128" t="s">
        <v>51</v>
      </c>
      <c r="H128" t="s">
        <v>1059</v>
      </c>
      <c r="I128">
        <v>49500</v>
      </c>
      <c r="J128">
        <v>12</v>
      </c>
      <c r="K128">
        <v>594000</v>
      </c>
      <c r="L128">
        <v>4</v>
      </c>
      <c r="M128">
        <v>5</v>
      </c>
      <c r="N128">
        <v>14850</v>
      </c>
      <c r="O128">
        <v>80</v>
      </c>
      <c r="P128">
        <v>23</v>
      </c>
      <c r="Q128">
        <v>1</v>
      </c>
      <c r="S128" t="s">
        <v>28</v>
      </c>
      <c r="T128">
        <v>20</v>
      </c>
      <c r="U128">
        <v>6000</v>
      </c>
      <c r="V128" t="s">
        <v>58</v>
      </c>
      <c r="W128" t="s">
        <v>1077</v>
      </c>
      <c r="X128" t="s">
        <v>20</v>
      </c>
      <c r="Y128">
        <v>14</v>
      </c>
    </row>
    <row r="129" spans="1:25">
      <c r="A129" t="s">
        <v>309</v>
      </c>
      <c r="B129" t="s">
        <v>310</v>
      </c>
      <c r="C129">
        <v>27</v>
      </c>
      <c r="D129" t="s">
        <v>1077</v>
      </c>
      <c r="E129" t="s">
        <v>65</v>
      </c>
      <c r="F129" t="s">
        <v>27</v>
      </c>
      <c r="G129" t="s">
        <v>51</v>
      </c>
      <c r="H129" t="s">
        <v>1060</v>
      </c>
      <c r="I129">
        <v>48000</v>
      </c>
      <c r="J129">
        <v>12</v>
      </c>
      <c r="K129">
        <v>576000</v>
      </c>
      <c r="L129">
        <v>4</v>
      </c>
      <c r="M129">
        <v>1</v>
      </c>
      <c r="N129" t="s">
        <v>1077</v>
      </c>
      <c r="O129">
        <v>85</v>
      </c>
      <c r="P129">
        <v>15</v>
      </c>
      <c r="Q129">
        <v>5</v>
      </c>
      <c r="S129" t="s">
        <v>19</v>
      </c>
      <c r="U129">
        <v>0</v>
      </c>
      <c r="V129" t="s">
        <v>39</v>
      </c>
      <c r="W129" t="s">
        <v>1077</v>
      </c>
      <c r="X129" t="s">
        <v>20</v>
      </c>
      <c r="Y129">
        <v>12</v>
      </c>
    </row>
    <row r="130" spans="1:25">
      <c r="A130" t="s">
        <v>311</v>
      </c>
      <c r="B130" t="s">
        <v>312</v>
      </c>
      <c r="C130">
        <v>25</v>
      </c>
      <c r="D130" t="s">
        <v>25</v>
      </c>
      <c r="E130" t="s">
        <v>73</v>
      </c>
      <c r="F130" t="s">
        <v>42</v>
      </c>
      <c r="G130" t="s">
        <v>51</v>
      </c>
      <c r="H130" t="s">
        <v>1060</v>
      </c>
      <c r="I130">
        <v>35000</v>
      </c>
      <c r="J130">
        <v>12</v>
      </c>
      <c r="K130">
        <v>420000</v>
      </c>
      <c r="L130">
        <v>3</v>
      </c>
      <c r="M130">
        <v>5</v>
      </c>
      <c r="N130">
        <v>10500</v>
      </c>
      <c r="O130">
        <v>85</v>
      </c>
      <c r="P130">
        <v>5</v>
      </c>
      <c r="Q130">
        <v>4</v>
      </c>
      <c r="R130" t="s">
        <v>21</v>
      </c>
      <c r="S130" t="s">
        <v>38</v>
      </c>
      <c r="T130">
        <v>10</v>
      </c>
      <c r="U130">
        <v>3000</v>
      </c>
      <c r="V130" t="s">
        <v>58</v>
      </c>
      <c r="W130" t="s">
        <v>1077</v>
      </c>
      <c r="X130" t="s">
        <v>20</v>
      </c>
      <c r="Y130">
        <v>14</v>
      </c>
    </row>
    <row r="131" spans="1:25">
      <c r="A131" t="s">
        <v>313</v>
      </c>
      <c r="B131" t="s">
        <v>314</v>
      </c>
      <c r="C131">
        <v>25</v>
      </c>
      <c r="D131" t="s">
        <v>46</v>
      </c>
      <c r="E131" t="s">
        <v>61</v>
      </c>
      <c r="F131" t="s">
        <v>42</v>
      </c>
      <c r="G131" t="s">
        <v>51</v>
      </c>
      <c r="H131" t="s">
        <v>1060</v>
      </c>
      <c r="I131">
        <v>37000</v>
      </c>
      <c r="J131">
        <v>12</v>
      </c>
      <c r="K131">
        <v>444000</v>
      </c>
      <c r="L131">
        <v>2</v>
      </c>
      <c r="M131">
        <v>1</v>
      </c>
      <c r="N131" t="s">
        <v>1077</v>
      </c>
      <c r="O131">
        <v>87</v>
      </c>
      <c r="P131">
        <v>5</v>
      </c>
      <c r="Q131">
        <v>12</v>
      </c>
      <c r="R131" t="s">
        <v>37</v>
      </c>
      <c r="S131" t="s">
        <v>38</v>
      </c>
      <c r="T131">
        <v>5</v>
      </c>
      <c r="U131">
        <v>1500</v>
      </c>
      <c r="V131" t="s">
        <v>39</v>
      </c>
      <c r="W131" t="s">
        <v>1077</v>
      </c>
      <c r="X131" t="s">
        <v>20</v>
      </c>
      <c r="Y131">
        <v>14</v>
      </c>
    </row>
    <row r="132" spans="1:25">
      <c r="A132" t="s">
        <v>315</v>
      </c>
      <c r="B132" t="s">
        <v>316</v>
      </c>
      <c r="C132">
        <v>25</v>
      </c>
      <c r="D132" t="s">
        <v>1077</v>
      </c>
      <c r="E132" t="s">
        <v>47</v>
      </c>
      <c r="F132" t="s">
        <v>42</v>
      </c>
      <c r="G132" t="s">
        <v>1045</v>
      </c>
      <c r="H132" t="s">
        <v>1060</v>
      </c>
      <c r="I132">
        <v>78000</v>
      </c>
      <c r="J132">
        <v>12</v>
      </c>
      <c r="K132">
        <v>936000</v>
      </c>
      <c r="L132">
        <v>7</v>
      </c>
      <c r="M132">
        <v>3</v>
      </c>
      <c r="N132">
        <v>23400</v>
      </c>
      <c r="O132">
        <v>90</v>
      </c>
      <c r="P132">
        <v>23</v>
      </c>
      <c r="Q132">
        <v>1</v>
      </c>
      <c r="R132" t="s">
        <v>37</v>
      </c>
      <c r="S132" t="s">
        <v>19</v>
      </c>
      <c r="T132">
        <v>20</v>
      </c>
      <c r="U132">
        <v>6000</v>
      </c>
      <c r="V132" t="s">
        <v>22</v>
      </c>
      <c r="W132" t="s">
        <v>1077</v>
      </c>
      <c r="X132" t="s">
        <v>20</v>
      </c>
      <c r="Y132">
        <v>14</v>
      </c>
    </row>
    <row r="133" spans="1:25">
      <c r="A133" t="s">
        <v>317</v>
      </c>
      <c r="B133" t="s">
        <v>318</v>
      </c>
      <c r="C133">
        <v>33</v>
      </c>
      <c r="D133" t="s">
        <v>46</v>
      </c>
      <c r="E133" t="s">
        <v>73</v>
      </c>
      <c r="F133" t="s">
        <v>36</v>
      </c>
      <c r="G133" t="s">
        <v>32</v>
      </c>
      <c r="H133" t="s">
        <v>1060</v>
      </c>
      <c r="I133">
        <v>90000</v>
      </c>
      <c r="J133">
        <v>12</v>
      </c>
      <c r="K133">
        <v>1080000</v>
      </c>
      <c r="L133">
        <v>9</v>
      </c>
      <c r="M133">
        <v>1</v>
      </c>
      <c r="N133" t="s">
        <v>1077</v>
      </c>
      <c r="O133">
        <v>90</v>
      </c>
      <c r="P133">
        <v>5</v>
      </c>
      <c r="Q133">
        <v>1</v>
      </c>
      <c r="S133" t="s">
        <v>19</v>
      </c>
      <c r="U133">
        <v>0</v>
      </c>
      <c r="V133" t="s">
        <v>39</v>
      </c>
      <c r="W133" t="s">
        <v>1077</v>
      </c>
      <c r="X133" t="s">
        <v>20</v>
      </c>
      <c r="Y133">
        <v>25</v>
      </c>
    </row>
    <row r="134" spans="1:25">
      <c r="A134" t="s">
        <v>319</v>
      </c>
      <c r="B134" t="s">
        <v>320</v>
      </c>
      <c r="C134">
        <v>26</v>
      </c>
      <c r="D134" t="s">
        <v>25</v>
      </c>
      <c r="E134" t="s">
        <v>73</v>
      </c>
      <c r="F134" t="s">
        <v>27</v>
      </c>
      <c r="G134" t="s">
        <v>51</v>
      </c>
      <c r="H134" t="s">
        <v>1060</v>
      </c>
      <c r="I134">
        <v>37000</v>
      </c>
      <c r="J134">
        <v>12</v>
      </c>
      <c r="K134">
        <v>444000</v>
      </c>
      <c r="L134">
        <v>2</v>
      </c>
      <c r="M134">
        <v>4</v>
      </c>
      <c r="N134">
        <v>11100</v>
      </c>
      <c r="O134">
        <v>90</v>
      </c>
      <c r="P134">
        <v>5</v>
      </c>
      <c r="Q134">
        <v>1</v>
      </c>
      <c r="R134" t="s">
        <v>21</v>
      </c>
      <c r="S134" t="s">
        <v>38</v>
      </c>
      <c r="U134">
        <v>0</v>
      </c>
      <c r="V134" t="s">
        <v>22</v>
      </c>
      <c r="W134" t="s">
        <v>1077</v>
      </c>
      <c r="X134" t="s">
        <v>20</v>
      </c>
      <c r="Y134">
        <v>12</v>
      </c>
    </row>
    <row r="135" spans="1:25">
      <c r="A135" t="s">
        <v>321</v>
      </c>
      <c r="B135" t="s">
        <v>322</v>
      </c>
      <c r="C135">
        <v>25</v>
      </c>
      <c r="D135" t="s">
        <v>25</v>
      </c>
      <c r="E135" t="s">
        <v>26</v>
      </c>
      <c r="F135" t="s">
        <v>66</v>
      </c>
      <c r="G135" t="s">
        <v>51</v>
      </c>
      <c r="H135" t="s">
        <v>1060</v>
      </c>
      <c r="I135">
        <v>31500</v>
      </c>
      <c r="J135">
        <v>12</v>
      </c>
      <c r="K135">
        <v>378000</v>
      </c>
      <c r="L135">
        <v>2</v>
      </c>
      <c r="M135">
        <v>2</v>
      </c>
      <c r="N135" t="s">
        <v>1077</v>
      </c>
      <c r="O135">
        <v>87</v>
      </c>
      <c r="P135">
        <v>15</v>
      </c>
      <c r="Q135">
        <v>1</v>
      </c>
      <c r="R135" t="s">
        <v>37</v>
      </c>
      <c r="S135" t="s">
        <v>38</v>
      </c>
      <c r="T135">
        <v>5</v>
      </c>
      <c r="U135">
        <v>1500</v>
      </c>
      <c r="V135" t="s">
        <v>39</v>
      </c>
      <c r="W135" t="s">
        <v>1077</v>
      </c>
      <c r="X135" t="s">
        <v>33</v>
      </c>
      <c r="Y135">
        <v>20</v>
      </c>
    </row>
    <row r="136" spans="1:25">
      <c r="A136" t="s">
        <v>323</v>
      </c>
      <c r="B136" t="s">
        <v>324</v>
      </c>
      <c r="C136">
        <v>40</v>
      </c>
      <c r="D136" t="s">
        <v>46</v>
      </c>
      <c r="E136" t="s">
        <v>64</v>
      </c>
      <c r="F136" t="s">
        <v>27</v>
      </c>
      <c r="G136" t="s">
        <v>32</v>
      </c>
      <c r="H136" t="s">
        <v>1060</v>
      </c>
      <c r="I136">
        <v>90000</v>
      </c>
      <c r="J136">
        <v>12</v>
      </c>
      <c r="K136">
        <v>1080000</v>
      </c>
      <c r="L136">
        <v>10</v>
      </c>
      <c r="M136">
        <v>2</v>
      </c>
      <c r="N136" t="s">
        <v>1077</v>
      </c>
      <c r="O136">
        <v>90</v>
      </c>
      <c r="P136">
        <v>10</v>
      </c>
      <c r="Q136">
        <v>5</v>
      </c>
      <c r="S136" t="s">
        <v>19</v>
      </c>
      <c r="T136">
        <v>5</v>
      </c>
      <c r="U136">
        <v>1750</v>
      </c>
      <c r="V136" t="s">
        <v>39</v>
      </c>
      <c r="W136" t="s">
        <v>1077</v>
      </c>
      <c r="X136" t="s">
        <v>20</v>
      </c>
      <c r="Y136">
        <v>12</v>
      </c>
    </row>
    <row r="137" spans="1:25">
      <c r="A137" t="s">
        <v>325</v>
      </c>
      <c r="B137" t="s">
        <v>326</v>
      </c>
      <c r="C137">
        <v>25</v>
      </c>
      <c r="D137" t="s">
        <v>1077</v>
      </c>
      <c r="E137" t="s">
        <v>35</v>
      </c>
      <c r="F137" t="s">
        <v>42</v>
      </c>
      <c r="G137" t="s">
        <v>51</v>
      </c>
      <c r="H137" t="s">
        <v>1060</v>
      </c>
      <c r="I137">
        <v>35000</v>
      </c>
      <c r="J137">
        <v>12</v>
      </c>
      <c r="K137">
        <v>420000</v>
      </c>
      <c r="L137">
        <v>3</v>
      </c>
      <c r="M137">
        <v>3</v>
      </c>
      <c r="N137">
        <v>10500</v>
      </c>
      <c r="O137">
        <v>95</v>
      </c>
      <c r="P137">
        <v>22</v>
      </c>
      <c r="Q137">
        <v>10</v>
      </c>
      <c r="R137" t="s">
        <v>21</v>
      </c>
      <c r="S137" t="s">
        <v>19</v>
      </c>
      <c r="T137">
        <v>5</v>
      </c>
      <c r="U137">
        <v>1500</v>
      </c>
      <c r="V137" t="s">
        <v>22</v>
      </c>
      <c r="W137" t="s">
        <v>1077</v>
      </c>
      <c r="X137" t="s">
        <v>20</v>
      </c>
      <c r="Y137">
        <v>14</v>
      </c>
    </row>
    <row r="138" spans="1:25">
      <c r="A138" t="s">
        <v>327</v>
      </c>
      <c r="B138" t="s">
        <v>328</v>
      </c>
      <c r="C138">
        <v>40</v>
      </c>
      <c r="D138" t="s">
        <v>46</v>
      </c>
      <c r="E138" t="s">
        <v>64</v>
      </c>
      <c r="F138" t="s">
        <v>31</v>
      </c>
      <c r="G138" t="s">
        <v>1045</v>
      </c>
      <c r="H138" t="s">
        <v>1060</v>
      </c>
      <c r="I138">
        <v>78000</v>
      </c>
      <c r="J138">
        <v>12</v>
      </c>
      <c r="K138">
        <v>936000</v>
      </c>
      <c r="L138">
        <v>7</v>
      </c>
      <c r="M138">
        <v>4</v>
      </c>
      <c r="N138">
        <v>23400</v>
      </c>
      <c r="O138">
        <v>95</v>
      </c>
      <c r="P138">
        <v>15</v>
      </c>
      <c r="Q138">
        <v>1</v>
      </c>
      <c r="S138" t="s">
        <v>38</v>
      </c>
      <c r="T138">
        <v>5</v>
      </c>
      <c r="U138">
        <v>1500</v>
      </c>
      <c r="V138" t="s">
        <v>58</v>
      </c>
      <c r="W138" t="s">
        <v>1077</v>
      </c>
      <c r="X138" t="s">
        <v>33</v>
      </c>
      <c r="Y138">
        <v>13</v>
      </c>
    </row>
    <row r="139" spans="1:25">
      <c r="A139" t="s">
        <v>329</v>
      </c>
      <c r="B139" t="s">
        <v>330</v>
      </c>
      <c r="C139">
        <v>43</v>
      </c>
      <c r="D139" t="s">
        <v>46</v>
      </c>
      <c r="E139" t="s">
        <v>65</v>
      </c>
      <c r="F139" t="s">
        <v>31</v>
      </c>
      <c r="G139" t="s">
        <v>1049</v>
      </c>
      <c r="H139" t="s">
        <v>1060</v>
      </c>
      <c r="I139">
        <v>124500</v>
      </c>
      <c r="J139">
        <v>12</v>
      </c>
      <c r="K139">
        <v>1494000</v>
      </c>
      <c r="L139">
        <v>12</v>
      </c>
      <c r="M139">
        <v>3</v>
      </c>
      <c r="N139">
        <v>37350</v>
      </c>
      <c r="O139">
        <v>80</v>
      </c>
      <c r="P139">
        <v>5</v>
      </c>
      <c r="Q139">
        <v>10</v>
      </c>
      <c r="S139" t="s">
        <v>38</v>
      </c>
      <c r="U139" t="s">
        <v>1077</v>
      </c>
      <c r="V139" t="s">
        <v>22</v>
      </c>
      <c r="W139" t="s">
        <v>1077</v>
      </c>
      <c r="X139" t="s">
        <v>33</v>
      </c>
      <c r="Y139">
        <v>13</v>
      </c>
    </row>
    <row r="140" spans="1:25">
      <c r="A140" t="s">
        <v>331</v>
      </c>
      <c r="B140" t="s">
        <v>332</v>
      </c>
      <c r="C140">
        <v>27</v>
      </c>
      <c r="D140" t="s">
        <v>1077</v>
      </c>
      <c r="E140" t="s">
        <v>64</v>
      </c>
      <c r="F140" t="s">
        <v>27</v>
      </c>
      <c r="G140" t="s">
        <v>51</v>
      </c>
      <c r="H140" t="s">
        <v>1060</v>
      </c>
      <c r="I140">
        <v>48000</v>
      </c>
      <c r="J140">
        <v>12</v>
      </c>
      <c r="K140">
        <v>576000</v>
      </c>
      <c r="L140">
        <v>4</v>
      </c>
      <c r="M140">
        <v>3</v>
      </c>
      <c r="N140">
        <v>14400</v>
      </c>
      <c r="O140">
        <v>95</v>
      </c>
      <c r="P140">
        <v>5</v>
      </c>
      <c r="Q140">
        <v>12</v>
      </c>
      <c r="R140" t="s">
        <v>21</v>
      </c>
      <c r="S140" t="s">
        <v>19</v>
      </c>
      <c r="T140">
        <v>20</v>
      </c>
      <c r="U140">
        <v>6000</v>
      </c>
      <c r="V140" t="s">
        <v>22</v>
      </c>
      <c r="W140" t="s">
        <v>1077</v>
      </c>
      <c r="X140" t="s">
        <v>20</v>
      </c>
      <c r="Y140">
        <v>12</v>
      </c>
    </row>
    <row r="141" spans="1:25">
      <c r="A141" t="s">
        <v>333</v>
      </c>
      <c r="B141" t="s">
        <v>334</v>
      </c>
      <c r="C141">
        <v>27</v>
      </c>
      <c r="D141" t="s">
        <v>46</v>
      </c>
      <c r="E141" t="s">
        <v>64</v>
      </c>
      <c r="F141" t="s">
        <v>42</v>
      </c>
      <c r="G141" t="s">
        <v>51</v>
      </c>
      <c r="H141" t="s">
        <v>1060</v>
      </c>
      <c r="I141">
        <v>51000</v>
      </c>
      <c r="J141">
        <v>12</v>
      </c>
      <c r="K141">
        <v>612000</v>
      </c>
      <c r="L141">
        <v>4</v>
      </c>
      <c r="M141">
        <v>4</v>
      </c>
      <c r="N141">
        <v>15300</v>
      </c>
      <c r="O141">
        <v>95</v>
      </c>
      <c r="P141">
        <v>15</v>
      </c>
      <c r="Q141">
        <v>2</v>
      </c>
      <c r="R141" t="s">
        <v>37</v>
      </c>
      <c r="S141" t="s">
        <v>19</v>
      </c>
      <c r="T141">
        <v>10</v>
      </c>
      <c r="U141">
        <v>3000</v>
      </c>
      <c r="V141" t="s">
        <v>22</v>
      </c>
      <c r="W141" t="s">
        <v>1077</v>
      </c>
      <c r="X141" t="s">
        <v>20</v>
      </c>
      <c r="Y141">
        <v>14</v>
      </c>
    </row>
    <row r="142" spans="1:25">
      <c r="A142" t="s">
        <v>335</v>
      </c>
      <c r="B142" t="s">
        <v>336</v>
      </c>
      <c r="C142">
        <v>41</v>
      </c>
      <c r="D142" t="s">
        <v>25</v>
      </c>
      <c r="E142" t="s">
        <v>47</v>
      </c>
      <c r="F142" t="s">
        <v>36</v>
      </c>
      <c r="G142" t="s">
        <v>1050</v>
      </c>
      <c r="H142" t="s">
        <v>1060</v>
      </c>
      <c r="I142">
        <v>125000</v>
      </c>
      <c r="J142">
        <v>12</v>
      </c>
      <c r="K142">
        <v>1500000</v>
      </c>
      <c r="L142">
        <v>16</v>
      </c>
      <c r="M142">
        <v>4</v>
      </c>
      <c r="N142">
        <v>37500</v>
      </c>
      <c r="O142">
        <v>80</v>
      </c>
      <c r="P142">
        <v>23</v>
      </c>
      <c r="Q142">
        <v>5</v>
      </c>
      <c r="R142" t="s">
        <v>37</v>
      </c>
      <c r="S142" t="s">
        <v>19</v>
      </c>
      <c r="U142" t="s">
        <v>1077</v>
      </c>
      <c r="V142" t="s">
        <v>22</v>
      </c>
      <c r="W142" t="s">
        <v>1077</v>
      </c>
      <c r="X142" t="s">
        <v>20</v>
      </c>
      <c r="Y142">
        <v>25</v>
      </c>
    </row>
    <row r="143" spans="1:25">
      <c r="A143" t="s">
        <v>337</v>
      </c>
      <c r="B143" t="s">
        <v>338</v>
      </c>
      <c r="C143">
        <v>25</v>
      </c>
      <c r="D143" t="s">
        <v>46</v>
      </c>
      <c r="E143" t="s">
        <v>17</v>
      </c>
      <c r="F143" t="s">
        <v>66</v>
      </c>
      <c r="G143" t="s">
        <v>51</v>
      </c>
      <c r="H143" t="s">
        <v>1060</v>
      </c>
      <c r="I143">
        <v>48000</v>
      </c>
      <c r="J143">
        <v>12</v>
      </c>
      <c r="K143">
        <v>576000</v>
      </c>
      <c r="L143">
        <v>4</v>
      </c>
      <c r="M143">
        <v>3</v>
      </c>
      <c r="N143">
        <v>14400</v>
      </c>
      <c r="O143">
        <v>85</v>
      </c>
      <c r="P143">
        <v>22</v>
      </c>
      <c r="Q143">
        <v>5</v>
      </c>
      <c r="R143" t="s">
        <v>37</v>
      </c>
      <c r="S143" t="s">
        <v>38</v>
      </c>
      <c r="U143">
        <v>0</v>
      </c>
      <c r="V143" t="s">
        <v>22</v>
      </c>
      <c r="W143" t="s">
        <v>1077</v>
      </c>
      <c r="X143" t="s">
        <v>33</v>
      </c>
      <c r="Y143">
        <v>20</v>
      </c>
    </row>
    <row r="144" spans="1:25">
      <c r="A144" t="s">
        <v>339</v>
      </c>
      <c r="B144" t="s">
        <v>340</v>
      </c>
      <c r="C144">
        <v>32</v>
      </c>
      <c r="D144" t="s">
        <v>1077</v>
      </c>
      <c r="E144" t="s">
        <v>64</v>
      </c>
      <c r="F144" t="s">
        <v>42</v>
      </c>
      <c r="G144" t="s">
        <v>82</v>
      </c>
      <c r="H144" t="s">
        <v>1059</v>
      </c>
      <c r="I144">
        <v>88000</v>
      </c>
      <c r="J144">
        <v>12</v>
      </c>
      <c r="K144">
        <v>1056000</v>
      </c>
      <c r="L144">
        <v>8</v>
      </c>
      <c r="M144">
        <v>3</v>
      </c>
      <c r="N144">
        <v>26400</v>
      </c>
      <c r="O144">
        <v>87</v>
      </c>
      <c r="P144">
        <v>5</v>
      </c>
      <c r="Q144">
        <v>8</v>
      </c>
      <c r="R144" t="s">
        <v>37</v>
      </c>
      <c r="S144" t="s">
        <v>28</v>
      </c>
      <c r="U144">
        <v>0</v>
      </c>
      <c r="V144" t="s">
        <v>22</v>
      </c>
      <c r="W144" t="s">
        <v>1077</v>
      </c>
      <c r="X144" t="s">
        <v>20</v>
      </c>
      <c r="Y144">
        <v>14</v>
      </c>
    </row>
    <row r="145" spans="1:25">
      <c r="A145" t="s">
        <v>341</v>
      </c>
      <c r="B145" t="s">
        <v>342</v>
      </c>
      <c r="C145">
        <v>42</v>
      </c>
      <c r="D145" t="s">
        <v>25</v>
      </c>
      <c r="E145" t="s">
        <v>17</v>
      </c>
      <c r="F145" t="s">
        <v>66</v>
      </c>
      <c r="G145" t="s">
        <v>1050</v>
      </c>
      <c r="H145" t="s">
        <v>1060</v>
      </c>
      <c r="I145">
        <v>135000</v>
      </c>
      <c r="J145">
        <v>12</v>
      </c>
      <c r="K145">
        <v>1620000</v>
      </c>
      <c r="L145">
        <v>19</v>
      </c>
      <c r="M145">
        <v>1</v>
      </c>
      <c r="N145" t="s">
        <v>1077</v>
      </c>
      <c r="O145">
        <v>90</v>
      </c>
      <c r="P145">
        <v>5</v>
      </c>
      <c r="Q145">
        <v>5</v>
      </c>
      <c r="R145" t="s">
        <v>37</v>
      </c>
      <c r="S145" t="s">
        <v>38</v>
      </c>
      <c r="U145" t="s">
        <v>1077</v>
      </c>
      <c r="V145" t="s">
        <v>39</v>
      </c>
      <c r="W145" t="s">
        <v>1077</v>
      </c>
      <c r="X145" t="s">
        <v>33</v>
      </c>
      <c r="Y145">
        <v>20</v>
      </c>
    </row>
    <row r="146" spans="1:25">
      <c r="A146" t="s">
        <v>343</v>
      </c>
      <c r="B146" t="s">
        <v>344</v>
      </c>
      <c r="C146">
        <v>27</v>
      </c>
      <c r="D146" t="s">
        <v>46</v>
      </c>
      <c r="E146" t="s">
        <v>26</v>
      </c>
      <c r="F146" t="s">
        <v>66</v>
      </c>
      <c r="G146" t="s">
        <v>51</v>
      </c>
      <c r="H146" t="s">
        <v>1060</v>
      </c>
      <c r="I146">
        <v>40000</v>
      </c>
      <c r="J146">
        <v>12</v>
      </c>
      <c r="K146">
        <v>480000</v>
      </c>
      <c r="L146">
        <v>2</v>
      </c>
      <c r="M146">
        <v>4</v>
      </c>
      <c r="N146">
        <v>12000</v>
      </c>
      <c r="O146">
        <v>80</v>
      </c>
      <c r="P146">
        <v>5</v>
      </c>
      <c r="Q146">
        <v>7</v>
      </c>
      <c r="S146" t="s">
        <v>38</v>
      </c>
      <c r="T146">
        <v>10</v>
      </c>
      <c r="U146">
        <v>3000</v>
      </c>
      <c r="V146" t="s">
        <v>22</v>
      </c>
      <c r="W146" t="s">
        <v>1077</v>
      </c>
      <c r="X146" t="s">
        <v>33</v>
      </c>
      <c r="Y146">
        <v>20</v>
      </c>
    </row>
    <row r="147" spans="1:25">
      <c r="A147" t="s">
        <v>345</v>
      </c>
      <c r="B147" t="s">
        <v>346</v>
      </c>
      <c r="C147">
        <v>27</v>
      </c>
      <c r="D147" t="s">
        <v>46</v>
      </c>
      <c r="E147" t="s">
        <v>61</v>
      </c>
      <c r="F147" t="s">
        <v>66</v>
      </c>
      <c r="G147" t="s">
        <v>51</v>
      </c>
      <c r="H147" t="s">
        <v>1059</v>
      </c>
      <c r="I147">
        <v>36000</v>
      </c>
      <c r="J147">
        <v>12</v>
      </c>
      <c r="K147">
        <v>432000</v>
      </c>
      <c r="L147">
        <v>3</v>
      </c>
      <c r="M147">
        <v>4</v>
      </c>
      <c r="N147">
        <v>10800</v>
      </c>
      <c r="O147">
        <v>95</v>
      </c>
      <c r="P147">
        <v>23</v>
      </c>
      <c r="Q147">
        <v>2</v>
      </c>
      <c r="S147" t="s">
        <v>28</v>
      </c>
      <c r="T147">
        <v>10</v>
      </c>
      <c r="U147">
        <v>3000</v>
      </c>
      <c r="V147" t="s">
        <v>58</v>
      </c>
      <c r="W147" t="s">
        <v>1077</v>
      </c>
      <c r="X147" t="s">
        <v>33</v>
      </c>
      <c r="Y147">
        <v>20</v>
      </c>
    </row>
    <row r="148" spans="1:25">
      <c r="A148" t="s">
        <v>347</v>
      </c>
      <c r="B148" t="s">
        <v>348</v>
      </c>
      <c r="C148">
        <v>25</v>
      </c>
      <c r="D148" t="s">
        <v>1077</v>
      </c>
      <c r="E148" t="s">
        <v>50</v>
      </c>
      <c r="F148" t="s">
        <v>31</v>
      </c>
      <c r="G148" t="s">
        <v>51</v>
      </c>
      <c r="H148" t="s">
        <v>1060</v>
      </c>
      <c r="I148">
        <v>48000</v>
      </c>
      <c r="J148">
        <v>12</v>
      </c>
      <c r="K148">
        <v>576000</v>
      </c>
      <c r="L148">
        <v>4</v>
      </c>
      <c r="M148">
        <v>4</v>
      </c>
      <c r="N148">
        <v>14400</v>
      </c>
      <c r="O148">
        <v>95</v>
      </c>
      <c r="P148">
        <v>10</v>
      </c>
      <c r="Q148">
        <v>3</v>
      </c>
      <c r="R148" t="s">
        <v>37</v>
      </c>
      <c r="S148" t="s">
        <v>38</v>
      </c>
      <c r="U148">
        <v>0</v>
      </c>
      <c r="V148" t="s">
        <v>22</v>
      </c>
      <c r="W148" t="s">
        <v>1077</v>
      </c>
      <c r="X148" t="s">
        <v>33</v>
      </c>
      <c r="Y148">
        <v>13</v>
      </c>
    </row>
    <row r="149" spans="1:25">
      <c r="A149" t="s">
        <v>349</v>
      </c>
      <c r="B149" t="s">
        <v>350</v>
      </c>
      <c r="C149">
        <v>26</v>
      </c>
      <c r="D149" t="s">
        <v>46</v>
      </c>
      <c r="E149" t="s">
        <v>65</v>
      </c>
      <c r="F149" t="s">
        <v>42</v>
      </c>
      <c r="G149" t="s">
        <v>51</v>
      </c>
      <c r="H149" t="s">
        <v>1060</v>
      </c>
      <c r="I149">
        <v>37000</v>
      </c>
      <c r="J149">
        <v>12</v>
      </c>
      <c r="K149">
        <v>444000</v>
      </c>
      <c r="L149">
        <v>2</v>
      </c>
      <c r="M149">
        <v>2</v>
      </c>
      <c r="N149" t="s">
        <v>1077</v>
      </c>
      <c r="O149">
        <v>90</v>
      </c>
      <c r="P149">
        <v>5</v>
      </c>
      <c r="Q149">
        <v>1</v>
      </c>
      <c r="R149" t="s">
        <v>37</v>
      </c>
      <c r="S149" t="s">
        <v>38</v>
      </c>
      <c r="T149">
        <v>10</v>
      </c>
      <c r="U149">
        <v>3000</v>
      </c>
      <c r="V149" t="s">
        <v>39</v>
      </c>
      <c r="W149" t="s">
        <v>1077</v>
      </c>
      <c r="X149" t="s">
        <v>20</v>
      </c>
      <c r="Y149">
        <v>14</v>
      </c>
    </row>
    <row r="150" spans="1:25">
      <c r="A150" t="s">
        <v>351</v>
      </c>
      <c r="B150" t="s">
        <v>352</v>
      </c>
      <c r="C150">
        <v>25</v>
      </c>
      <c r="D150" t="s">
        <v>25</v>
      </c>
      <c r="E150" t="s">
        <v>26</v>
      </c>
      <c r="F150" t="s">
        <v>36</v>
      </c>
      <c r="G150" t="s">
        <v>51</v>
      </c>
      <c r="H150" t="s">
        <v>1060</v>
      </c>
      <c r="I150">
        <v>36000</v>
      </c>
      <c r="J150">
        <v>12</v>
      </c>
      <c r="K150">
        <v>432000</v>
      </c>
      <c r="L150">
        <v>3</v>
      </c>
      <c r="M150">
        <v>3</v>
      </c>
      <c r="N150">
        <v>10800</v>
      </c>
      <c r="O150">
        <v>90</v>
      </c>
      <c r="P150">
        <v>23</v>
      </c>
      <c r="Q150">
        <v>2</v>
      </c>
      <c r="S150" t="s">
        <v>38</v>
      </c>
      <c r="T150">
        <v>10</v>
      </c>
      <c r="U150">
        <v>3000</v>
      </c>
      <c r="V150" t="s">
        <v>22</v>
      </c>
      <c r="W150" t="s">
        <v>1077</v>
      </c>
      <c r="X150" t="s">
        <v>20</v>
      </c>
      <c r="Y150">
        <v>25</v>
      </c>
    </row>
    <row r="151" spans="1:25">
      <c r="A151" t="s">
        <v>353</v>
      </c>
      <c r="B151" t="s">
        <v>354</v>
      </c>
      <c r="C151">
        <v>26</v>
      </c>
      <c r="D151" t="s">
        <v>46</v>
      </c>
      <c r="E151" t="s">
        <v>26</v>
      </c>
      <c r="F151" t="s">
        <v>66</v>
      </c>
      <c r="G151" t="s">
        <v>51</v>
      </c>
      <c r="H151" t="s">
        <v>1060</v>
      </c>
      <c r="I151">
        <v>37000</v>
      </c>
      <c r="J151">
        <v>12</v>
      </c>
      <c r="K151">
        <v>444000</v>
      </c>
      <c r="L151">
        <v>2</v>
      </c>
      <c r="M151">
        <v>1</v>
      </c>
      <c r="N151" t="s">
        <v>1077</v>
      </c>
      <c r="O151">
        <v>80</v>
      </c>
      <c r="P151">
        <v>5</v>
      </c>
      <c r="Q151">
        <v>5</v>
      </c>
      <c r="S151" t="s">
        <v>19</v>
      </c>
      <c r="T151">
        <v>5</v>
      </c>
      <c r="U151">
        <v>1500</v>
      </c>
      <c r="V151" t="s">
        <v>39</v>
      </c>
      <c r="W151" t="s">
        <v>1077</v>
      </c>
      <c r="X151" t="s">
        <v>33</v>
      </c>
      <c r="Y151">
        <v>20</v>
      </c>
    </row>
    <row r="152" spans="1:25">
      <c r="A152" t="s">
        <v>355</v>
      </c>
      <c r="B152" t="s">
        <v>356</v>
      </c>
      <c r="C152">
        <v>26</v>
      </c>
      <c r="D152" t="s">
        <v>46</v>
      </c>
      <c r="E152" t="s">
        <v>17</v>
      </c>
      <c r="F152" t="s">
        <v>27</v>
      </c>
      <c r="G152" t="s">
        <v>51</v>
      </c>
      <c r="H152" t="s">
        <v>1060</v>
      </c>
      <c r="I152">
        <v>36000</v>
      </c>
      <c r="J152">
        <v>12</v>
      </c>
      <c r="K152">
        <v>432000</v>
      </c>
      <c r="L152">
        <v>3</v>
      </c>
      <c r="M152">
        <v>3</v>
      </c>
      <c r="N152">
        <v>10800</v>
      </c>
      <c r="O152">
        <v>80</v>
      </c>
      <c r="P152">
        <v>23</v>
      </c>
      <c r="Q152">
        <v>7</v>
      </c>
      <c r="R152" t="s">
        <v>37</v>
      </c>
      <c r="S152" t="s">
        <v>38</v>
      </c>
      <c r="T152">
        <v>10</v>
      </c>
      <c r="U152">
        <v>3000</v>
      </c>
      <c r="V152" t="s">
        <v>22</v>
      </c>
      <c r="W152" t="s">
        <v>1077</v>
      </c>
      <c r="X152" t="s">
        <v>20</v>
      </c>
      <c r="Y152">
        <v>12</v>
      </c>
    </row>
    <row r="153" spans="1:25">
      <c r="A153" t="s">
        <v>357</v>
      </c>
      <c r="B153" t="s">
        <v>358</v>
      </c>
      <c r="C153">
        <v>25</v>
      </c>
      <c r="D153" t="s">
        <v>25</v>
      </c>
      <c r="E153" t="s">
        <v>64</v>
      </c>
      <c r="F153" t="s">
        <v>18</v>
      </c>
      <c r="G153" t="s">
        <v>51</v>
      </c>
      <c r="H153" t="s">
        <v>1060</v>
      </c>
      <c r="I153">
        <v>36000</v>
      </c>
      <c r="J153">
        <v>12</v>
      </c>
      <c r="K153">
        <v>432000</v>
      </c>
      <c r="L153">
        <v>3</v>
      </c>
      <c r="M153">
        <v>5</v>
      </c>
      <c r="N153">
        <v>10800</v>
      </c>
      <c r="O153">
        <v>95</v>
      </c>
      <c r="P153">
        <v>23</v>
      </c>
      <c r="Q153">
        <v>2</v>
      </c>
      <c r="R153" t="s">
        <v>37</v>
      </c>
      <c r="S153" t="s">
        <v>19</v>
      </c>
      <c r="T153">
        <v>20</v>
      </c>
      <c r="U153">
        <v>6000</v>
      </c>
      <c r="V153" t="s">
        <v>58</v>
      </c>
      <c r="W153" t="s">
        <v>1077</v>
      </c>
      <c r="X153" t="s">
        <v>20</v>
      </c>
      <c r="Y153">
        <v>10</v>
      </c>
    </row>
    <row r="154" spans="1:25">
      <c r="A154" t="s">
        <v>360</v>
      </c>
      <c r="B154" t="s">
        <v>361</v>
      </c>
      <c r="C154">
        <v>20</v>
      </c>
      <c r="D154" t="s">
        <v>1077</v>
      </c>
      <c r="E154" t="s">
        <v>65</v>
      </c>
      <c r="F154" t="s">
        <v>36</v>
      </c>
      <c r="G154" t="s">
        <v>1047</v>
      </c>
      <c r="H154" t="s">
        <v>1059</v>
      </c>
      <c r="I154">
        <v>12000</v>
      </c>
      <c r="J154">
        <v>12</v>
      </c>
      <c r="K154">
        <v>144000</v>
      </c>
      <c r="L154">
        <v>0</v>
      </c>
      <c r="M154">
        <v>1</v>
      </c>
      <c r="N154" t="s">
        <v>1077</v>
      </c>
      <c r="O154">
        <v>85</v>
      </c>
      <c r="P154">
        <v>5</v>
      </c>
      <c r="Q154">
        <v>3</v>
      </c>
      <c r="R154" t="s">
        <v>21</v>
      </c>
      <c r="S154" t="s">
        <v>28</v>
      </c>
      <c r="U154">
        <v>0</v>
      </c>
      <c r="V154" t="s">
        <v>39</v>
      </c>
      <c r="W154" t="s">
        <v>1077</v>
      </c>
      <c r="X154" t="s">
        <v>20</v>
      </c>
      <c r="Y154">
        <v>25</v>
      </c>
    </row>
    <row r="155" spans="1:25">
      <c r="A155" t="s">
        <v>362</v>
      </c>
      <c r="B155" t="s">
        <v>363</v>
      </c>
      <c r="C155">
        <v>21</v>
      </c>
      <c r="D155" t="s">
        <v>46</v>
      </c>
      <c r="E155" t="s">
        <v>64</v>
      </c>
      <c r="F155" t="s">
        <v>42</v>
      </c>
      <c r="G155" t="s">
        <v>1047</v>
      </c>
      <c r="H155" t="s">
        <v>1060</v>
      </c>
      <c r="I155">
        <v>7000</v>
      </c>
      <c r="J155">
        <v>12</v>
      </c>
      <c r="K155">
        <v>84000</v>
      </c>
      <c r="L155">
        <v>1</v>
      </c>
      <c r="M155">
        <v>2</v>
      </c>
      <c r="N155" t="s">
        <v>1077</v>
      </c>
      <c r="O155">
        <v>95</v>
      </c>
      <c r="P155">
        <v>10</v>
      </c>
      <c r="Q155">
        <v>12</v>
      </c>
      <c r="R155" t="s">
        <v>21</v>
      </c>
      <c r="S155" t="s">
        <v>38</v>
      </c>
      <c r="T155">
        <v>5</v>
      </c>
      <c r="U155">
        <v>1250</v>
      </c>
      <c r="V155" t="s">
        <v>39</v>
      </c>
      <c r="W155" t="s">
        <v>1077</v>
      </c>
      <c r="X155" t="s">
        <v>20</v>
      </c>
      <c r="Y155">
        <v>14</v>
      </c>
    </row>
    <row r="156" spans="1:25">
      <c r="A156" t="s">
        <v>364</v>
      </c>
      <c r="B156" t="s">
        <v>365</v>
      </c>
      <c r="C156">
        <v>20</v>
      </c>
      <c r="D156" t="s">
        <v>1077</v>
      </c>
      <c r="E156" t="s">
        <v>35</v>
      </c>
      <c r="F156" t="s">
        <v>27</v>
      </c>
      <c r="G156" t="s">
        <v>1047</v>
      </c>
      <c r="H156" t="s">
        <v>1060</v>
      </c>
      <c r="I156">
        <v>9000</v>
      </c>
      <c r="J156">
        <v>12</v>
      </c>
      <c r="K156">
        <v>108000</v>
      </c>
      <c r="L156">
        <v>0</v>
      </c>
      <c r="M156">
        <v>2</v>
      </c>
      <c r="N156" t="s">
        <v>1077</v>
      </c>
      <c r="O156">
        <v>95</v>
      </c>
      <c r="P156">
        <v>10</v>
      </c>
      <c r="Q156">
        <v>9</v>
      </c>
      <c r="R156" t="s">
        <v>21</v>
      </c>
      <c r="S156" t="s">
        <v>38</v>
      </c>
      <c r="T156">
        <v>10</v>
      </c>
      <c r="U156">
        <v>2500</v>
      </c>
      <c r="V156" t="s">
        <v>39</v>
      </c>
      <c r="W156" t="s">
        <v>1077</v>
      </c>
      <c r="X156" t="s">
        <v>20</v>
      </c>
      <c r="Y156">
        <v>12</v>
      </c>
    </row>
    <row r="157" spans="1:25">
      <c r="A157" t="s">
        <v>366</v>
      </c>
      <c r="B157" t="s">
        <v>367</v>
      </c>
      <c r="C157">
        <v>21</v>
      </c>
      <c r="D157" t="s">
        <v>25</v>
      </c>
      <c r="E157" t="s">
        <v>57</v>
      </c>
      <c r="F157" t="s">
        <v>27</v>
      </c>
      <c r="G157" t="s">
        <v>1047</v>
      </c>
      <c r="H157" t="s">
        <v>1060</v>
      </c>
      <c r="I157">
        <v>6000</v>
      </c>
      <c r="J157">
        <v>12</v>
      </c>
      <c r="K157">
        <v>72000</v>
      </c>
      <c r="L157">
        <v>1</v>
      </c>
      <c r="M157">
        <v>2</v>
      </c>
      <c r="N157" t="s">
        <v>1077</v>
      </c>
      <c r="O157">
        <v>90</v>
      </c>
      <c r="P157">
        <v>10</v>
      </c>
      <c r="Q157">
        <v>5</v>
      </c>
      <c r="R157" t="s">
        <v>21</v>
      </c>
      <c r="S157" t="s">
        <v>38</v>
      </c>
      <c r="T157">
        <v>10</v>
      </c>
      <c r="U157">
        <v>2500</v>
      </c>
      <c r="V157" t="s">
        <v>39</v>
      </c>
      <c r="W157" t="s">
        <v>1077</v>
      </c>
      <c r="X157" t="s">
        <v>20</v>
      </c>
      <c r="Y157">
        <v>12</v>
      </c>
    </row>
    <row r="158" spans="1:25">
      <c r="A158" t="s">
        <v>368</v>
      </c>
      <c r="B158" t="s">
        <v>369</v>
      </c>
      <c r="C158">
        <v>26</v>
      </c>
      <c r="D158" t="s">
        <v>46</v>
      </c>
      <c r="E158" t="s">
        <v>47</v>
      </c>
      <c r="F158" t="s">
        <v>31</v>
      </c>
      <c r="G158" t="s">
        <v>1045</v>
      </c>
      <c r="H158" t="s">
        <v>1060</v>
      </c>
      <c r="I158">
        <v>74000</v>
      </c>
      <c r="J158">
        <v>12</v>
      </c>
      <c r="K158">
        <v>888000</v>
      </c>
      <c r="L158">
        <v>5</v>
      </c>
      <c r="M158">
        <v>2</v>
      </c>
      <c r="N158" t="s">
        <v>1077</v>
      </c>
      <c r="O158">
        <v>87</v>
      </c>
      <c r="P158">
        <v>23</v>
      </c>
      <c r="Q158">
        <v>3</v>
      </c>
      <c r="R158" t="s">
        <v>37</v>
      </c>
      <c r="S158" t="s">
        <v>38</v>
      </c>
      <c r="T158">
        <v>10</v>
      </c>
      <c r="U158">
        <v>3000</v>
      </c>
      <c r="V158" t="s">
        <v>39</v>
      </c>
      <c r="W158" t="s">
        <v>1077</v>
      </c>
      <c r="X158" t="s">
        <v>33</v>
      </c>
      <c r="Y158">
        <v>13</v>
      </c>
    </row>
    <row r="159" spans="1:25">
      <c r="A159" t="s">
        <v>370</v>
      </c>
      <c r="B159" t="s">
        <v>371</v>
      </c>
      <c r="C159">
        <v>20</v>
      </c>
      <c r="D159" t="s">
        <v>25</v>
      </c>
      <c r="E159" t="s">
        <v>35</v>
      </c>
      <c r="F159" t="s">
        <v>27</v>
      </c>
      <c r="G159" t="s">
        <v>1047</v>
      </c>
      <c r="H159" t="s">
        <v>1060</v>
      </c>
      <c r="I159">
        <v>9000</v>
      </c>
      <c r="J159">
        <v>12</v>
      </c>
      <c r="K159">
        <v>108000</v>
      </c>
      <c r="L159">
        <v>0</v>
      </c>
      <c r="M159">
        <v>2</v>
      </c>
      <c r="N159" t="s">
        <v>1077</v>
      </c>
      <c r="O159">
        <v>80</v>
      </c>
      <c r="P159">
        <v>5</v>
      </c>
      <c r="Q159">
        <v>7</v>
      </c>
      <c r="R159" t="s">
        <v>21</v>
      </c>
      <c r="S159" t="s">
        <v>19</v>
      </c>
      <c r="T159">
        <v>5</v>
      </c>
      <c r="U159">
        <v>1250</v>
      </c>
      <c r="V159" t="s">
        <v>39</v>
      </c>
      <c r="W159" t="s">
        <v>1077</v>
      </c>
      <c r="X159" t="s">
        <v>20</v>
      </c>
      <c r="Y159">
        <v>12</v>
      </c>
    </row>
    <row r="160" spans="1:25">
      <c r="A160" t="s">
        <v>372</v>
      </c>
      <c r="B160" t="s">
        <v>373</v>
      </c>
      <c r="C160">
        <v>19</v>
      </c>
      <c r="D160" t="s">
        <v>25</v>
      </c>
      <c r="E160" t="s">
        <v>35</v>
      </c>
      <c r="F160" t="s">
        <v>42</v>
      </c>
      <c r="G160" t="s">
        <v>1047</v>
      </c>
      <c r="H160" t="s">
        <v>1060</v>
      </c>
      <c r="I160">
        <v>9000</v>
      </c>
      <c r="J160">
        <v>12</v>
      </c>
      <c r="K160">
        <v>108000</v>
      </c>
      <c r="L160">
        <v>1</v>
      </c>
      <c r="M160">
        <v>4</v>
      </c>
      <c r="N160">
        <v>2700</v>
      </c>
      <c r="O160">
        <v>90</v>
      </c>
      <c r="P160">
        <v>23</v>
      </c>
      <c r="Q160">
        <v>3</v>
      </c>
      <c r="R160" t="s">
        <v>21</v>
      </c>
      <c r="S160" t="s">
        <v>19</v>
      </c>
      <c r="T160">
        <v>25</v>
      </c>
      <c r="U160">
        <v>6250</v>
      </c>
      <c r="V160" t="s">
        <v>22</v>
      </c>
      <c r="W160" t="s">
        <v>1077</v>
      </c>
      <c r="X160" t="s">
        <v>20</v>
      </c>
      <c r="Y160">
        <v>14</v>
      </c>
    </row>
    <row r="161" spans="1:25">
      <c r="A161" t="s">
        <v>374</v>
      </c>
      <c r="B161" t="s">
        <v>375</v>
      </c>
      <c r="C161">
        <v>21</v>
      </c>
      <c r="D161" t="s">
        <v>25</v>
      </c>
      <c r="E161" t="s">
        <v>50</v>
      </c>
      <c r="F161" t="s">
        <v>66</v>
      </c>
      <c r="G161" t="s">
        <v>1047</v>
      </c>
      <c r="H161" t="s">
        <v>1060</v>
      </c>
      <c r="I161">
        <v>9000</v>
      </c>
      <c r="J161">
        <v>12</v>
      </c>
      <c r="K161">
        <v>108000</v>
      </c>
      <c r="L161">
        <v>0</v>
      </c>
      <c r="M161">
        <v>3</v>
      </c>
      <c r="N161">
        <v>2700</v>
      </c>
      <c r="O161">
        <v>87</v>
      </c>
      <c r="P161">
        <v>10</v>
      </c>
      <c r="Q161">
        <v>5</v>
      </c>
      <c r="R161" t="s">
        <v>21</v>
      </c>
      <c r="S161" t="s">
        <v>19</v>
      </c>
      <c r="U161">
        <v>0</v>
      </c>
      <c r="V161" t="s">
        <v>22</v>
      </c>
      <c r="W161" t="s">
        <v>1077</v>
      </c>
      <c r="X161" t="s">
        <v>33</v>
      </c>
      <c r="Y161">
        <v>20</v>
      </c>
    </row>
    <row r="162" spans="1:25">
      <c r="A162" t="s">
        <v>376</v>
      </c>
      <c r="B162" t="s">
        <v>377</v>
      </c>
      <c r="C162">
        <v>21</v>
      </c>
      <c r="D162" t="s">
        <v>46</v>
      </c>
      <c r="E162" t="s">
        <v>57</v>
      </c>
      <c r="F162" t="s">
        <v>42</v>
      </c>
      <c r="G162" t="s">
        <v>1046</v>
      </c>
      <c r="H162" t="s">
        <v>1060</v>
      </c>
      <c r="I162">
        <v>20000</v>
      </c>
      <c r="J162">
        <v>12</v>
      </c>
      <c r="K162">
        <v>240000</v>
      </c>
      <c r="L162">
        <v>0</v>
      </c>
      <c r="M162">
        <v>2</v>
      </c>
      <c r="N162" t="s">
        <v>1077</v>
      </c>
      <c r="O162">
        <v>80</v>
      </c>
      <c r="P162">
        <v>12</v>
      </c>
      <c r="Q162">
        <v>2</v>
      </c>
      <c r="R162" t="s">
        <v>37</v>
      </c>
      <c r="S162" t="s">
        <v>38</v>
      </c>
      <c r="T162">
        <v>10</v>
      </c>
      <c r="U162">
        <v>2500</v>
      </c>
      <c r="V162" t="s">
        <v>39</v>
      </c>
      <c r="W162" t="s">
        <v>1077</v>
      </c>
      <c r="X162" t="s">
        <v>20</v>
      </c>
      <c r="Y162">
        <v>14</v>
      </c>
    </row>
    <row r="163" spans="1:25">
      <c r="A163" t="s">
        <v>378</v>
      </c>
      <c r="B163" t="s">
        <v>379</v>
      </c>
      <c r="C163">
        <v>23</v>
      </c>
      <c r="D163" t="s">
        <v>46</v>
      </c>
      <c r="E163" t="s">
        <v>61</v>
      </c>
      <c r="F163" t="s">
        <v>27</v>
      </c>
      <c r="G163" t="s">
        <v>1046</v>
      </c>
      <c r="H163" t="s">
        <v>1060</v>
      </c>
      <c r="I163">
        <v>29000</v>
      </c>
      <c r="J163">
        <v>12</v>
      </c>
      <c r="K163">
        <v>348000</v>
      </c>
      <c r="L163">
        <v>0</v>
      </c>
      <c r="M163">
        <v>4</v>
      </c>
      <c r="N163">
        <v>8700</v>
      </c>
      <c r="O163">
        <v>90</v>
      </c>
      <c r="P163">
        <v>12</v>
      </c>
      <c r="Q163">
        <v>5</v>
      </c>
      <c r="R163" t="s">
        <v>21</v>
      </c>
      <c r="S163" t="s">
        <v>38</v>
      </c>
      <c r="T163">
        <v>5</v>
      </c>
      <c r="U163">
        <v>1250</v>
      </c>
      <c r="V163" t="s">
        <v>22</v>
      </c>
      <c r="W163" t="s">
        <v>1077</v>
      </c>
      <c r="X163" t="s">
        <v>20</v>
      </c>
      <c r="Y163">
        <v>12</v>
      </c>
    </row>
    <row r="164" spans="1:25">
      <c r="A164" t="s">
        <v>380</v>
      </c>
      <c r="B164" t="s">
        <v>381</v>
      </c>
      <c r="C164">
        <v>20</v>
      </c>
      <c r="D164" t="s">
        <v>25</v>
      </c>
      <c r="E164" t="s">
        <v>65</v>
      </c>
      <c r="F164" t="s">
        <v>36</v>
      </c>
      <c r="G164" t="s">
        <v>1047</v>
      </c>
      <c r="H164" t="s">
        <v>1059</v>
      </c>
      <c r="I164">
        <v>9000</v>
      </c>
      <c r="J164">
        <v>12</v>
      </c>
      <c r="K164">
        <v>108000</v>
      </c>
      <c r="L164">
        <v>0</v>
      </c>
      <c r="M164">
        <v>1</v>
      </c>
      <c r="N164" t="s">
        <v>1077</v>
      </c>
      <c r="O164">
        <v>95</v>
      </c>
      <c r="P164">
        <v>12</v>
      </c>
      <c r="Q164">
        <v>3</v>
      </c>
      <c r="R164" t="s">
        <v>21</v>
      </c>
      <c r="S164" t="s">
        <v>28</v>
      </c>
      <c r="U164">
        <v>0</v>
      </c>
      <c r="V164" t="s">
        <v>39</v>
      </c>
      <c r="W164" t="s">
        <v>1077</v>
      </c>
      <c r="X164" t="s">
        <v>20</v>
      </c>
      <c r="Y164">
        <v>25</v>
      </c>
    </row>
    <row r="165" spans="1:25">
      <c r="A165" t="s">
        <v>382</v>
      </c>
      <c r="B165" t="s">
        <v>383</v>
      </c>
      <c r="C165">
        <v>21</v>
      </c>
      <c r="D165" t="s">
        <v>25</v>
      </c>
      <c r="E165" t="s">
        <v>47</v>
      </c>
      <c r="F165" t="s">
        <v>42</v>
      </c>
      <c r="G165" t="s">
        <v>1046</v>
      </c>
      <c r="H165" t="s">
        <v>1060</v>
      </c>
      <c r="I165">
        <v>24000</v>
      </c>
      <c r="J165">
        <v>12</v>
      </c>
      <c r="K165">
        <v>288000</v>
      </c>
      <c r="L165">
        <v>2</v>
      </c>
      <c r="M165">
        <v>5</v>
      </c>
      <c r="N165">
        <v>7200</v>
      </c>
      <c r="O165">
        <v>80</v>
      </c>
      <c r="P165">
        <v>5</v>
      </c>
      <c r="Q165">
        <v>1</v>
      </c>
      <c r="S165" t="s">
        <v>38</v>
      </c>
      <c r="U165">
        <v>0</v>
      </c>
      <c r="V165" t="s">
        <v>58</v>
      </c>
      <c r="W165" t="s">
        <v>1077</v>
      </c>
      <c r="X165" t="s">
        <v>20</v>
      </c>
      <c r="Y165">
        <v>14</v>
      </c>
    </row>
    <row r="166" spans="1:25">
      <c r="A166" t="s">
        <v>384</v>
      </c>
      <c r="B166" t="s">
        <v>385</v>
      </c>
      <c r="C166">
        <v>20</v>
      </c>
      <c r="D166" t="s">
        <v>25</v>
      </c>
      <c r="E166" t="s">
        <v>61</v>
      </c>
      <c r="F166" t="s">
        <v>36</v>
      </c>
      <c r="G166" t="s">
        <v>1047</v>
      </c>
      <c r="H166" t="s">
        <v>1060</v>
      </c>
      <c r="I166">
        <v>9000</v>
      </c>
      <c r="J166">
        <v>12</v>
      </c>
      <c r="K166">
        <v>108000</v>
      </c>
      <c r="L166">
        <v>1</v>
      </c>
      <c r="M166">
        <v>1</v>
      </c>
      <c r="N166" t="s">
        <v>1077</v>
      </c>
      <c r="O166">
        <v>85</v>
      </c>
      <c r="P166">
        <v>15</v>
      </c>
      <c r="Q166">
        <v>3</v>
      </c>
      <c r="R166" t="s">
        <v>21</v>
      </c>
      <c r="S166" t="s">
        <v>38</v>
      </c>
      <c r="T166">
        <v>10</v>
      </c>
      <c r="U166">
        <v>2500</v>
      </c>
      <c r="V166" t="s">
        <v>39</v>
      </c>
      <c r="W166" t="s">
        <v>1077</v>
      </c>
      <c r="X166" t="s">
        <v>20</v>
      </c>
      <c r="Y166">
        <v>25</v>
      </c>
    </row>
    <row r="167" spans="1:25">
      <c r="A167" t="s">
        <v>386</v>
      </c>
      <c r="B167" t="s">
        <v>387</v>
      </c>
      <c r="C167">
        <v>24</v>
      </c>
      <c r="D167" t="s">
        <v>46</v>
      </c>
      <c r="E167" t="s">
        <v>26</v>
      </c>
      <c r="F167" t="s">
        <v>42</v>
      </c>
      <c r="G167" t="s">
        <v>1048</v>
      </c>
      <c r="H167" t="s">
        <v>1060</v>
      </c>
      <c r="I167">
        <v>65600</v>
      </c>
      <c r="J167">
        <v>12</v>
      </c>
      <c r="K167">
        <v>787200</v>
      </c>
      <c r="L167">
        <v>5</v>
      </c>
      <c r="M167">
        <v>3</v>
      </c>
      <c r="N167">
        <v>19680</v>
      </c>
      <c r="O167">
        <v>80</v>
      </c>
      <c r="P167">
        <v>5</v>
      </c>
      <c r="Q167">
        <v>5</v>
      </c>
      <c r="R167" t="s">
        <v>37</v>
      </c>
      <c r="S167" t="s">
        <v>38</v>
      </c>
      <c r="T167">
        <v>10</v>
      </c>
      <c r="U167">
        <v>3000</v>
      </c>
      <c r="V167" t="s">
        <v>22</v>
      </c>
      <c r="W167" t="s">
        <v>1077</v>
      </c>
      <c r="X167" t="s">
        <v>20</v>
      </c>
      <c r="Y167">
        <v>14</v>
      </c>
    </row>
    <row r="168" spans="1:25">
      <c r="A168" t="s">
        <v>388</v>
      </c>
      <c r="B168" t="s">
        <v>389</v>
      </c>
      <c r="C168">
        <v>25</v>
      </c>
      <c r="D168" t="s">
        <v>25</v>
      </c>
      <c r="E168" t="s">
        <v>65</v>
      </c>
      <c r="F168" t="s">
        <v>18</v>
      </c>
      <c r="G168" t="s">
        <v>43</v>
      </c>
      <c r="H168" t="s">
        <v>1059</v>
      </c>
      <c r="I168">
        <v>24000</v>
      </c>
      <c r="J168">
        <v>12</v>
      </c>
      <c r="K168">
        <v>288000</v>
      </c>
      <c r="L168">
        <v>1</v>
      </c>
      <c r="M168">
        <v>1</v>
      </c>
      <c r="N168" t="s">
        <v>1077</v>
      </c>
      <c r="O168">
        <v>95</v>
      </c>
      <c r="P168">
        <v>15</v>
      </c>
      <c r="Q168">
        <v>3</v>
      </c>
      <c r="R168" t="s">
        <v>37</v>
      </c>
      <c r="S168" t="s">
        <v>28</v>
      </c>
      <c r="U168">
        <v>0</v>
      </c>
      <c r="V168" t="s">
        <v>39</v>
      </c>
      <c r="W168" t="s">
        <v>1077</v>
      </c>
      <c r="X168" t="s">
        <v>20</v>
      </c>
      <c r="Y168">
        <v>10</v>
      </c>
    </row>
    <row r="169" spans="1:25">
      <c r="A169" t="s">
        <v>390</v>
      </c>
      <c r="B169" t="s">
        <v>391</v>
      </c>
      <c r="C169">
        <v>33</v>
      </c>
      <c r="D169" t="s">
        <v>25</v>
      </c>
      <c r="E169" t="s">
        <v>26</v>
      </c>
      <c r="F169" t="s">
        <v>31</v>
      </c>
      <c r="G169" t="s">
        <v>82</v>
      </c>
      <c r="H169" t="s">
        <v>1060</v>
      </c>
      <c r="I169">
        <v>88000</v>
      </c>
      <c r="J169">
        <v>12</v>
      </c>
      <c r="K169">
        <v>1056000</v>
      </c>
      <c r="L169">
        <v>7</v>
      </c>
      <c r="M169">
        <v>3</v>
      </c>
      <c r="N169">
        <v>26400</v>
      </c>
      <c r="O169">
        <v>95</v>
      </c>
      <c r="P169">
        <v>12</v>
      </c>
      <c r="Q169">
        <v>12</v>
      </c>
      <c r="R169" t="s">
        <v>21</v>
      </c>
      <c r="S169" t="s">
        <v>38</v>
      </c>
      <c r="T169">
        <v>10</v>
      </c>
      <c r="U169">
        <v>3500</v>
      </c>
      <c r="V169" t="s">
        <v>22</v>
      </c>
      <c r="W169" t="s">
        <v>1077</v>
      </c>
      <c r="X169" t="s">
        <v>33</v>
      </c>
      <c r="Y169">
        <v>13</v>
      </c>
    </row>
    <row r="170" spans="1:25">
      <c r="A170" t="s">
        <v>392</v>
      </c>
      <c r="B170" t="s">
        <v>393</v>
      </c>
      <c r="C170">
        <v>49</v>
      </c>
      <c r="D170" t="s">
        <v>25</v>
      </c>
      <c r="E170" t="s">
        <v>26</v>
      </c>
      <c r="F170" t="s">
        <v>66</v>
      </c>
      <c r="G170" t="s">
        <v>1050</v>
      </c>
      <c r="H170" t="s">
        <v>1060</v>
      </c>
      <c r="I170">
        <v>140000</v>
      </c>
      <c r="J170">
        <v>12</v>
      </c>
      <c r="K170">
        <v>1680000</v>
      </c>
      <c r="L170">
        <v>17</v>
      </c>
      <c r="M170">
        <v>2</v>
      </c>
      <c r="N170" t="s">
        <v>1077</v>
      </c>
      <c r="O170">
        <v>80</v>
      </c>
      <c r="P170">
        <v>15</v>
      </c>
      <c r="Q170">
        <v>1</v>
      </c>
      <c r="R170" t="s">
        <v>37</v>
      </c>
      <c r="S170" t="s">
        <v>38</v>
      </c>
      <c r="U170" t="s">
        <v>1077</v>
      </c>
      <c r="V170" t="s">
        <v>39</v>
      </c>
      <c r="W170" t="s">
        <v>1077</v>
      </c>
      <c r="X170" t="s">
        <v>33</v>
      </c>
      <c r="Y170">
        <v>20</v>
      </c>
    </row>
    <row r="171" spans="1:25">
      <c r="A171" t="s">
        <v>394</v>
      </c>
      <c r="B171" t="s">
        <v>395</v>
      </c>
      <c r="C171">
        <v>20</v>
      </c>
      <c r="D171" t="s">
        <v>25</v>
      </c>
      <c r="E171" t="s">
        <v>17</v>
      </c>
      <c r="F171" t="s">
        <v>36</v>
      </c>
      <c r="G171" t="s">
        <v>1046</v>
      </c>
      <c r="H171" t="s">
        <v>1060</v>
      </c>
      <c r="I171">
        <v>20000</v>
      </c>
      <c r="J171">
        <v>12</v>
      </c>
      <c r="K171">
        <v>240000</v>
      </c>
      <c r="L171">
        <v>1</v>
      </c>
      <c r="M171">
        <v>4</v>
      </c>
      <c r="N171">
        <v>6000</v>
      </c>
      <c r="O171">
        <v>80</v>
      </c>
      <c r="P171">
        <v>5</v>
      </c>
      <c r="Q171">
        <v>1</v>
      </c>
      <c r="R171" t="s">
        <v>37</v>
      </c>
      <c r="S171" t="s">
        <v>19</v>
      </c>
      <c r="T171">
        <v>20</v>
      </c>
      <c r="U171">
        <v>5000</v>
      </c>
      <c r="V171" t="s">
        <v>22</v>
      </c>
      <c r="W171" t="s">
        <v>1077</v>
      </c>
      <c r="X171" t="s">
        <v>20</v>
      </c>
      <c r="Y171">
        <v>25</v>
      </c>
    </row>
    <row r="172" spans="1:25">
      <c r="A172" t="s">
        <v>396</v>
      </c>
      <c r="B172" t="s">
        <v>397</v>
      </c>
      <c r="C172">
        <v>35</v>
      </c>
      <c r="D172" t="s">
        <v>25</v>
      </c>
      <c r="E172" t="s">
        <v>64</v>
      </c>
      <c r="F172" t="s">
        <v>66</v>
      </c>
      <c r="G172" t="s">
        <v>82</v>
      </c>
      <c r="H172" t="s">
        <v>1060</v>
      </c>
      <c r="I172">
        <v>87000</v>
      </c>
      <c r="J172">
        <v>12</v>
      </c>
      <c r="K172">
        <v>1044000</v>
      </c>
      <c r="L172">
        <v>9</v>
      </c>
      <c r="M172">
        <v>1</v>
      </c>
      <c r="N172" t="s">
        <v>1077</v>
      </c>
      <c r="O172">
        <v>85</v>
      </c>
      <c r="P172">
        <v>15</v>
      </c>
      <c r="Q172">
        <v>1</v>
      </c>
      <c r="R172" t="s">
        <v>21</v>
      </c>
      <c r="S172" t="s">
        <v>38</v>
      </c>
      <c r="T172">
        <v>5</v>
      </c>
      <c r="U172">
        <v>1750</v>
      </c>
      <c r="V172" t="s">
        <v>39</v>
      </c>
      <c r="W172" t="s">
        <v>1077</v>
      </c>
      <c r="X172" t="s">
        <v>33</v>
      </c>
      <c r="Y172">
        <v>20</v>
      </c>
    </row>
    <row r="173" spans="1:25">
      <c r="A173" t="s">
        <v>398</v>
      </c>
      <c r="B173" t="s">
        <v>399</v>
      </c>
      <c r="C173">
        <v>40</v>
      </c>
      <c r="D173" t="s">
        <v>1077</v>
      </c>
      <c r="E173" t="s">
        <v>17</v>
      </c>
      <c r="F173" t="s">
        <v>36</v>
      </c>
      <c r="G173" t="s">
        <v>1050</v>
      </c>
      <c r="H173" t="s">
        <v>1060</v>
      </c>
      <c r="I173">
        <v>145000</v>
      </c>
      <c r="J173">
        <v>12</v>
      </c>
      <c r="K173">
        <v>1740000</v>
      </c>
      <c r="L173">
        <v>20</v>
      </c>
      <c r="M173">
        <v>4</v>
      </c>
      <c r="N173">
        <v>43500</v>
      </c>
      <c r="O173">
        <v>95</v>
      </c>
      <c r="P173">
        <v>12</v>
      </c>
      <c r="Q173">
        <v>5</v>
      </c>
      <c r="R173" t="s">
        <v>37</v>
      </c>
      <c r="S173" t="s">
        <v>19</v>
      </c>
      <c r="U173" t="s">
        <v>1077</v>
      </c>
      <c r="V173" t="s">
        <v>22</v>
      </c>
      <c r="W173" t="s">
        <v>1077</v>
      </c>
      <c r="X173" t="s">
        <v>20</v>
      </c>
      <c r="Y173">
        <v>25</v>
      </c>
    </row>
    <row r="174" spans="1:25">
      <c r="A174" t="s">
        <v>400</v>
      </c>
      <c r="B174" t="s">
        <v>401</v>
      </c>
      <c r="C174">
        <v>23</v>
      </c>
      <c r="D174" t="s">
        <v>25</v>
      </c>
      <c r="E174" t="s">
        <v>73</v>
      </c>
      <c r="F174" t="s">
        <v>42</v>
      </c>
      <c r="G174" t="s">
        <v>43</v>
      </c>
      <c r="H174" t="s">
        <v>1060</v>
      </c>
      <c r="I174">
        <v>28000</v>
      </c>
      <c r="J174">
        <v>12</v>
      </c>
      <c r="K174">
        <v>336000</v>
      </c>
      <c r="L174">
        <v>2</v>
      </c>
      <c r="M174">
        <v>4</v>
      </c>
      <c r="N174">
        <v>8400</v>
      </c>
      <c r="O174">
        <v>95</v>
      </c>
      <c r="P174">
        <v>5</v>
      </c>
      <c r="Q174">
        <v>2</v>
      </c>
      <c r="R174" t="s">
        <v>21</v>
      </c>
      <c r="S174" t="s">
        <v>38</v>
      </c>
      <c r="U174">
        <v>0</v>
      </c>
      <c r="V174" t="s">
        <v>22</v>
      </c>
      <c r="W174" t="s">
        <v>1077</v>
      </c>
      <c r="X174" t="s">
        <v>20</v>
      </c>
      <c r="Y174">
        <v>14</v>
      </c>
    </row>
    <row r="175" spans="1:25">
      <c r="A175" t="s">
        <v>402</v>
      </c>
      <c r="B175" t="s">
        <v>403</v>
      </c>
      <c r="C175">
        <v>31</v>
      </c>
      <c r="D175" t="s">
        <v>1077</v>
      </c>
      <c r="E175" t="s">
        <v>57</v>
      </c>
      <c r="F175" t="s">
        <v>66</v>
      </c>
      <c r="G175" t="s">
        <v>82</v>
      </c>
      <c r="H175" t="s">
        <v>1060</v>
      </c>
      <c r="I175">
        <v>87000</v>
      </c>
      <c r="J175">
        <v>12</v>
      </c>
      <c r="K175">
        <v>1044000</v>
      </c>
      <c r="L175">
        <v>7</v>
      </c>
      <c r="M175">
        <v>4</v>
      </c>
      <c r="N175">
        <v>26100</v>
      </c>
      <c r="O175">
        <v>80</v>
      </c>
      <c r="P175">
        <v>15</v>
      </c>
      <c r="Q175">
        <v>2</v>
      </c>
      <c r="R175" t="s">
        <v>21</v>
      </c>
      <c r="S175" t="s">
        <v>38</v>
      </c>
      <c r="T175">
        <v>20</v>
      </c>
      <c r="U175">
        <v>7000</v>
      </c>
      <c r="V175" t="s">
        <v>22</v>
      </c>
      <c r="W175" t="s">
        <v>1077</v>
      </c>
      <c r="X175" t="s">
        <v>33</v>
      </c>
      <c r="Y175">
        <v>20</v>
      </c>
    </row>
    <row r="176" spans="1:25">
      <c r="A176" t="s">
        <v>404</v>
      </c>
      <c r="B176" t="s">
        <v>405</v>
      </c>
      <c r="C176">
        <v>25</v>
      </c>
      <c r="D176" t="s">
        <v>25</v>
      </c>
      <c r="E176" t="s">
        <v>73</v>
      </c>
      <c r="F176" t="s">
        <v>42</v>
      </c>
      <c r="G176" t="s">
        <v>43</v>
      </c>
      <c r="H176" t="s">
        <v>1060</v>
      </c>
      <c r="I176">
        <v>28000</v>
      </c>
      <c r="J176">
        <v>12</v>
      </c>
      <c r="K176">
        <v>336000</v>
      </c>
      <c r="L176">
        <v>2</v>
      </c>
      <c r="M176">
        <v>1</v>
      </c>
      <c r="N176" t="s">
        <v>1077</v>
      </c>
      <c r="O176">
        <v>80</v>
      </c>
      <c r="P176">
        <v>12</v>
      </c>
      <c r="Q176">
        <v>7</v>
      </c>
      <c r="S176" t="s">
        <v>38</v>
      </c>
      <c r="T176">
        <v>10</v>
      </c>
      <c r="U176">
        <v>2500</v>
      </c>
      <c r="V176" t="s">
        <v>39</v>
      </c>
      <c r="W176" t="s">
        <v>1077</v>
      </c>
      <c r="X176" t="s">
        <v>20</v>
      </c>
      <c r="Y176">
        <v>14</v>
      </c>
    </row>
    <row r="177" spans="1:25">
      <c r="A177" t="s">
        <v>406</v>
      </c>
      <c r="B177" t="s">
        <v>407</v>
      </c>
      <c r="C177">
        <v>21</v>
      </c>
      <c r="D177" t="s">
        <v>46</v>
      </c>
      <c r="E177" t="s">
        <v>64</v>
      </c>
      <c r="F177" t="s">
        <v>18</v>
      </c>
      <c r="G177" t="s">
        <v>1046</v>
      </c>
      <c r="H177" t="s">
        <v>1060</v>
      </c>
      <c r="I177">
        <v>29000</v>
      </c>
      <c r="J177">
        <v>12</v>
      </c>
      <c r="K177">
        <v>348000</v>
      </c>
      <c r="L177">
        <v>1</v>
      </c>
      <c r="M177">
        <v>3</v>
      </c>
      <c r="N177">
        <v>8700</v>
      </c>
      <c r="O177">
        <v>95</v>
      </c>
      <c r="P177">
        <v>5</v>
      </c>
      <c r="Q177">
        <v>2</v>
      </c>
      <c r="R177" t="s">
        <v>37</v>
      </c>
      <c r="S177" t="s">
        <v>19</v>
      </c>
      <c r="T177">
        <v>10</v>
      </c>
      <c r="U177">
        <v>2500</v>
      </c>
      <c r="V177" t="s">
        <v>22</v>
      </c>
      <c r="W177" t="s">
        <v>1077</v>
      </c>
      <c r="X177" t="s">
        <v>20</v>
      </c>
      <c r="Y177">
        <v>10</v>
      </c>
    </row>
    <row r="178" spans="1:25">
      <c r="A178" t="s">
        <v>408</v>
      </c>
      <c r="B178" t="s">
        <v>409</v>
      </c>
      <c r="C178">
        <v>23</v>
      </c>
      <c r="D178" t="s">
        <v>25</v>
      </c>
      <c r="E178" t="s">
        <v>57</v>
      </c>
      <c r="F178" t="s">
        <v>66</v>
      </c>
      <c r="G178" t="s">
        <v>43</v>
      </c>
      <c r="H178" t="s">
        <v>1060</v>
      </c>
      <c r="I178">
        <v>24000</v>
      </c>
      <c r="J178">
        <v>12</v>
      </c>
      <c r="K178">
        <v>288000</v>
      </c>
      <c r="L178">
        <v>1</v>
      </c>
      <c r="M178">
        <v>3</v>
      </c>
      <c r="N178">
        <v>7200</v>
      </c>
      <c r="O178">
        <v>87</v>
      </c>
      <c r="P178">
        <v>10</v>
      </c>
      <c r="Q178">
        <v>3</v>
      </c>
      <c r="R178" t="s">
        <v>21</v>
      </c>
      <c r="S178" t="s">
        <v>38</v>
      </c>
      <c r="T178">
        <v>5</v>
      </c>
      <c r="U178">
        <v>1250</v>
      </c>
      <c r="V178" t="s">
        <v>22</v>
      </c>
      <c r="W178" t="s">
        <v>1077</v>
      </c>
      <c r="X178" t="s">
        <v>33</v>
      </c>
      <c r="Y178">
        <v>20</v>
      </c>
    </row>
    <row r="179" spans="1:25">
      <c r="A179" t="s">
        <v>410</v>
      </c>
      <c r="B179" t="s">
        <v>411</v>
      </c>
      <c r="C179">
        <v>22</v>
      </c>
      <c r="D179" t="s">
        <v>1077</v>
      </c>
      <c r="E179" t="s">
        <v>57</v>
      </c>
      <c r="F179" t="s">
        <v>36</v>
      </c>
      <c r="G179" t="s">
        <v>1046</v>
      </c>
      <c r="H179" t="s">
        <v>1060</v>
      </c>
      <c r="I179">
        <v>20000</v>
      </c>
      <c r="J179">
        <v>12</v>
      </c>
      <c r="K179">
        <v>240000</v>
      </c>
      <c r="L179">
        <v>2</v>
      </c>
      <c r="M179">
        <v>4</v>
      </c>
      <c r="N179">
        <v>6000</v>
      </c>
      <c r="O179">
        <v>80</v>
      </c>
      <c r="P179">
        <v>5</v>
      </c>
      <c r="Q179">
        <v>1</v>
      </c>
      <c r="R179" t="s">
        <v>37</v>
      </c>
      <c r="S179" t="s">
        <v>19</v>
      </c>
      <c r="T179">
        <v>20</v>
      </c>
      <c r="U179">
        <v>5000</v>
      </c>
      <c r="V179" t="s">
        <v>58</v>
      </c>
      <c r="W179" t="s">
        <v>1077</v>
      </c>
      <c r="X179" t="s">
        <v>20</v>
      </c>
      <c r="Y179">
        <v>25</v>
      </c>
    </row>
    <row r="180" spans="1:25">
      <c r="A180" t="s">
        <v>412</v>
      </c>
      <c r="B180" t="s">
        <v>413</v>
      </c>
      <c r="C180">
        <v>22</v>
      </c>
      <c r="D180" t="s">
        <v>25</v>
      </c>
      <c r="E180" t="s">
        <v>17</v>
      </c>
      <c r="F180" t="s">
        <v>66</v>
      </c>
      <c r="G180" t="s">
        <v>1046</v>
      </c>
      <c r="H180" t="s">
        <v>1060</v>
      </c>
      <c r="I180">
        <v>20000</v>
      </c>
      <c r="J180">
        <v>12</v>
      </c>
      <c r="K180">
        <v>240000</v>
      </c>
      <c r="L180">
        <v>2</v>
      </c>
      <c r="M180">
        <v>2</v>
      </c>
      <c r="N180" t="s">
        <v>1077</v>
      </c>
      <c r="O180">
        <v>80</v>
      </c>
      <c r="P180">
        <v>12</v>
      </c>
      <c r="Q180">
        <v>2</v>
      </c>
      <c r="R180" t="s">
        <v>21</v>
      </c>
      <c r="S180" t="s">
        <v>38</v>
      </c>
      <c r="T180">
        <v>20</v>
      </c>
      <c r="U180">
        <v>5000</v>
      </c>
      <c r="V180" t="s">
        <v>39</v>
      </c>
      <c r="W180" t="s">
        <v>1077</v>
      </c>
      <c r="X180" t="s">
        <v>33</v>
      </c>
      <c r="Y180">
        <v>20</v>
      </c>
    </row>
    <row r="181" spans="1:25">
      <c r="A181" t="s">
        <v>414</v>
      </c>
      <c r="B181" t="s">
        <v>415</v>
      </c>
      <c r="C181">
        <v>20</v>
      </c>
      <c r="D181" t="s">
        <v>25</v>
      </c>
      <c r="E181" t="s">
        <v>17</v>
      </c>
      <c r="F181" t="s">
        <v>18</v>
      </c>
      <c r="G181" t="s">
        <v>1046</v>
      </c>
      <c r="H181" t="s">
        <v>1060</v>
      </c>
      <c r="I181">
        <v>29000</v>
      </c>
      <c r="J181">
        <v>12</v>
      </c>
      <c r="K181">
        <v>348000</v>
      </c>
      <c r="L181">
        <v>1</v>
      </c>
      <c r="M181">
        <v>5</v>
      </c>
      <c r="N181">
        <v>8700</v>
      </c>
      <c r="O181">
        <v>90</v>
      </c>
      <c r="P181">
        <v>12</v>
      </c>
      <c r="Q181">
        <v>10</v>
      </c>
      <c r="S181" t="s">
        <v>19</v>
      </c>
      <c r="T181">
        <v>10</v>
      </c>
      <c r="U181">
        <v>2500</v>
      </c>
      <c r="V181" t="s">
        <v>58</v>
      </c>
      <c r="W181" t="s">
        <v>1077</v>
      </c>
      <c r="X181" t="s">
        <v>20</v>
      </c>
      <c r="Y181">
        <v>10</v>
      </c>
    </row>
    <row r="182" spans="1:25">
      <c r="A182" t="s">
        <v>416</v>
      </c>
      <c r="B182" t="s">
        <v>417</v>
      </c>
      <c r="C182">
        <v>23</v>
      </c>
      <c r="D182" t="s">
        <v>1077</v>
      </c>
      <c r="E182" t="s">
        <v>35</v>
      </c>
      <c r="F182" t="s">
        <v>27</v>
      </c>
      <c r="G182" t="s">
        <v>1046</v>
      </c>
      <c r="H182" t="s">
        <v>1060</v>
      </c>
      <c r="I182">
        <v>20000</v>
      </c>
      <c r="J182">
        <v>12</v>
      </c>
      <c r="K182">
        <v>240000</v>
      </c>
      <c r="L182">
        <v>1</v>
      </c>
      <c r="M182">
        <v>1</v>
      </c>
      <c r="N182" t="s">
        <v>1077</v>
      </c>
      <c r="O182">
        <v>95</v>
      </c>
      <c r="P182">
        <v>12</v>
      </c>
      <c r="Q182">
        <v>5</v>
      </c>
      <c r="R182" t="s">
        <v>21</v>
      </c>
      <c r="S182" t="s">
        <v>38</v>
      </c>
      <c r="U182">
        <v>0</v>
      </c>
      <c r="V182" t="s">
        <v>39</v>
      </c>
      <c r="W182" t="s">
        <v>1077</v>
      </c>
      <c r="X182" t="s">
        <v>20</v>
      </c>
      <c r="Y182">
        <v>12</v>
      </c>
    </row>
    <row r="183" spans="1:25">
      <c r="A183" t="s">
        <v>418</v>
      </c>
      <c r="B183" t="s">
        <v>419</v>
      </c>
      <c r="C183">
        <v>22</v>
      </c>
      <c r="D183" t="s">
        <v>46</v>
      </c>
      <c r="E183" t="s">
        <v>35</v>
      </c>
      <c r="F183" t="s">
        <v>36</v>
      </c>
      <c r="G183" t="s">
        <v>1046</v>
      </c>
      <c r="H183" t="s">
        <v>1060</v>
      </c>
      <c r="I183">
        <v>29000</v>
      </c>
      <c r="J183">
        <v>12</v>
      </c>
      <c r="K183">
        <v>348000</v>
      </c>
      <c r="L183">
        <v>0</v>
      </c>
      <c r="M183">
        <v>4</v>
      </c>
      <c r="N183">
        <v>8700</v>
      </c>
      <c r="O183">
        <v>80</v>
      </c>
      <c r="P183">
        <v>15</v>
      </c>
      <c r="Q183">
        <v>5</v>
      </c>
      <c r="S183" t="s">
        <v>38</v>
      </c>
      <c r="T183">
        <v>5</v>
      </c>
      <c r="U183">
        <v>1250</v>
      </c>
      <c r="V183" t="s">
        <v>22</v>
      </c>
      <c r="W183" t="s">
        <v>1077</v>
      </c>
      <c r="X183" t="s">
        <v>20</v>
      </c>
      <c r="Y183">
        <v>25</v>
      </c>
    </row>
    <row r="184" spans="1:25">
      <c r="A184" t="s">
        <v>420</v>
      </c>
      <c r="B184" t="s">
        <v>421</v>
      </c>
      <c r="C184">
        <v>28</v>
      </c>
      <c r="D184" t="s">
        <v>46</v>
      </c>
      <c r="E184" t="s">
        <v>50</v>
      </c>
      <c r="F184" t="s">
        <v>18</v>
      </c>
      <c r="G184" t="s">
        <v>1048</v>
      </c>
      <c r="H184" t="s">
        <v>1060</v>
      </c>
      <c r="I184">
        <v>55000</v>
      </c>
      <c r="J184">
        <v>12</v>
      </c>
      <c r="K184">
        <v>660000</v>
      </c>
      <c r="L184">
        <v>3</v>
      </c>
      <c r="M184">
        <v>4</v>
      </c>
      <c r="N184">
        <v>16500</v>
      </c>
      <c r="O184">
        <v>80</v>
      </c>
      <c r="P184">
        <v>10</v>
      </c>
      <c r="Q184">
        <v>2</v>
      </c>
      <c r="R184" t="s">
        <v>21</v>
      </c>
      <c r="S184" t="s">
        <v>38</v>
      </c>
      <c r="T184">
        <v>5</v>
      </c>
      <c r="U184">
        <v>1500</v>
      </c>
      <c r="V184" t="s">
        <v>22</v>
      </c>
      <c r="W184" t="s">
        <v>1077</v>
      </c>
      <c r="X184" t="s">
        <v>20</v>
      </c>
      <c r="Y184">
        <v>10</v>
      </c>
    </row>
    <row r="185" spans="1:25">
      <c r="A185" t="s">
        <v>422</v>
      </c>
      <c r="B185" t="s">
        <v>423</v>
      </c>
      <c r="C185">
        <v>24</v>
      </c>
      <c r="D185" t="s">
        <v>25</v>
      </c>
      <c r="E185" t="s">
        <v>17</v>
      </c>
      <c r="F185" t="s">
        <v>18</v>
      </c>
      <c r="G185" t="s">
        <v>1046</v>
      </c>
      <c r="H185" t="s">
        <v>1060</v>
      </c>
      <c r="I185">
        <v>29000</v>
      </c>
      <c r="J185">
        <v>12</v>
      </c>
      <c r="K185">
        <v>348000</v>
      </c>
      <c r="L185">
        <v>0</v>
      </c>
      <c r="M185">
        <v>2</v>
      </c>
      <c r="N185" t="s">
        <v>1077</v>
      </c>
      <c r="O185">
        <v>95</v>
      </c>
      <c r="P185">
        <v>12</v>
      </c>
      <c r="Q185">
        <v>11</v>
      </c>
      <c r="S185" t="s">
        <v>38</v>
      </c>
      <c r="T185">
        <v>10</v>
      </c>
      <c r="U185">
        <v>2500</v>
      </c>
      <c r="V185" t="s">
        <v>39</v>
      </c>
      <c r="W185" t="s">
        <v>1077</v>
      </c>
      <c r="X185" t="s">
        <v>20</v>
      </c>
      <c r="Y185">
        <v>10</v>
      </c>
    </row>
    <row r="186" spans="1:25">
      <c r="A186" t="s">
        <v>424</v>
      </c>
      <c r="B186" t="s">
        <v>425</v>
      </c>
      <c r="C186">
        <v>40</v>
      </c>
      <c r="D186" t="s">
        <v>25</v>
      </c>
      <c r="E186" t="s">
        <v>26</v>
      </c>
      <c r="F186" t="s">
        <v>36</v>
      </c>
      <c r="G186" t="s">
        <v>32</v>
      </c>
      <c r="H186" t="s">
        <v>1060</v>
      </c>
      <c r="I186">
        <v>90000</v>
      </c>
      <c r="J186">
        <v>12</v>
      </c>
      <c r="K186">
        <v>1080000</v>
      </c>
      <c r="L186">
        <v>12</v>
      </c>
      <c r="M186">
        <v>5</v>
      </c>
      <c r="N186">
        <v>27000</v>
      </c>
      <c r="O186">
        <v>87</v>
      </c>
      <c r="P186">
        <v>12</v>
      </c>
      <c r="Q186">
        <v>3</v>
      </c>
      <c r="S186" t="s">
        <v>19</v>
      </c>
      <c r="T186">
        <v>5</v>
      </c>
      <c r="U186">
        <v>1750</v>
      </c>
      <c r="V186" t="s">
        <v>58</v>
      </c>
      <c r="W186" t="s">
        <v>1077</v>
      </c>
      <c r="X186" t="s">
        <v>20</v>
      </c>
      <c r="Y186">
        <v>25</v>
      </c>
    </row>
    <row r="187" spans="1:25">
      <c r="A187" t="s">
        <v>426</v>
      </c>
      <c r="B187" t="s">
        <v>427</v>
      </c>
      <c r="C187">
        <v>23</v>
      </c>
      <c r="D187" t="s">
        <v>25</v>
      </c>
      <c r="E187" t="s">
        <v>26</v>
      </c>
      <c r="F187" t="s">
        <v>31</v>
      </c>
      <c r="G187" t="s">
        <v>1046</v>
      </c>
      <c r="H187" t="s">
        <v>1060</v>
      </c>
      <c r="I187">
        <v>29000</v>
      </c>
      <c r="J187">
        <v>12</v>
      </c>
      <c r="K187">
        <v>348000</v>
      </c>
      <c r="L187">
        <v>0</v>
      </c>
      <c r="M187">
        <v>5</v>
      </c>
      <c r="N187">
        <v>8700</v>
      </c>
      <c r="O187">
        <v>85</v>
      </c>
      <c r="P187">
        <v>10</v>
      </c>
      <c r="Q187">
        <v>3</v>
      </c>
      <c r="S187" t="s">
        <v>19</v>
      </c>
      <c r="T187">
        <v>20</v>
      </c>
      <c r="U187">
        <v>5000</v>
      </c>
      <c r="V187" t="s">
        <v>58</v>
      </c>
      <c r="W187" t="s">
        <v>1077</v>
      </c>
      <c r="X187" t="s">
        <v>33</v>
      </c>
      <c r="Y187">
        <v>13</v>
      </c>
    </row>
    <row r="188" spans="1:25">
      <c r="A188" t="s">
        <v>428</v>
      </c>
      <c r="B188" t="s">
        <v>429</v>
      </c>
      <c r="C188">
        <v>23</v>
      </c>
      <c r="D188" t="s">
        <v>46</v>
      </c>
      <c r="E188" t="s">
        <v>64</v>
      </c>
      <c r="F188" t="s">
        <v>36</v>
      </c>
      <c r="G188" t="s">
        <v>1046</v>
      </c>
      <c r="H188" t="s">
        <v>1060</v>
      </c>
      <c r="I188">
        <v>29000</v>
      </c>
      <c r="J188">
        <v>12</v>
      </c>
      <c r="K188">
        <v>348000</v>
      </c>
      <c r="L188">
        <v>2</v>
      </c>
      <c r="M188">
        <v>2</v>
      </c>
      <c r="N188" t="s">
        <v>1077</v>
      </c>
      <c r="O188">
        <v>85</v>
      </c>
      <c r="P188">
        <v>12</v>
      </c>
      <c r="Q188">
        <v>3</v>
      </c>
      <c r="R188" t="s">
        <v>21</v>
      </c>
      <c r="S188" t="s">
        <v>19</v>
      </c>
      <c r="T188">
        <v>20</v>
      </c>
      <c r="U188">
        <v>5000</v>
      </c>
      <c r="V188" t="s">
        <v>39</v>
      </c>
      <c r="W188" t="s">
        <v>1077</v>
      </c>
      <c r="X188" t="s">
        <v>20</v>
      </c>
      <c r="Y188">
        <v>25</v>
      </c>
    </row>
    <row r="189" spans="1:25">
      <c r="A189" t="s">
        <v>430</v>
      </c>
      <c r="B189" t="s">
        <v>431</v>
      </c>
      <c r="C189">
        <v>20</v>
      </c>
      <c r="D189" t="s">
        <v>1077</v>
      </c>
      <c r="E189" t="s">
        <v>65</v>
      </c>
      <c r="F189" t="s">
        <v>31</v>
      </c>
      <c r="G189" t="s">
        <v>1046</v>
      </c>
      <c r="H189" t="s">
        <v>1060</v>
      </c>
      <c r="I189">
        <v>29000</v>
      </c>
      <c r="J189">
        <v>12</v>
      </c>
      <c r="K189">
        <v>348000</v>
      </c>
      <c r="L189">
        <v>1</v>
      </c>
      <c r="M189">
        <v>4</v>
      </c>
      <c r="N189">
        <v>8700</v>
      </c>
      <c r="O189">
        <v>95</v>
      </c>
      <c r="P189">
        <v>12</v>
      </c>
      <c r="Q189">
        <v>5</v>
      </c>
      <c r="R189" t="s">
        <v>21</v>
      </c>
      <c r="S189" t="s">
        <v>38</v>
      </c>
      <c r="U189">
        <v>0</v>
      </c>
      <c r="V189" t="s">
        <v>22</v>
      </c>
      <c r="W189" t="s">
        <v>1077</v>
      </c>
      <c r="X189" t="s">
        <v>33</v>
      </c>
      <c r="Y189">
        <v>13</v>
      </c>
    </row>
    <row r="190" spans="1:25">
      <c r="A190" t="s">
        <v>432</v>
      </c>
      <c r="B190" t="s">
        <v>433</v>
      </c>
      <c r="C190">
        <v>22</v>
      </c>
      <c r="D190" t="s">
        <v>1077</v>
      </c>
      <c r="E190" t="s">
        <v>50</v>
      </c>
      <c r="F190" t="s">
        <v>42</v>
      </c>
      <c r="G190" t="s">
        <v>1046</v>
      </c>
      <c r="H190" t="s">
        <v>1060</v>
      </c>
      <c r="I190">
        <v>29000</v>
      </c>
      <c r="J190">
        <v>12</v>
      </c>
      <c r="K190">
        <v>348000</v>
      </c>
      <c r="L190">
        <v>0</v>
      </c>
      <c r="M190">
        <v>3</v>
      </c>
      <c r="N190">
        <v>8700</v>
      </c>
      <c r="O190">
        <v>90</v>
      </c>
      <c r="P190">
        <v>5</v>
      </c>
      <c r="Q190">
        <v>5</v>
      </c>
      <c r="R190" t="s">
        <v>37</v>
      </c>
      <c r="S190" t="s">
        <v>38</v>
      </c>
      <c r="U190">
        <v>0</v>
      </c>
      <c r="V190" t="s">
        <v>22</v>
      </c>
      <c r="W190" t="s">
        <v>1077</v>
      </c>
      <c r="X190" t="s">
        <v>20</v>
      </c>
      <c r="Y190">
        <v>14</v>
      </c>
    </row>
    <row r="191" spans="1:25">
      <c r="A191" t="s">
        <v>434</v>
      </c>
      <c r="B191" t="s">
        <v>435</v>
      </c>
      <c r="C191">
        <v>20</v>
      </c>
      <c r="D191" t="s">
        <v>46</v>
      </c>
      <c r="E191" t="s">
        <v>47</v>
      </c>
      <c r="F191" t="s">
        <v>36</v>
      </c>
      <c r="G191" t="s">
        <v>1046</v>
      </c>
      <c r="H191" t="s">
        <v>1060</v>
      </c>
      <c r="I191">
        <v>29000</v>
      </c>
      <c r="J191">
        <v>12</v>
      </c>
      <c r="K191">
        <v>348000</v>
      </c>
      <c r="L191">
        <v>0</v>
      </c>
      <c r="M191">
        <v>3</v>
      </c>
      <c r="N191">
        <v>8700</v>
      </c>
      <c r="O191">
        <v>85</v>
      </c>
      <c r="P191">
        <v>15</v>
      </c>
      <c r="Q191">
        <v>1</v>
      </c>
      <c r="R191" t="s">
        <v>37</v>
      </c>
      <c r="S191" t="s">
        <v>19</v>
      </c>
      <c r="T191">
        <v>10</v>
      </c>
      <c r="U191">
        <v>2500</v>
      </c>
      <c r="V191" t="s">
        <v>22</v>
      </c>
      <c r="W191" t="s">
        <v>1077</v>
      </c>
      <c r="X191" t="s">
        <v>20</v>
      </c>
      <c r="Y191">
        <v>25</v>
      </c>
    </row>
    <row r="192" spans="1:25">
      <c r="A192" t="s">
        <v>436</v>
      </c>
      <c r="B192" t="s">
        <v>437</v>
      </c>
      <c r="C192">
        <v>22</v>
      </c>
      <c r="D192" t="s">
        <v>25</v>
      </c>
      <c r="E192" t="s">
        <v>26</v>
      </c>
      <c r="F192" t="s">
        <v>18</v>
      </c>
      <c r="G192" t="s">
        <v>1046</v>
      </c>
      <c r="H192" t="s">
        <v>1059</v>
      </c>
      <c r="I192">
        <v>29000</v>
      </c>
      <c r="J192">
        <v>12</v>
      </c>
      <c r="K192">
        <v>348000</v>
      </c>
      <c r="L192">
        <v>1</v>
      </c>
      <c r="M192">
        <v>5</v>
      </c>
      <c r="N192">
        <v>8700</v>
      </c>
      <c r="O192">
        <v>85</v>
      </c>
      <c r="P192">
        <v>12</v>
      </c>
      <c r="Q192">
        <v>12</v>
      </c>
      <c r="R192" t="s">
        <v>21</v>
      </c>
      <c r="S192" t="s">
        <v>28</v>
      </c>
      <c r="U192">
        <v>0</v>
      </c>
      <c r="V192" t="s">
        <v>58</v>
      </c>
      <c r="W192" t="s">
        <v>1077</v>
      </c>
      <c r="X192" t="s">
        <v>20</v>
      </c>
      <c r="Y192">
        <v>10</v>
      </c>
    </row>
    <row r="193" spans="1:25">
      <c r="A193" t="s">
        <v>438</v>
      </c>
      <c r="B193" t="s">
        <v>439</v>
      </c>
      <c r="C193">
        <v>23</v>
      </c>
      <c r="D193" t="s">
        <v>25</v>
      </c>
      <c r="E193" t="s">
        <v>73</v>
      </c>
      <c r="F193" t="s">
        <v>42</v>
      </c>
      <c r="G193" t="s">
        <v>1046</v>
      </c>
      <c r="H193" t="s">
        <v>1060</v>
      </c>
      <c r="I193">
        <v>29000</v>
      </c>
      <c r="J193">
        <v>12</v>
      </c>
      <c r="K193">
        <v>348000</v>
      </c>
      <c r="L193">
        <v>2</v>
      </c>
      <c r="M193">
        <v>3</v>
      </c>
      <c r="N193">
        <v>8700</v>
      </c>
      <c r="O193">
        <v>95</v>
      </c>
      <c r="P193">
        <v>5</v>
      </c>
      <c r="Q193">
        <v>3</v>
      </c>
      <c r="R193" t="s">
        <v>37</v>
      </c>
      <c r="S193" t="s">
        <v>19</v>
      </c>
      <c r="T193">
        <v>20</v>
      </c>
      <c r="U193">
        <v>5000</v>
      </c>
      <c r="V193" t="s">
        <v>22</v>
      </c>
      <c r="W193" t="s">
        <v>1077</v>
      </c>
      <c r="X193" t="s">
        <v>20</v>
      </c>
      <c r="Y193">
        <v>14</v>
      </c>
    </row>
    <row r="194" spans="1:25">
      <c r="A194" t="s">
        <v>440</v>
      </c>
      <c r="B194" t="s">
        <v>441</v>
      </c>
      <c r="C194">
        <v>22</v>
      </c>
      <c r="D194" t="s">
        <v>46</v>
      </c>
      <c r="E194" t="s">
        <v>47</v>
      </c>
      <c r="F194" t="s">
        <v>36</v>
      </c>
      <c r="G194" t="s">
        <v>1046</v>
      </c>
      <c r="H194" t="s">
        <v>1060</v>
      </c>
      <c r="I194">
        <v>29000</v>
      </c>
      <c r="J194">
        <v>12</v>
      </c>
      <c r="K194">
        <v>348000</v>
      </c>
      <c r="L194">
        <v>0</v>
      </c>
      <c r="M194">
        <v>4</v>
      </c>
      <c r="N194">
        <v>8700</v>
      </c>
      <c r="O194">
        <v>87</v>
      </c>
      <c r="P194">
        <v>10</v>
      </c>
      <c r="Q194">
        <v>8</v>
      </c>
      <c r="R194" t="s">
        <v>37</v>
      </c>
      <c r="S194" t="s">
        <v>38</v>
      </c>
      <c r="T194">
        <v>20</v>
      </c>
      <c r="U194">
        <v>5000</v>
      </c>
      <c r="V194" t="s">
        <v>22</v>
      </c>
      <c r="W194" t="s">
        <v>1077</v>
      </c>
      <c r="X194" t="s">
        <v>20</v>
      </c>
      <c r="Y194">
        <v>25</v>
      </c>
    </row>
    <row r="195" spans="1:25">
      <c r="A195" t="s">
        <v>442</v>
      </c>
      <c r="B195" t="s">
        <v>443</v>
      </c>
      <c r="C195">
        <v>23</v>
      </c>
      <c r="D195" t="s">
        <v>25</v>
      </c>
      <c r="E195" t="s">
        <v>65</v>
      </c>
      <c r="F195" t="s">
        <v>18</v>
      </c>
      <c r="G195" t="s">
        <v>43</v>
      </c>
      <c r="H195" t="s">
        <v>1060</v>
      </c>
      <c r="I195">
        <v>24000</v>
      </c>
      <c r="J195">
        <v>12</v>
      </c>
      <c r="K195">
        <v>288000</v>
      </c>
      <c r="L195">
        <v>1</v>
      </c>
      <c r="M195">
        <v>4</v>
      </c>
      <c r="N195">
        <v>7200</v>
      </c>
      <c r="O195">
        <v>85</v>
      </c>
      <c r="P195">
        <v>15</v>
      </c>
      <c r="Q195">
        <v>2</v>
      </c>
      <c r="R195" t="s">
        <v>21</v>
      </c>
      <c r="S195" t="s">
        <v>38</v>
      </c>
      <c r="T195">
        <v>10</v>
      </c>
      <c r="U195">
        <v>2500</v>
      </c>
      <c r="V195" t="s">
        <v>22</v>
      </c>
      <c r="W195" t="s">
        <v>1077</v>
      </c>
      <c r="X195" t="s">
        <v>20</v>
      </c>
      <c r="Y195">
        <v>10</v>
      </c>
    </row>
    <row r="196" spans="1:25">
      <c r="A196" t="s">
        <v>444</v>
      </c>
      <c r="B196" t="s">
        <v>445</v>
      </c>
      <c r="C196">
        <v>23</v>
      </c>
      <c r="D196" t="s">
        <v>25</v>
      </c>
      <c r="E196" t="s">
        <v>57</v>
      </c>
      <c r="F196" t="s">
        <v>18</v>
      </c>
      <c r="G196" t="s">
        <v>43</v>
      </c>
      <c r="H196" t="s">
        <v>1060</v>
      </c>
      <c r="I196">
        <v>24000</v>
      </c>
      <c r="J196">
        <v>12</v>
      </c>
      <c r="K196">
        <v>288000</v>
      </c>
      <c r="L196">
        <v>1</v>
      </c>
      <c r="M196">
        <v>4</v>
      </c>
      <c r="N196">
        <v>7200</v>
      </c>
      <c r="O196">
        <v>80</v>
      </c>
      <c r="P196">
        <v>10</v>
      </c>
      <c r="Q196">
        <v>2</v>
      </c>
      <c r="S196" t="s">
        <v>38</v>
      </c>
      <c r="T196">
        <v>5</v>
      </c>
      <c r="U196">
        <v>1250</v>
      </c>
      <c r="V196" t="s">
        <v>58</v>
      </c>
      <c r="W196" t="s">
        <v>1077</v>
      </c>
      <c r="X196" t="s">
        <v>20</v>
      </c>
      <c r="Y196">
        <v>10</v>
      </c>
    </row>
    <row r="197" spans="1:25">
      <c r="A197" t="s">
        <v>446</v>
      </c>
      <c r="B197" t="s">
        <v>447</v>
      </c>
      <c r="C197">
        <v>23</v>
      </c>
      <c r="D197" t="s">
        <v>46</v>
      </c>
      <c r="E197" t="s">
        <v>26</v>
      </c>
      <c r="F197" t="s">
        <v>31</v>
      </c>
      <c r="G197" t="s">
        <v>43</v>
      </c>
      <c r="H197" t="s">
        <v>1060</v>
      </c>
      <c r="I197">
        <v>28000</v>
      </c>
      <c r="J197">
        <v>12</v>
      </c>
      <c r="K197">
        <v>336000</v>
      </c>
      <c r="L197">
        <v>2</v>
      </c>
      <c r="M197">
        <v>4</v>
      </c>
      <c r="N197">
        <v>8400</v>
      </c>
      <c r="O197">
        <v>85</v>
      </c>
      <c r="P197">
        <v>15</v>
      </c>
      <c r="Q197">
        <v>3</v>
      </c>
      <c r="R197" t="s">
        <v>37</v>
      </c>
      <c r="S197" t="s">
        <v>38</v>
      </c>
      <c r="T197">
        <v>5</v>
      </c>
      <c r="U197">
        <v>1250</v>
      </c>
      <c r="V197" t="s">
        <v>58</v>
      </c>
      <c r="W197" t="s">
        <v>1077</v>
      </c>
      <c r="X197" t="s">
        <v>33</v>
      </c>
      <c r="Y197">
        <v>13</v>
      </c>
    </row>
    <row r="198" spans="1:25">
      <c r="A198" t="s">
        <v>448</v>
      </c>
      <c r="B198" t="s">
        <v>449</v>
      </c>
      <c r="C198">
        <v>24</v>
      </c>
      <c r="D198" t="s">
        <v>46</v>
      </c>
      <c r="E198" t="s">
        <v>35</v>
      </c>
      <c r="F198" t="s">
        <v>31</v>
      </c>
      <c r="G198" t="s">
        <v>43</v>
      </c>
      <c r="H198" t="s">
        <v>1060</v>
      </c>
      <c r="I198">
        <v>31500</v>
      </c>
      <c r="J198">
        <v>12</v>
      </c>
      <c r="K198">
        <v>378000</v>
      </c>
      <c r="L198">
        <v>2</v>
      </c>
      <c r="M198">
        <v>4</v>
      </c>
      <c r="N198">
        <v>9450</v>
      </c>
      <c r="O198">
        <v>85</v>
      </c>
      <c r="P198">
        <v>10</v>
      </c>
      <c r="Q198">
        <v>2</v>
      </c>
      <c r="S198" t="s">
        <v>38</v>
      </c>
      <c r="T198">
        <v>20</v>
      </c>
      <c r="U198">
        <v>5000</v>
      </c>
      <c r="V198" t="s">
        <v>58</v>
      </c>
      <c r="W198" t="s">
        <v>1077</v>
      </c>
      <c r="X198" t="s">
        <v>33</v>
      </c>
      <c r="Y198">
        <v>13</v>
      </c>
    </row>
    <row r="199" spans="1:25">
      <c r="A199" t="s">
        <v>450</v>
      </c>
      <c r="B199" t="s">
        <v>451</v>
      </c>
      <c r="C199">
        <v>23</v>
      </c>
      <c r="D199" t="s">
        <v>46</v>
      </c>
      <c r="E199" t="s">
        <v>17</v>
      </c>
      <c r="F199" t="s">
        <v>66</v>
      </c>
      <c r="G199" t="s">
        <v>43</v>
      </c>
      <c r="H199" t="s">
        <v>1060</v>
      </c>
      <c r="I199">
        <v>24000</v>
      </c>
      <c r="J199">
        <v>12</v>
      </c>
      <c r="K199">
        <v>288000</v>
      </c>
      <c r="L199">
        <v>1</v>
      </c>
      <c r="M199">
        <v>4</v>
      </c>
      <c r="N199">
        <v>7200</v>
      </c>
      <c r="O199">
        <v>80</v>
      </c>
      <c r="P199">
        <v>15</v>
      </c>
      <c r="Q199">
        <v>5</v>
      </c>
      <c r="R199" t="s">
        <v>21</v>
      </c>
      <c r="S199" t="s">
        <v>38</v>
      </c>
      <c r="T199">
        <v>5</v>
      </c>
      <c r="U199">
        <v>1250</v>
      </c>
      <c r="V199" t="s">
        <v>22</v>
      </c>
      <c r="W199" t="s">
        <v>1077</v>
      </c>
      <c r="X199" t="s">
        <v>33</v>
      </c>
      <c r="Y199">
        <v>20</v>
      </c>
    </row>
    <row r="200" spans="1:25">
      <c r="A200" t="s">
        <v>452</v>
      </c>
      <c r="B200" t="s">
        <v>453</v>
      </c>
      <c r="C200">
        <v>23</v>
      </c>
      <c r="D200" t="s">
        <v>46</v>
      </c>
      <c r="E200" t="s">
        <v>73</v>
      </c>
      <c r="F200" t="s">
        <v>31</v>
      </c>
      <c r="G200" t="s">
        <v>43</v>
      </c>
      <c r="H200" t="s">
        <v>1060</v>
      </c>
      <c r="I200">
        <v>22000</v>
      </c>
      <c r="J200">
        <v>12</v>
      </c>
      <c r="K200">
        <v>264000</v>
      </c>
      <c r="L200">
        <v>2</v>
      </c>
      <c r="M200">
        <v>4</v>
      </c>
      <c r="N200">
        <v>6600</v>
      </c>
      <c r="O200">
        <v>85</v>
      </c>
      <c r="P200">
        <v>5</v>
      </c>
      <c r="Q200">
        <v>3</v>
      </c>
      <c r="R200" t="s">
        <v>21</v>
      </c>
      <c r="S200" t="s">
        <v>38</v>
      </c>
      <c r="U200">
        <v>0</v>
      </c>
      <c r="V200" t="s">
        <v>58</v>
      </c>
      <c r="W200" t="s">
        <v>1077</v>
      </c>
      <c r="X200" t="s">
        <v>33</v>
      </c>
      <c r="Y200">
        <v>13</v>
      </c>
    </row>
    <row r="201" spans="1:25">
      <c r="A201" t="s">
        <v>454</v>
      </c>
      <c r="B201" t="s">
        <v>455</v>
      </c>
      <c r="C201">
        <v>36</v>
      </c>
      <c r="D201" t="s">
        <v>46</v>
      </c>
      <c r="E201" t="s">
        <v>73</v>
      </c>
      <c r="F201" t="s">
        <v>18</v>
      </c>
      <c r="G201" t="s">
        <v>32</v>
      </c>
      <c r="H201" t="s">
        <v>1059</v>
      </c>
      <c r="I201">
        <v>99000</v>
      </c>
      <c r="J201">
        <v>12</v>
      </c>
      <c r="K201">
        <v>1188000</v>
      </c>
      <c r="L201">
        <v>12</v>
      </c>
      <c r="M201">
        <v>3</v>
      </c>
      <c r="N201">
        <v>29700</v>
      </c>
      <c r="O201">
        <v>95</v>
      </c>
      <c r="P201">
        <v>12</v>
      </c>
      <c r="Q201">
        <v>2</v>
      </c>
      <c r="R201" t="s">
        <v>21</v>
      </c>
      <c r="S201" t="s">
        <v>28</v>
      </c>
      <c r="T201">
        <v>10</v>
      </c>
      <c r="U201">
        <v>3500</v>
      </c>
      <c r="V201" t="s">
        <v>22</v>
      </c>
      <c r="W201" t="s">
        <v>1077</v>
      </c>
      <c r="X201" t="s">
        <v>20</v>
      </c>
      <c r="Y201">
        <v>10</v>
      </c>
    </row>
    <row r="202" spans="1:25">
      <c r="A202" t="s">
        <v>456</v>
      </c>
      <c r="B202" t="s">
        <v>457</v>
      </c>
      <c r="C202">
        <v>28</v>
      </c>
      <c r="D202" t="s">
        <v>46</v>
      </c>
      <c r="E202" t="s">
        <v>61</v>
      </c>
      <c r="F202" t="s">
        <v>42</v>
      </c>
      <c r="G202" t="s">
        <v>1048</v>
      </c>
      <c r="H202" t="s">
        <v>1060</v>
      </c>
      <c r="I202">
        <v>53000</v>
      </c>
      <c r="J202">
        <v>12</v>
      </c>
      <c r="K202">
        <v>636000</v>
      </c>
      <c r="L202">
        <v>3</v>
      </c>
      <c r="M202">
        <v>3</v>
      </c>
      <c r="N202">
        <v>15900</v>
      </c>
      <c r="O202">
        <v>80</v>
      </c>
      <c r="P202">
        <v>10</v>
      </c>
      <c r="Q202">
        <v>1</v>
      </c>
      <c r="R202" t="s">
        <v>37</v>
      </c>
      <c r="S202" t="s">
        <v>19</v>
      </c>
      <c r="T202">
        <v>20</v>
      </c>
      <c r="U202">
        <v>6000</v>
      </c>
      <c r="V202" t="s">
        <v>22</v>
      </c>
      <c r="W202" t="s">
        <v>1077</v>
      </c>
      <c r="X202" t="s">
        <v>20</v>
      </c>
      <c r="Y202">
        <v>14</v>
      </c>
    </row>
    <row r="203" spans="1:25">
      <c r="A203" t="s">
        <v>458</v>
      </c>
      <c r="B203" t="s">
        <v>459</v>
      </c>
      <c r="C203">
        <v>51</v>
      </c>
      <c r="D203" t="s">
        <v>1077</v>
      </c>
      <c r="E203" t="s">
        <v>57</v>
      </c>
      <c r="F203" t="s">
        <v>31</v>
      </c>
      <c r="G203" t="s">
        <v>1051</v>
      </c>
      <c r="H203" t="s">
        <v>1060</v>
      </c>
      <c r="I203">
        <v>150000</v>
      </c>
      <c r="J203">
        <v>12</v>
      </c>
      <c r="K203">
        <v>1800000</v>
      </c>
      <c r="L203">
        <v>21</v>
      </c>
      <c r="M203">
        <v>4</v>
      </c>
      <c r="N203">
        <v>45000</v>
      </c>
      <c r="O203">
        <v>87</v>
      </c>
      <c r="P203">
        <v>5</v>
      </c>
      <c r="Q203">
        <v>3</v>
      </c>
      <c r="S203" t="s">
        <v>38</v>
      </c>
      <c r="U203" t="s">
        <v>1077</v>
      </c>
      <c r="V203" t="s">
        <v>22</v>
      </c>
      <c r="W203" t="s">
        <v>1077</v>
      </c>
      <c r="X203" t="s">
        <v>33</v>
      </c>
      <c r="Y203">
        <v>13</v>
      </c>
    </row>
    <row r="204" spans="1:25">
      <c r="A204" t="s">
        <v>460</v>
      </c>
      <c r="B204" t="s">
        <v>461</v>
      </c>
      <c r="C204">
        <v>24</v>
      </c>
      <c r="D204" t="s">
        <v>25</v>
      </c>
      <c r="E204" t="s">
        <v>65</v>
      </c>
      <c r="F204" t="s">
        <v>27</v>
      </c>
      <c r="G204" t="s">
        <v>43</v>
      </c>
      <c r="H204" t="s">
        <v>1059</v>
      </c>
      <c r="I204">
        <v>24000</v>
      </c>
      <c r="J204">
        <v>12</v>
      </c>
      <c r="K204">
        <v>288000</v>
      </c>
      <c r="L204">
        <v>1</v>
      </c>
      <c r="M204">
        <v>4</v>
      </c>
      <c r="N204">
        <v>7200</v>
      </c>
      <c r="O204">
        <v>88</v>
      </c>
      <c r="P204">
        <v>5</v>
      </c>
      <c r="Q204">
        <v>2</v>
      </c>
      <c r="R204" t="s">
        <v>37</v>
      </c>
      <c r="S204" t="s">
        <v>28</v>
      </c>
      <c r="T204">
        <v>20</v>
      </c>
      <c r="U204">
        <v>5000</v>
      </c>
      <c r="V204" t="s">
        <v>22</v>
      </c>
      <c r="W204" t="s">
        <v>1077</v>
      </c>
      <c r="X204" t="s">
        <v>20</v>
      </c>
      <c r="Y204">
        <v>12</v>
      </c>
    </row>
    <row r="205" spans="1:25">
      <c r="A205" t="s">
        <v>462</v>
      </c>
      <c r="B205" t="s">
        <v>463</v>
      </c>
      <c r="C205">
        <v>23</v>
      </c>
      <c r="D205" t="s">
        <v>46</v>
      </c>
      <c r="E205" t="s">
        <v>47</v>
      </c>
      <c r="F205" t="s">
        <v>31</v>
      </c>
      <c r="G205" t="s">
        <v>43</v>
      </c>
      <c r="H205" t="s">
        <v>1060</v>
      </c>
      <c r="I205">
        <v>24000</v>
      </c>
      <c r="J205">
        <v>12</v>
      </c>
      <c r="K205">
        <v>288000</v>
      </c>
      <c r="L205">
        <v>1</v>
      </c>
      <c r="M205">
        <v>5</v>
      </c>
      <c r="N205">
        <v>7200</v>
      </c>
      <c r="O205">
        <v>95</v>
      </c>
      <c r="P205">
        <v>10</v>
      </c>
      <c r="Q205">
        <v>3</v>
      </c>
      <c r="R205" t="s">
        <v>21</v>
      </c>
      <c r="S205" t="s">
        <v>38</v>
      </c>
      <c r="T205">
        <v>5</v>
      </c>
      <c r="U205">
        <v>1250</v>
      </c>
      <c r="V205" t="s">
        <v>58</v>
      </c>
      <c r="W205" t="s">
        <v>1077</v>
      </c>
      <c r="X205" t="s">
        <v>33</v>
      </c>
      <c r="Y205">
        <v>13</v>
      </c>
    </row>
    <row r="206" spans="1:25">
      <c r="A206" t="s">
        <v>464</v>
      </c>
      <c r="B206" t="s">
        <v>465</v>
      </c>
      <c r="C206">
        <v>31</v>
      </c>
      <c r="D206" t="s">
        <v>1077</v>
      </c>
      <c r="E206" t="s">
        <v>26</v>
      </c>
      <c r="F206" t="s">
        <v>42</v>
      </c>
      <c r="G206" t="s">
        <v>82</v>
      </c>
      <c r="H206" t="s">
        <v>1059</v>
      </c>
      <c r="I206">
        <v>89000</v>
      </c>
      <c r="J206">
        <v>12</v>
      </c>
      <c r="K206">
        <v>1068000</v>
      </c>
      <c r="L206">
        <v>9</v>
      </c>
      <c r="M206">
        <v>4</v>
      </c>
      <c r="N206">
        <v>26700</v>
      </c>
      <c r="O206">
        <v>80</v>
      </c>
      <c r="P206">
        <v>5</v>
      </c>
      <c r="Q206">
        <v>2</v>
      </c>
      <c r="R206" t="s">
        <v>37</v>
      </c>
      <c r="S206" t="s">
        <v>28</v>
      </c>
      <c r="T206">
        <v>20</v>
      </c>
      <c r="U206">
        <v>7000</v>
      </c>
      <c r="V206" t="s">
        <v>22</v>
      </c>
      <c r="W206" t="s">
        <v>1077</v>
      </c>
      <c r="X206" t="s">
        <v>20</v>
      </c>
      <c r="Y206">
        <v>14</v>
      </c>
    </row>
    <row r="207" spans="1:25">
      <c r="A207" t="s">
        <v>466</v>
      </c>
      <c r="B207" t="s">
        <v>467</v>
      </c>
      <c r="C207">
        <v>25</v>
      </c>
      <c r="D207" t="s">
        <v>25</v>
      </c>
      <c r="E207" t="s">
        <v>47</v>
      </c>
      <c r="F207" t="s">
        <v>18</v>
      </c>
      <c r="G207" t="s">
        <v>43</v>
      </c>
      <c r="H207" t="s">
        <v>1060</v>
      </c>
      <c r="I207">
        <v>24000</v>
      </c>
      <c r="J207">
        <v>12</v>
      </c>
      <c r="K207">
        <v>288000</v>
      </c>
      <c r="L207">
        <v>1</v>
      </c>
      <c r="M207">
        <v>4</v>
      </c>
      <c r="N207">
        <v>7200</v>
      </c>
      <c r="O207">
        <v>80</v>
      </c>
      <c r="P207">
        <v>12</v>
      </c>
      <c r="Q207">
        <v>3</v>
      </c>
      <c r="S207" t="s">
        <v>38</v>
      </c>
      <c r="T207">
        <v>20</v>
      </c>
      <c r="U207">
        <v>5000</v>
      </c>
      <c r="V207" t="s">
        <v>58</v>
      </c>
      <c r="W207" t="s">
        <v>1077</v>
      </c>
      <c r="X207" t="s">
        <v>20</v>
      </c>
      <c r="Y207">
        <v>10</v>
      </c>
    </row>
    <row r="208" spans="1:25">
      <c r="A208" t="s">
        <v>468</v>
      </c>
      <c r="B208" t="s">
        <v>469</v>
      </c>
      <c r="C208">
        <v>25</v>
      </c>
      <c r="D208" t="s">
        <v>46</v>
      </c>
      <c r="E208" t="s">
        <v>26</v>
      </c>
      <c r="F208" t="s">
        <v>66</v>
      </c>
      <c r="G208" t="s">
        <v>43</v>
      </c>
      <c r="H208" t="s">
        <v>1060</v>
      </c>
      <c r="I208">
        <v>31500</v>
      </c>
      <c r="J208">
        <v>12</v>
      </c>
      <c r="K208">
        <v>378000</v>
      </c>
      <c r="L208">
        <v>2</v>
      </c>
      <c r="M208">
        <v>2</v>
      </c>
      <c r="N208" t="s">
        <v>1077</v>
      </c>
      <c r="O208">
        <v>90</v>
      </c>
      <c r="P208">
        <v>5</v>
      </c>
      <c r="Q208">
        <v>3</v>
      </c>
      <c r="S208" t="s">
        <v>38</v>
      </c>
      <c r="T208">
        <v>20</v>
      </c>
      <c r="U208">
        <v>5000</v>
      </c>
      <c r="V208" t="s">
        <v>39</v>
      </c>
      <c r="W208" t="s">
        <v>1077</v>
      </c>
      <c r="X208" t="s">
        <v>33</v>
      </c>
      <c r="Y208">
        <v>20</v>
      </c>
    </row>
    <row r="209" spans="1:25">
      <c r="A209" t="s">
        <v>470</v>
      </c>
      <c r="B209" t="s">
        <v>471</v>
      </c>
      <c r="C209">
        <v>48</v>
      </c>
      <c r="D209" t="s">
        <v>25</v>
      </c>
      <c r="E209" t="s">
        <v>35</v>
      </c>
      <c r="F209" t="s">
        <v>36</v>
      </c>
      <c r="G209" t="s">
        <v>1051</v>
      </c>
      <c r="H209" t="s">
        <v>1060</v>
      </c>
      <c r="I209">
        <v>154000</v>
      </c>
      <c r="J209">
        <v>12</v>
      </c>
      <c r="K209">
        <v>1848000</v>
      </c>
      <c r="L209">
        <v>22</v>
      </c>
      <c r="M209">
        <v>5</v>
      </c>
      <c r="N209">
        <v>46200</v>
      </c>
      <c r="O209">
        <v>80</v>
      </c>
      <c r="P209">
        <v>15</v>
      </c>
      <c r="Q209">
        <v>5</v>
      </c>
      <c r="S209" t="s">
        <v>38</v>
      </c>
      <c r="U209" t="s">
        <v>1077</v>
      </c>
      <c r="V209" t="s">
        <v>58</v>
      </c>
      <c r="W209" t="s">
        <v>1077</v>
      </c>
      <c r="X209" t="s">
        <v>20</v>
      </c>
      <c r="Y209">
        <v>25</v>
      </c>
    </row>
    <row r="210" spans="1:25">
      <c r="A210" t="s">
        <v>472</v>
      </c>
      <c r="B210" t="s">
        <v>473</v>
      </c>
      <c r="C210">
        <v>25</v>
      </c>
      <c r="D210" t="s">
        <v>46</v>
      </c>
      <c r="E210" t="s">
        <v>64</v>
      </c>
      <c r="F210" t="s">
        <v>31</v>
      </c>
      <c r="G210" t="s">
        <v>43</v>
      </c>
      <c r="H210" t="s">
        <v>1060</v>
      </c>
      <c r="I210">
        <v>23000</v>
      </c>
      <c r="J210">
        <v>12</v>
      </c>
      <c r="K210">
        <v>276000</v>
      </c>
      <c r="L210">
        <v>2</v>
      </c>
      <c r="M210">
        <v>5</v>
      </c>
      <c r="N210">
        <v>6900</v>
      </c>
      <c r="O210">
        <v>88</v>
      </c>
      <c r="P210">
        <v>15</v>
      </c>
      <c r="Q210">
        <v>3</v>
      </c>
      <c r="R210" t="s">
        <v>21</v>
      </c>
      <c r="S210" t="s">
        <v>38</v>
      </c>
      <c r="T210">
        <v>20</v>
      </c>
      <c r="U210">
        <v>5000</v>
      </c>
      <c r="V210" t="s">
        <v>58</v>
      </c>
      <c r="W210" t="s">
        <v>1077</v>
      </c>
      <c r="X210" t="s">
        <v>33</v>
      </c>
      <c r="Y210">
        <v>13</v>
      </c>
    </row>
    <row r="211" spans="1:25">
      <c r="A211" t="s">
        <v>474</v>
      </c>
      <c r="B211" t="s">
        <v>475</v>
      </c>
      <c r="C211">
        <v>25</v>
      </c>
      <c r="D211" t="s">
        <v>46</v>
      </c>
      <c r="E211" t="s">
        <v>17</v>
      </c>
      <c r="F211" t="s">
        <v>36</v>
      </c>
      <c r="G211" t="s">
        <v>43</v>
      </c>
      <c r="H211" t="s">
        <v>1060</v>
      </c>
      <c r="I211">
        <v>24000</v>
      </c>
      <c r="J211">
        <v>12</v>
      </c>
      <c r="K211">
        <v>288000</v>
      </c>
      <c r="L211">
        <v>1</v>
      </c>
      <c r="M211">
        <v>3</v>
      </c>
      <c r="N211">
        <v>7200</v>
      </c>
      <c r="O211">
        <v>88</v>
      </c>
      <c r="P211">
        <v>10</v>
      </c>
      <c r="Q211">
        <v>2</v>
      </c>
      <c r="S211" t="s">
        <v>38</v>
      </c>
      <c r="T211">
        <v>5</v>
      </c>
      <c r="U211">
        <v>1250</v>
      </c>
      <c r="V211" t="s">
        <v>22</v>
      </c>
      <c r="W211" t="s">
        <v>1077</v>
      </c>
      <c r="X211" t="s">
        <v>20</v>
      </c>
      <c r="Y211">
        <v>25</v>
      </c>
    </row>
    <row r="212" spans="1:25">
      <c r="A212" t="s">
        <v>476</v>
      </c>
      <c r="B212" t="s">
        <v>477</v>
      </c>
      <c r="C212">
        <v>51</v>
      </c>
      <c r="D212" t="s">
        <v>25</v>
      </c>
      <c r="E212" t="s">
        <v>57</v>
      </c>
      <c r="F212" t="s">
        <v>66</v>
      </c>
      <c r="G212" t="s">
        <v>1051</v>
      </c>
      <c r="H212" t="s">
        <v>1060</v>
      </c>
      <c r="I212">
        <v>158000</v>
      </c>
      <c r="J212">
        <v>12</v>
      </c>
      <c r="K212">
        <v>1896000</v>
      </c>
      <c r="L212">
        <v>23</v>
      </c>
      <c r="M212">
        <v>3</v>
      </c>
      <c r="N212">
        <v>47400</v>
      </c>
      <c r="O212">
        <v>88</v>
      </c>
      <c r="P212">
        <v>15</v>
      </c>
      <c r="Q212">
        <v>4</v>
      </c>
      <c r="R212" t="s">
        <v>21</v>
      </c>
      <c r="S212" t="s">
        <v>19</v>
      </c>
      <c r="U212" t="s">
        <v>1077</v>
      </c>
      <c r="V212" t="s">
        <v>22</v>
      </c>
      <c r="W212" t="s">
        <v>1077</v>
      </c>
      <c r="X212" t="s">
        <v>33</v>
      </c>
      <c r="Y212">
        <v>20</v>
      </c>
    </row>
    <row r="213" spans="1:25">
      <c r="A213" t="s">
        <v>478</v>
      </c>
      <c r="B213" t="s">
        <v>479</v>
      </c>
      <c r="C213">
        <v>23</v>
      </c>
      <c r="D213" t="s">
        <v>1077</v>
      </c>
      <c r="E213" t="s">
        <v>65</v>
      </c>
      <c r="F213" t="s">
        <v>31</v>
      </c>
      <c r="G213" t="s">
        <v>43</v>
      </c>
      <c r="H213" t="s">
        <v>1060</v>
      </c>
      <c r="I213">
        <v>31500</v>
      </c>
      <c r="J213">
        <v>12</v>
      </c>
      <c r="K213">
        <v>378000</v>
      </c>
      <c r="L213">
        <v>2</v>
      </c>
      <c r="M213">
        <v>2</v>
      </c>
      <c r="N213" t="s">
        <v>1077</v>
      </c>
      <c r="O213">
        <v>85</v>
      </c>
      <c r="P213">
        <v>5</v>
      </c>
      <c r="Q213">
        <v>5</v>
      </c>
      <c r="R213" t="s">
        <v>37</v>
      </c>
      <c r="S213" t="s">
        <v>38</v>
      </c>
      <c r="T213">
        <v>10</v>
      </c>
      <c r="U213">
        <v>2500</v>
      </c>
      <c r="V213" t="s">
        <v>39</v>
      </c>
      <c r="W213" t="s">
        <v>1077</v>
      </c>
      <c r="X213" t="s">
        <v>33</v>
      </c>
      <c r="Y213">
        <v>13</v>
      </c>
    </row>
    <row r="214" spans="1:25">
      <c r="A214" t="s">
        <v>480</v>
      </c>
      <c r="B214" t="s">
        <v>481</v>
      </c>
      <c r="C214">
        <v>29</v>
      </c>
      <c r="D214" t="s">
        <v>46</v>
      </c>
      <c r="E214" t="s">
        <v>65</v>
      </c>
      <c r="F214" t="s">
        <v>31</v>
      </c>
      <c r="G214" t="s">
        <v>1045</v>
      </c>
      <c r="H214" t="s">
        <v>1060</v>
      </c>
      <c r="I214">
        <v>81000</v>
      </c>
      <c r="J214">
        <v>12</v>
      </c>
      <c r="K214">
        <v>972000</v>
      </c>
      <c r="L214">
        <v>6</v>
      </c>
      <c r="M214">
        <v>1</v>
      </c>
      <c r="N214" t="s">
        <v>1077</v>
      </c>
      <c r="O214">
        <v>80</v>
      </c>
      <c r="P214">
        <v>15</v>
      </c>
      <c r="Q214">
        <v>3</v>
      </c>
      <c r="R214" t="s">
        <v>21</v>
      </c>
      <c r="S214" t="s">
        <v>19</v>
      </c>
      <c r="U214">
        <v>0</v>
      </c>
      <c r="V214" t="s">
        <v>39</v>
      </c>
      <c r="W214" t="s">
        <v>1077</v>
      </c>
      <c r="X214" t="s">
        <v>33</v>
      </c>
      <c r="Y214">
        <v>13</v>
      </c>
    </row>
    <row r="215" spans="1:25">
      <c r="A215" t="s">
        <v>482</v>
      </c>
      <c r="B215" t="s">
        <v>483</v>
      </c>
      <c r="C215">
        <v>53</v>
      </c>
      <c r="D215" t="s">
        <v>25</v>
      </c>
      <c r="E215" t="s">
        <v>65</v>
      </c>
      <c r="F215" t="s">
        <v>31</v>
      </c>
      <c r="G215" t="s">
        <v>1051</v>
      </c>
      <c r="H215" t="s">
        <v>1059</v>
      </c>
      <c r="I215">
        <v>152000</v>
      </c>
      <c r="J215">
        <v>12</v>
      </c>
      <c r="K215">
        <v>1824000</v>
      </c>
      <c r="L215">
        <v>21</v>
      </c>
      <c r="M215">
        <v>4</v>
      </c>
      <c r="N215">
        <v>45600</v>
      </c>
      <c r="O215">
        <v>80</v>
      </c>
      <c r="P215">
        <v>15</v>
      </c>
      <c r="Q215">
        <v>3</v>
      </c>
      <c r="S215" t="s">
        <v>28</v>
      </c>
      <c r="U215" t="s">
        <v>1077</v>
      </c>
      <c r="V215" t="s">
        <v>22</v>
      </c>
      <c r="W215" t="s">
        <v>1077</v>
      </c>
      <c r="X215" t="s">
        <v>33</v>
      </c>
      <c r="Y215">
        <v>13</v>
      </c>
    </row>
    <row r="216" spans="1:25">
      <c r="A216" t="s">
        <v>484</v>
      </c>
      <c r="B216" t="s">
        <v>485</v>
      </c>
      <c r="C216">
        <v>51</v>
      </c>
      <c r="D216" t="s">
        <v>25</v>
      </c>
      <c r="E216" t="s">
        <v>73</v>
      </c>
      <c r="F216" t="s">
        <v>27</v>
      </c>
      <c r="G216" t="s">
        <v>1050</v>
      </c>
      <c r="H216" t="s">
        <v>1060</v>
      </c>
      <c r="I216">
        <v>143000</v>
      </c>
      <c r="J216">
        <v>12</v>
      </c>
      <c r="K216">
        <v>1716000</v>
      </c>
      <c r="L216">
        <v>18</v>
      </c>
      <c r="M216">
        <v>4</v>
      </c>
      <c r="N216">
        <v>42900</v>
      </c>
      <c r="O216">
        <v>95</v>
      </c>
      <c r="P216">
        <v>5</v>
      </c>
      <c r="Q216">
        <v>2</v>
      </c>
      <c r="R216" t="s">
        <v>37</v>
      </c>
      <c r="S216" t="s">
        <v>38</v>
      </c>
      <c r="U216" t="s">
        <v>1077</v>
      </c>
      <c r="V216" t="s">
        <v>22</v>
      </c>
      <c r="W216" t="s">
        <v>1077</v>
      </c>
      <c r="X216" t="s">
        <v>20</v>
      </c>
      <c r="Y216">
        <v>12</v>
      </c>
    </row>
    <row r="217" spans="1:25">
      <c r="A217" t="s">
        <v>486</v>
      </c>
      <c r="B217" t="s">
        <v>487</v>
      </c>
      <c r="C217">
        <v>30</v>
      </c>
      <c r="D217" t="s">
        <v>46</v>
      </c>
      <c r="E217" t="s">
        <v>50</v>
      </c>
      <c r="F217" t="s">
        <v>31</v>
      </c>
      <c r="G217" t="s">
        <v>1045</v>
      </c>
      <c r="H217" t="s">
        <v>1060</v>
      </c>
      <c r="I217">
        <v>78000</v>
      </c>
      <c r="J217">
        <v>12</v>
      </c>
      <c r="K217">
        <v>936000</v>
      </c>
      <c r="L217">
        <v>7</v>
      </c>
      <c r="M217">
        <v>4</v>
      </c>
      <c r="N217">
        <v>23400</v>
      </c>
      <c r="O217">
        <v>80</v>
      </c>
      <c r="P217">
        <v>15</v>
      </c>
      <c r="Q217">
        <v>3</v>
      </c>
      <c r="R217" t="s">
        <v>21</v>
      </c>
      <c r="S217" t="s">
        <v>38</v>
      </c>
      <c r="U217">
        <v>0</v>
      </c>
      <c r="V217" t="s">
        <v>22</v>
      </c>
      <c r="W217" t="s">
        <v>1077</v>
      </c>
      <c r="X217" t="s">
        <v>33</v>
      </c>
      <c r="Y217">
        <v>13</v>
      </c>
    </row>
    <row r="218" spans="1:25">
      <c r="A218" t="s">
        <v>488</v>
      </c>
      <c r="B218" t="s">
        <v>489</v>
      </c>
      <c r="C218">
        <v>33</v>
      </c>
      <c r="D218" t="s">
        <v>46</v>
      </c>
      <c r="E218" t="s">
        <v>26</v>
      </c>
      <c r="F218" t="s">
        <v>66</v>
      </c>
      <c r="G218" t="s">
        <v>32</v>
      </c>
      <c r="H218" t="s">
        <v>1060</v>
      </c>
      <c r="I218">
        <v>92600</v>
      </c>
      <c r="J218">
        <v>12</v>
      </c>
      <c r="K218">
        <v>1111200</v>
      </c>
      <c r="L218">
        <v>11</v>
      </c>
      <c r="M218">
        <v>5</v>
      </c>
      <c r="N218">
        <v>27780</v>
      </c>
      <c r="O218">
        <v>80</v>
      </c>
      <c r="P218">
        <v>5</v>
      </c>
      <c r="Q218">
        <v>5</v>
      </c>
      <c r="R218" t="s">
        <v>37</v>
      </c>
      <c r="S218" t="s">
        <v>38</v>
      </c>
      <c r="T218">
        <v>5</v>
      </c>
      <c r="U218">
        <v>1750</v>
      </c>
      <c r="V218" t="s">
        <v>58</v>
      </c>
      <c r="W218" t="s">
        <v>1077</v>
      </c>
      <c r="X218" t="s">
        <v>33</v>
      </c>
      <c r="Y218">
        <v>20</v>
      </c>
    </row>
    <row r="219" spans="1:25">
      <c r="A219" t="s">
        <v>490</v>
      </c>
      <c r="B219" t="s">
        <v>491</v>
      </c>
      <c r="C219">
        <v>25</v>
      </c>
      <c r="D219" t="s">
        <v>46</v>
      </c>
      <c r="E219" t="s">
        <v>50</v>
      </c>
      <c r="F219" t="s">
        <v>36</v>
      </c>
      <c r="G219" t="s">
        <v>43</v>
      </c>
      <c r="H219" t="s">
        <v>1060</v>
      </c>
      <c r="I219">
        <v>24000</v>
      </c>
      <c r="J219">
        <v>12</v>
      </c>
      <c r="K219">
        <v>288000</v>
      </c>
      <c r="L219">
        <v>1</v>
      </c>
      <c r="M219">
        <v>2</v>
      </c>
      <c r="N219" t="s">
        <v>1077</v>
      </c>
      <c r="O219">
        <v>95</v>
      </c>
      <c r="P219">
        <v>15</v>
      </c>
      <c r="Q219">
        <v>5</v>
      </c>
      <c r="S219" t="s">
        <v>38</v>
      </c>
      <c r="U219">
        <v>0</v>
      </c>
      <c r="V219" t="s">
        <v>39</v>
      </c>
      <c r="W219" t="s">
        <v>1077</v>
      </c>
      <c r="X219" t="s">
        <v>20</v>
      </c>
      <c r="Y219">
        <v>25</v>
      </c>
    </row>
    <row r="220" spans="1:25">
      <c r="A220" t="s">
        <v>492</v>
      </c>
      <c r="B220" t="s">
        <v>493</v>
      </c>
      <c r="C220">
        <v>23</v>
      </c>
      <c r="D220" t="s">
        <v>25</v>
      </c>
      <c r="E220" t="s">
        <v>35</v>
      </c>
      <c r="F220" t="s">
        <v>27</v>
      </c>
      <c r="G220" t="s">
        <v>43</v>
      </c>
      <c r="H220" t="s">
        <v>1060</v>
      </c>
      <c r="I220">
        <v>24000</v>
      </c>
      <c r="J220">
        <v>12</v>
      </c>
      <c r="K220">
        <v>288000</v>
      </c>
      <c r="L220">
        <v>1</v>
      </c>
      <c r="M220">
        <v>5</v>
      </c>
      <c r="N220">
        <v>7200</v>
      </c>
      <c r="O220">
        <v>90</v>
      </c>
      <c r="P220">
        <v>5</v>
      </c>
      <c r="Q220">
        <v>1</v>
      </c>
      <c r="R220" t="s">
        <v>37</v>
      </c>
      <c r="S220" t="s">
        <v>38</v>
      </c>
      <c r="U220">
        <v>0</v>
      </c>
      <c r="V220" t="s">
        <v>58</v>
      </c>
      <c r="W220" t="s">
        <v>1077</v>
      </c>
      <c r="X220" t="s">
        <v>20</v>
      </c>
      <c r="Y220">
        <v>12</v>
      </c>
    </row>
    <row r="221" spans="1:25">
      <c r="A221" t="s">
        <v>494</v>
      </c>
      <c r="B221" t="s">
        <v>495</v>
      </c>
      <c r="C221">
        <v>23</v>
      </c>
      <c r="D221" t="s">
        <v>25</v>
      </c>
      <c r="E221" t="s">
        <v>65</v>
      </c>
      <c r="F221" t="s">
        <v>27</v>
      </c>
      <c r="G221" t="s">
        <v>43</v>
      </c>
      <c r="H221" t="s">
        <v>1060</v>
      </c>
      <c r="I221">
        <v>24000</v>
      </c>
      <c r="J221">
        <v>12</v>
      </c>
      <c r="K221">
        <v>288000</v>
      </c>
      <c r="L221">
        <v>1</v>
      </c>
      <c r="M221">
        <v>1</v>
      </c>
      <c r="N221" t="s">
        <v>1077</v>
      </c>
      <c r="O221">
        <v>85</v>
      </c>
      <c r="P221">
        <v>10</v>
      </c>
      <c r="Q221">
        <v>3</v>
      </c>
      <c r="R221" t="s">
        <v>37</v>
      </c>
      <c r="S221" t="s">
        <v>38</v>
      </c>
      <c r="U221">
        <v>0</v>
      </c>
      <c r="V221" t="s">
        <v>39</v>
      </c>
      <c r="W221" t="s">
        <v>1077</v>
      </c>
      <c r="X221" t="s">
        <v>20</v>
      </c>
      <c r="Y221">
        <v>12</v>
      </c>
    </row>
    <row r="222" spans="1:25">
      <c r="A222" t="s">
        <v>496</v>
      </c>
      <c r="B222" t="s">
        <v>497</v>
      </c>
      <c r="C222">
        <v>23</v>
      </c>
      <c r="D222" t="s">
        <v>25</v>
      </c>
      <c r="E222" t="s">
        <v>64</v>
      </c>
      <c r="F222" t="s">
        <v>36</v>
      </c>
      <c r="G222" t="s">
        <v>43</v>
      </c>
      <c r="H222" t="s">
        <v>1060</v>
      </c>
      <c r="I222">
        <v>31500</v>
      </c>
      <c r="J222">
        <v>12</v>
      </c>
      <c r="K222">
        <v>378000</v>
      </c>
      <c r="L222">
        <v>2</v>
      </c>
      <c r="M222">
        <v>1</v>
      </c>
      <c r="N222" t="s">
        <v>1077</v>
      </c>
      <c r="O222">
        <v>90</v>
      </c>
      <c r="P222">
        <v>12</v>
      </c>
      <c r="Q222">
        <v>3</v>
      </c>
      <c r="S222" t="s">
        <v>38</v>
      </c>
      <c r="T222">
        <v>10</v>
      </c>
      <c r="U222">
        <v>2500</v>
      </c>
      <c r="V222" t="s">
        <v>39</v>
      </c>
      <c r="W222" t="s">
        <v>1077</v>
      </c>
      <c r="X222" t="s">
        <v>20</v>
      </c>
      <c r="Y222">
        <v>25</v>
      </c>
    </row>
    <row r="223" spans="1:25">
      <c r="A223" t="s">
        <v>498</v>
      </c>
      <c r="B223" t="s">
        <v>499</v>
      </c>
      <c r="C223">
        <v>23</v>
      </c>
      <c r="D223" t="s">
        <v>1077</v>
      </c>
      <c r="E223" t="s">
        <v>61</v>
      </c>
      <c r="F223" t="s">
        <v>66</v>
      </c>
      <c r="G223" t="s">
        <v>43</v>
      </c>
      <c r="H223" t="s">
        <v>1060</v>
      </c>
      <c r="I223">
        <v>24000</v>
      </c>
      <c r="J223">
        <v>12</v>
      </c>
      <c r="K223">
        <v>288000</v>
      </c>
      <c r="L223">
        <v>1</v>
      </c>
      <c r="M223">
        <v>1</v>
      </c>
      <c r="N223" t="s">
        <v>1077</v>
      </c>
      <c r="O223">
        <v>88</v>
      </c>
      <c r="P223">
        <v>12</v>
      </c>
      <c r="Q223">
        <v>3</v>
      </c>
      <c r="R223" t="s">
        <v>37</v>
      </c>
      <c r="S223" t="s">
        <v>38</v>
      </c>
      <c r="T223">
        <v>5</v>
      </c>
      <c r="U223">
        <v>1250</v>
      </c>
      <c r="V223" t="s">
        <v>39</v>
      </c>
      <c r="W223" t="s">
        <v>1077</v>
      </c>
      <c r="X223" t="s">
        <v>33</v>
      </c>
      <c r="Y223">
        <v>20</v>
      </c>
    </row>
    <row r="224" spans="1:25">
      <c r="A224" t="s">
        <v>500</v>
      </c>
      <c r="B224" t="s">
        <v>501</v>
      </c>
      <c r="C224">
        <v>25</v>
      </c>
      <c r="D224" t="s">
        <v>46</v>
      </c>
      <c r="E224" t="s">
        <v>47</v>
      </c>
      <c r="F224" t="s">
        <v>66</v>
      </c>
      <c r="G224" t="s">
        <v>43</v>
      </c>
      <c r="H224" t="s">
        <v>1060</v>
      </c>
      <c r="I224">
        <v>31000</v>
      </c>
      <c r="J224">
        <v>12</v>
      </c>
      <c r="K224">
        <v>372000</v>
      </c>
      <c r="L224">
        <v>2</v>
      </c>
      <c r="M224">
        <v>1</v>
      </c>
      <c r="N224" t="s">
        <v>1077</v>
      </c>
      <c r="O224">
        <v>80</v>
      </c>
      <c r="P224">
        <v>15</v>
      </c>
      <c r="Q224">
        <v>5</v>
      </c>
      <c r="R224" t="s">
        <v>21</v>
      </c>
      <c r="S224" t="s">
        <v>38</v>
      </c>
      <c r="T224">
        <v>10</v>
      </c>
      <c r="U224">
        <v>2500</v>
      </c>
      <c r="V224" t="s">
        <v>39</v>
      </c>
      <c r="W224" t="s">
        <v>1077</v>
      </c>
      <c r="X224" t="s">
        <v>33</v>
      </c>
      <c r="Y224">
        <v>20</v>
      </c>
    </row>
    <row r="225" spans="1:25">
      <c r="A225" t="s">
        <v>502</v>
      </c>
      <c r="B225" t="s">
        <v>503</v>
      </c>
      <c r="C225">
        <v>24</v>
      </c>
      <c r="D225" t="s">
        <v>46</v>
      </c>
      <c r="E225" t="s">
        <v>61</v>
      </c>
      <c r="F225" t="s">
        <v>18</v>
      </c>
      <c r="G225" t="s">
        <v>43</v>
      </c>
      <c r="H225" t="s">
        <v>1060</v>
      </c>
      <c r="I225">
        <v>24000</v>
      </c>
      <c r="J225">
        <v>12</v>
      </c>
      <c r="K225">
        <v>288000</v>
      </c>
      <c r="L225">
        <v>1</v>
      </c>
      <c r="M225">
        <v>1</v>
      </c>
      <c r="N225" t="s">
        <v>1077</v>
      </c>
      <c r="O225">
        <v>90</v>
      </c>
      <c r="P225">
        <v>12</v>
      </c>
      <c r="Q225">
        <v>5</v>
      </c>
      <c r="R225" t="s">
        <v>37</v>
      </c>
      <c r="S225" t="s">
        <v>38</v>
      </c>
      <c r="T225">
        <v>10</v>
      </c>
      <c r="U225">
        <v>2500</v>
      </c>
      <c r="V225" t="s">
        <v>39</v>
      </c>
      <c r="W225" t="s">
        <v>1077</v>
      </c>
      <c r="X225" t="s">
        <v>20</v>
      </c>
      <c r="Y225">
        <v>10</v>
      </c>
    </row>
    <row r="226" spans="1:25">
      <c r="A226" t="s">
        <v>504</v>
      </c>
      <c r="B226" t="s">
        <v>505</v>
      </c>
      <c r="C226">
        <v>24</v>
      </c>
      <c r="D226" t="s">
        <v>25</v>
      </c>
      <c r="E226" t="s">
        <v>73</v>
      </c>
      <c r="F226" t="s">
        <v>66</v>
      </c>
      <c r="G226" t="s">
        <v>43</v>
      </c>
      <c r="H226" t="s">
        <v>1060</v>
      </c>
      <c r="I226">
        <v>31000</v>
      </c>
      <c r="J226">
        <v>12</v>
      </c>
      <c r="K226">
        <v>372000</v>
      </c>
      <c r="L226">
        <v>2</v>
      </c>
      <c r="M226">
        <v>1</v>
      </c>
      <c r="N226" t="s">
        <v>1077</v>
      </c>
      <c r="O226">
        <v>90</v>
      </c>
      <c r="P226">
        <v>12</v>
      </c>
      <c r="Q226">
        <v>3</v>
      </c>
      <c r="R226" t="s">
        <v>21</v>
      </c>
      <c r="S226" t="s">
        <v>38</v>
      </c>
      <c r="T226">
        <v>10</v>
      </c>
      <c r="U226">
        <v>2500</v>
      </c>
      <c r="V226" t="s">
        <v>39</v>
      </c>
      <c r="W226" t="s">
        <v>1077</v>
      </c>
      <c r="X226" t="s">
        <v>33</v>
      </c>
      <c r="Y226">
        <v>20</v>
      </c>
    </row>
    <row r="227" spans="1:25">
      <c r="A227" t="s">
        <v>506</v>
      </c>
      <c r="B227" t="s">
        <v>507</v>
      </c>
      <c r="C227">
        <v>23</v>
      </c>
      <c r="D227" t="s">
        <v>1077</v>
      </c>
      <c r="E227" t="s">
        <v>61</v>
      </c>
      <c r="F227" t="s">
        <v>18</v>
      </c>
      <c r="G227" t="s">
        <v>43</v>
      </c>
      <c r="H227" t="s">
        <v>1060</v>
      </c>
      <c r="I227">
        <v>24000</v>
      </c>
      <c r="J227">
        <v>12</v>
      </c>
      <c r="K227">
        <v>288000</v>
      </c>
      <c r="L227">
        <v>1</v>
      </c>
      <c r="M227">
        <v>4</v>
      </c>
      <c r="N227">
        <v>7200</v>
      </c>
      <c r="O227">
        <v>85</v>
      </c>
      <c r="P227">
        <v>12</v>
      </c>
      <c r="Q227">
        <v>2</v>
      </c>
      <c r="R227" t="s">
        <v>21</v>
      </c>
      <c r="S227" t="s">
        <v>38</v>
      </c>
      <c r="T227">
        <v>5</v>
      </c>
      <c r="U227">
        <v>1250</v>
      </c>
      <c r="V227" t="s">
        <v>22</v>
      </c>
      <c r="W227" t="s">
        <v>1077</v>
      </c>
      <c r="X227" t="s">
        <v>20</v>
      </c>
      <c r="Y227">
        <v>10</v>
      </c>
    </row>
    <row r="228" spans="1:25">
      <c r="A228" t="s">
        <v>508</v>
      </c>
      <c r="B228" t="s">
        <v>509</v>
      </c>
      <c r="C228">
        <v>23</v>
      </c>
      <c r="D228" t="s">
        <v>46</v>
      </c>
      <c r="E228" t="s">
        <v>64</v>
      </c>
      <c r="F228" t="s">
        <v>66</v>
      </c>
      <c r="G228" t="s">
        <v>43</v>
      </c>
      <c r="H228" t="s">
        <v>1060</v>
      </c>
      <c r="I228">
        <v>31000</v>
      </c>
      <c r="J228">
        <v>12</v>
      </c>
      <c r="K228">
        <v>372000</v>
      </c>
      <c r="L228">
        <v>2</v>
      </c>
      <c r="M228">
        <v>3</v>
      </c>
      <c r="N228">
        <v>9300</v>
      </c>
      <c r="O228">
        <v>95</v>
      </c>
      <c r="P228">
        <v>12</v>
      </c>
      <c r="Q228">
        <v>5</v>
      </c>
      <c r="S228" t="s">
        <v>38</v>
      </c>
      <c r="T228">
        <v>20</v>
      </c>
      <c r="U228">
        <v>5000</v>
      </c>
      <c r="V228" t="s">
        <v>22</v>
      </c>
      <c r="W228" t="s">
        <v>1077</v>
      </c>
      <c r="X228" t="s">
        <v>33</v>
      </c>
      <c r="Y228">
        <v>20</v>
      </c>
    </row>
    <row r="229" spans="1:25">
      <c r="A229" t="s">
        <v>510</v>
      </c>
      <c r="B229" t="s">
        <v>511</v>
      </c>
      <c r="C229">
        <v>25</v>
      </c>
      <c r="D229" t="s">
        <v>1077</v>
      </c>
      <c r="E229" t="s">
        <v>65</v>
      </c>
      <c r="F229" t="s">
        <v>66</v>
      </c>
      <c r="G229" t="s">
        <v>43</v>
      </c>
      <c r="H229" t="s">
        <v>1060</v>
      </c>
      <c r="I229">
        <v>24000</v>
      </c>
      <c r="J229">
        <v>12</v>
      </c>
      <c r="K229">
        <v>288000</v>
      </c>
      <c r="L229">
        <v>1</v>
      </c>
      <c r="M229">
        <v>1</v>
      </c>
      <c r="N229" t="s">
        <v>1077</v>
      </c>
      <c r="O229">
        <v>85</v>
      </c>
      <c r="P229">
        <v>12</v>
      </c>
      <c r="Q229">
        <v>1</v>
      </c>
      <c r="S229" t="s">
        <v>38</v>
      </c>
      <c r="T229">
        <v>10</v>
      </c>
      <c r="U229">
        <v>2500</v>
      </c>
      <c r="V229" t="s">
        <v>39</v>
      </c>
      <c r="W229" t="s">
        <v>1077</v>
      </c>
      <c r="X229" t="s">
        <v>33</v>
      </c>
      <c r="Y229">
        <v>20</v>
      </c>
    </row>
    <row r="230" spans="1:25">
      <c r="A230" t="s">
        <v>512</v>
      </c>
      <c r="B230" t="s">
        <v>513</v>
      </c>
      <c r="C230">
        <v>24</v>
      </c>
      <c r="D230" t="s">
        <v>1077</v>
      </c>
      <c r="E230" t="s">
        <v>50</v>
      </c>
      <c r="F230" t="s">
        <v>31</v>
      </c>
      <c r="G230" t="s">
        <v>43</v>
      </c>
      <c r="H230" t="s">
        <v>1060</v>
      </c>
      <c r="I230">
        <v>24000</v>
      </c>
      <c r="J230">
        <v>12</v>
      </c>
      <c r="K230">
        <v>288000</v>
      </c>
      <c r="L230">
        <v>1</v>
      </c>
      <c r="M230">
        <v>2</v>
      </c>
      <c r="N230" t="s">
        <v>1077</v>
      </c>
      <c r="O230">
        <v>95</v>
      </c>
      <c r="P230">
        <v>12</v>
      </c>
      <c r="Q230">
        <v>5</v>
      </c>
      <c r="S230" t="s">
        <v>38</v>
      </c>
      <c r="T230">
        <v>5</v>
      </c>
      <c r="U230">
        <v>1250</v>
      </c>
      <c r="V230" t="s">
        <v>39</v>
      </c>
      <c r="W230" t="s">
        <v>1077</v>
      </c>
      <c r="X230" t="s">
        <v>33</v>
      </c>
      <c r="Y230">
        <v>13</v>
      </c>
    </row>
    <row r="231" spans="1:25">
      <c r="A231" t="s">
        <v>514</v>
      </c>
      <c r="B231" t="s">
        <v>515</v>
      </c>
      <c r="C231">
        <v>23</v>
      </c>
      <c r="D231" t="s">
        <v>25</v>
      </c>
      <c r="E231" t="s">
        <v>57</v>
      </c>
      <c r="F231" t="s">
        <v>31</v>
      </c>
      <c r="G231" t="s">
        <v>43</v>
      </c>
      <c r="H231" t="s">
        <v>1060</v>
      </c>
      <c r="I231">
        <v>31000</v>
      </c>
      <c r="J231">
        <v>12</v>
      </c>
      <c r="K231">
        <v>372000</v>
      </c>
      <c r="L231">
        <v>2</v>
      </c>
      <c r="M231">
        <v>1</v>
      </c>
      <c r="N231" t="s">
        <v>1077</v>
      </c>
      <c r="O231">
        <v>90</v>
      </c>
      <c r="P231">
        <v>5</v>
      </c>
      <c r="Q231">
        <v>1</v>
      </c>
      <c r="R231" t="s">
        <v>37</v>
      </c>
      <c r="S231" t="s">
        <v>38</v>
      </c>
      <c r="T231">
        <v>5</v>
      </c>
      <c r="U231">
        <v>1250</v>
      </c>
      <c r="V231" t="s">
        <v>39</v>
      </c>
      <c r="W231" t="s">
        <v>1077</v>
      </c>
      <c r="X231" t="s">
        <v>33</v>
      </c>
      <c r="Y231">
        <v>13</v>
      </c>
    </row>
    <row r="232" spans="1:25">
      <c r="A232" t="s">
        <v>516</v>
      </c>
      <c r="B232" t="s">
        <v>517</v>
      </c>
      <c r="C232">
        <v>34</v>
      </c>
      <c r="D232" t="s">
        <v>25</v>
      </c>
      <c r="E232" t="s">
        <v>26</v>
      </c>
      <c r="F232" t="s">
        <v>18</v>
      </c>
      <c r="G232" t="s">
        <v>32</v>
      </c>
      <c r="H232" t="s">
        <v>1060</v>
      </c>
      <c r="I232">
        <v>91000</v>
      </c>
      <c r="J232">
        <v>12</v>
      </c>
      <c r="K232">
        <v>1092000</v>
      </c>
      <c r="L232">
        <v>12</v>
      </c>
      <c r="M232">
        <v>3</v>
      </c>
      <c r="N232">
        <v>27300</v>
      </c>
      <c r="O232">
        <v>88</v>
      </c>
      <c r="P232">
        <v>5</v>
      </c>
      <c r="Q232">
        <v>3</v>
      </c>
      <c r="R232" t="s">
        <v>21</v>
      </c>
      <c r="S232" t="s">
        <v>19</v>
      </c>
      <c r="T232">
        <v>20</v>
      </c>
      <c r="U232">
        <v>7000</v>
      </c>
      <c r="V232" t="s">
        <v>22</v>
      </c>
      <c r="W232" t="s">
        <v>1077</v>
      </c>
      <c r="X232" t="s">
        <v>20</v>
      </c>
      <c r="Y232">
        <v>10</v>
      </c>
    </row>
    <row r="233" spans="1:25">
      <c r="A233" t="s">
        <v>518</v>
      </c>
      <c r="B233" t="s">
        <v>519</v>
      </c>
      <c r="C233">
        <v>25</v>
      </c>
      <c r="D233" t="s">
        <v>25</v>
      </c>
      <c r="E233" t="s">
        <v>26</v>
      </c>
      <c r="F233" t="s">
        <v>27</v>
      </c>
      <c r="G233" t="s">
        <v>43</v>
      </c>
      <c r="H233" t="s">
        <v>1060</v>
      </c>
      <c r="I233">
        <v>31000</v>
      </c>
      <c r="J233">
        <v>12</v>
      </c>
      <c r="K233">
        <v>372000</v>
      </c>
      <c r="L233">
        <v>2</v>
      </c>
      <c r="M233">
        <v>2</v>
      </c>
      <c r="N233" t="s">
        <v>1077</v>
      </c>
      <c r="O233">
        <v>95</v>
      </c>
      <c r="P233">
        <v>10</v>
      </c>
      <c r="Q233">
        <v>1</v>
      </c>
      <c r="S233" t="s">
        <v>38</v>
      </c>
      <c r="T233">
        <v>10</v>
      </c>
      <c r="U233">
        <v>2500</v>
      </c>
      <c r="V233" t="s">
        <v>39</v>
      </c>
      <c r="W233" t="s">
        <v>1077</v>
      </c>
      <c r="X233" t="s">
        <v>20</v>
      </c>
      <c r="Y233">
        <v>12</v>
      </c>
    </row>
    <row r="234" spans="1:25">
      <c r="A234" t="s">
        <v>520</v>
      </c>
      <c r="B234" t="s">
        <v>521</v>
      </c>
      <c r="C234">
        <v>25</v>
      </c>
      <c r="D234" t="s">
        <v>46</v>
      </c>
      <c r="E234" t="s">
        <v>35</v>
      </c>
      <c r="F234" t="s">
        <v>42</v>
      </c>
      <c r="G234" t="s">
        <v>43</v>
      </c>
      <c r="H234" t="s">
        <v>1060</v>
      </c>
      <c r="I234">
        <v>31000</v>
      </c>
      <c r="J234">
        <v>12</v>
      </c>
      <c r="K234">
        <v>372000</v>
      </c>
      <c r="L234">
        <v>2</v>
      </c>
      <c r="M234">
        <v>4</v>
      </c>
      <c r="N234">
        <v>9300</v>
      </c>
      <c r="O234">
        <v>80</v>
      </c>
      <c r="P234">
        <v>15</v>
      </c>
      <c r="Q234">
        <v>6</v>
      </c>
      <c r="R234" t="s">
        <v>21</v>
      </c>
      <c r="S234" t="s">
        <v>38</v>
      </c>
      <c r="T234">
        <v>20</v>
      </c>
      <c r="U234">
        <v>5000</v>
      </c>
      <c r="V234" t="s">
        <v>22</v>
      </c>
      <c r="W234" t="s">
        <v>1077</v>
      </c>
      <c r="X234" t="s">
        <v>20</v>
      </c>
      <c r="Y234">
        <v>14</v>
      </c>
    </row>
    <row r="235" spans="1:25">
      <c r="A235" t="s">
        <v>522</v>
      </c>
      <c r="B235" t="s">
        <v>523</v>
      </c>
      <c r="C235">
        <v>24</v>
      </c>
      <c r="D235" t="s">
        <v>46</v>
      </c>
      <c r="E235" t="s">
        <v>57</v>
      </c>
      <c r="F235" t="s">
        <v>31</v>
      </c>
      <c r="G235" t="s">
        <v>43</v>
      </c>
      <c r="H235" t="s">
        <v>1060</v>
      </c>
      <c r="I235">
        <v>24000</v>
      </c>
      <c r="J235">
        <v>12</v>
      </c>
      <c r="K235">
        <v>288000</v>
      </c>
      <c r="L235">
        <v>1</v>
      </c>
      <c r="M235">
        <v>4</v>
      </c>
      <c r="N235">
        <v>7200</v>
      </c>
      <c r="O235">
        <v>88</v>
      </c>
      <c r="P235">
        <v>10</v>
      </c>
      <c r="Q235">
        <v>7</v>
      </c>
      <c r="R235" t="s">
        <v>37</v>
      </c>
      <c r="S235" t="s">
        <v>38</v>
      </c>
      <c r="T235">
        <v>20</v>
      </c>
      <c r="U235">
        <v>5000</v>
      </c>
      <c r="V235" t="s">
        <v>58</v>
      </c>
      <c r="W235" t="s">
        <v>1077</v>
      </c>
      <c r="X235" t="s">
        <v>33</v>
      </c>
      <c r="Y235">
        <v>13</v>
      </c>
    </row>
    <row r="236" spans="1:25">
      <c r="A236" t="s">
        <v>524</v>
      </c>
      <c r="B236" t="s">
        <v>525</v>
      </c>
      <c r="C236">
        <v>24</v>
      </c>
      <c r="D236" t="s">
        <v>25</v>
      </c>
      <c r="E236" t="s">
        <v>35</v>
      </c>
      <c r="F236" t="s">
        <v>66</v>
      </c>
      <c r="G236" t="s">
        <v>43</v>
      </c>
      <c r="H236" t="s">
        <v>1060</v>
      </c>
      <c r="I236">
        <v>24000</v>
      </c>
      <c r="J236">
        <v>12</v>
      </c>
      <c r="K236">
        <v>288000</v>
      </c>
      <c r="L236">
        <v>1</v>
      </c>
      <c r="M236">
        <v>1</v>
      </c>
      <c r="N236" t="s">
        <v>1077</v>
      </c>
      <c r="O236">
        <v>85</v>
      </c>
      <c r="P236">
        <v>10</v>
      </c>
      <c r="Q236">
        <v>10</v>
      </c>
      <c r="R236" t="s">
        <v>37</v>
      </c>
      <c r="S236" t="s">
        <v>38</v>
      </c>
      <c r="T236">
        <v>10</v>
      </c>
      <c r="U236">
        <v>2500</v>
      </c>
      <c r="V236" t="s">
        <v>39</v>
      </c>
      <c r="W236" t="s">
        <v>1077</v>
      </c>
      <c r="X236" t="s">
        <v>33</v>
      </c>
      <c r="Y236">
        <v>20</v>
      </c>
    </row>
    <row r="237" spans="1:25">
      <c r="A237" t="s">
        <v>526</v>
      </c>
      <c r="B237" t="s">
        <v>527</v>
      </c>
      <c r="C237">
        <v>23</v>
      </c>
      <c r="D237" t="s">
        <v>25</v>
      </c>
      <c r="E237" t="s">
        <v>17</v>
      </c>
      <c r="F237" t="s">
        <v>66</v>
      </c>
      <c r="G237" t="s">
        <v>43</v>
      </c>
      <c r="H237" t="s">
        <v>1060</v>
      </c>
      <c r="I237">
        <v>24000</v>
      </c>
      <c r="J237">
        <v>12</v>
      </c>
      <c r="K237">
        <v>288000</v>
      </c>
      <c r="L237">
        <v>1</v>
      </c>
      <c r="M237">
        <v>3</v>
      </c>
      <c r="N237">
        <v>7200</v>
      </c>
      <c r="O237">
        <v>95</v>
      </c>
      <c r="P237">
        <v>15</v>
      </c>
      <c r="Q237">
        <v>2</v>
      </c>
      <c r="R237" t="s">
        <v>21</v>
      </c>
      <c r="S237" t="s">
        <v>38</v>
      </c>
      <c r="T237">
        <v>5</v>
      </c>
      <c r="U237">
        <v>1250</v>
      </c>
      <c r="V237" t="s">
        <v>22</v>
      </c>
      <c r="W237" t="s">
        <v>1077</v>
      </c>
      <c r="X237" t="s">
        <v>33</v>
      </c>
      <c r="Y237">
        <v>20</v>
      </c>
    </row>
    <row r="238" spans="1:25">
      <c r="A238" t="s">
        <v>528</v>
      </c>
      <c r="B238" t="s">
        <v>529</v>
      </c>
      <c r="C238">
        <v>23</v>
      </c>
      <c r="D238" t="s">
        <v>1077</v>
      </c>
      <c r="E238" t="s">
        <v>73</v>
      </c>
      <c r="F238" t="s">
        <v>18</v>
      </c>
      <c r="G238" t="s">
        <v>43</v>
      </c>
      <c r="H238" t="s">
        <v>1060</v>
      </c>
      <c r="I238">
        <v>31000</v>
      </c>
      <c r="J238">
        <v>12</v>
      </c>
      <c r="K238">
        <v>372000</v>
      </c>
      <c r="L238">
        <v>2</v>
      </c>
      <c r="M238">
        <v>1</v>
      </c>
      <c r="N238" t="s">
        <v>1077</v>
      </c>
      <c r="O238">
        <v>85</v>
      </c>
      <c r="P238">
        <v>12</v>
      </c>
      <c r="Q238">
        <v>10</v>
      </c>
      <c r="R238" t="s">
        <v>37</v>
      </c>
      <c r="S238" t="s">
        <v>38</v>
      </c>
      <c r="T238">
        <v>20</v>
      </c>
      <c r="U238">
        <v>5000</v>
      </c>
      <c r="V238" t="s">
        <v>39</v>
      </c>
      <c r="W238" t="s">
        <v>1077</v>
      </c>
      <c r="X238" t="s">
        <v>20</v>
      </c>
      <c r="Y238">
        <v>10</v>
      </c>
    </row>
    <row r="239" spans="1:25">
      <c r="A239" t="s">
        <v>530</v>
      </c>
      <c r="B239" t="s">
        <v>531</v>
      </c>
      <c r="C239">
        <v>25</v>
      </c>
      <c r="D239" t="s">
        <v>1077</v>
      </c>
      <c r="E239" t="s">
        <v>73</v>
      </c>
      <c r="F239" t="s">
        <v>42</v>
      </c>
      <c r="G239" t="s">
        <v>43</v>
      </c>
      <c r="H239" t="s">
        <v>1060</v>
      </c>
      <c r="I239">
        <v>31000</v>
      </c>
      <c r="J239">
        <v>12</v>
      </c>
      <c r="K239">
        <v>372000</v>
      </c>
      <c r="L239">
        <v>2</v>
      </c>
      <c r="M239">
        <v>1</v>
      </c>
      <c r="N239" t="s">
        <v>1077</v>
      </c>
      <c r="O239">
        <v>95</v>
      </c>
      <c r="P239">
        <v>15</v>
      </c>
      <c r="Q239">
        <v>5</v>
      </c>
      <c r="S239" t="s">
        <v>38</v>
      </c>
      <c r="T239">
        <v>10</v>
      </c>
      <c r="U239">
        <v>2500</v>
      </c>
      <c r="V239" t="s">
        <v>39</v>
      </c>
      <c r="W239" t="s">
        <v>1077</v>
      </c>
      <c r="X239" t="s">
        <v>20</v>
      </c>
      <c r="Y239">
        <v>14</v>
      </c>
    </row>
    <row r="240" spans="1:25">
      <c r="A240" t="s">
        <v>532</v>
      </c>
      <c r="B240" t="s">
        <v>533</v>
      </c>
      <c r="C240">
        <v>47</v>
      </c>
      <c r="D240" t="s">
        <v>46</v>
      </c>
      <c r="E240" t="s">
        <v>26</v>
      </c>
      <c r="F240" t="s">
        <v>27</v>
      </c>
      <c r="G240" t="s">
        <v>1050</v>
      </c>
      <c r="H240" t="s">
        <v>1060</v>
      </c>
      <c r="I240">
        <v>148000</v>
      </c>
      <c r="J240">
        <v>12</v>
      </c>
      <c r="K240">
        <v>1776000</v>
      </c>
      <c r="L240">
        <v>16</v>
      </c>
      <c r="M240">
        <v>4</v>
      </c>
      <c r="N240">
        <v>44400</v>
      </c>
      <c r="O240">
        <v>80</v>
      </c>
      <c r="P240">
        <v>5</v>
      </c>
      <c r="Q240">
        <v>2</v>
      </c>
      <c r="S240" t="s">
        <v>38</v>
      </c>
      <c r="U240" t="s">
        <v>1077</v>
      </c>
      <c r="V240" t="s">
        <v>22</v>
      </c>
      <c r="W240" t="s">
        <v>1077</v>
      </c>
      <c r="X240" t="s">
        <v>20</v>
      </c>
      <c r="Y240">
        <v>12</v>
      </c>
    </row>
    <row r="241" spans="1:25">
      <c r="A241" t="s">
        <v>534</v>
      </c>
      <c r="B241" t="s">
        <v>535</v>
      </c>
      <c r="C241">
        <v>27</v>
      </c>
      <c r="D241" t="s">
        <v>25</v>
      </c>
      <c r="E241" t="s">
        <v>57</v>
      </c>
      <c r="F241" t="s">
        <v>36</v>
      </c>
      <c r="G241" t="s">
        <v>1048</v>
      </c>
      <c r="H241" t="s">
        <v>1060</v>
      </c>
      <c r="I241">
        <v>68000</v>
      </c>
      <c r="J241">
        <v>12</v>
      </c>
      <c r="K241">
        <v>816000</v>
      </c>
      <c r="L241">
        <v>5</v>
      </c>
      <c r="M241">
        <v>4</v>
      </c>
      <c r="N241">
        <v>20400</v>
      </c>
      <c r="O241">
        <v>88</v>
      </c>
      <c r="P241">
        <v>10</v>
      </c>
      <c r="Q241">
        <v>5</v>
      </c>
      <c r="S241" t="s">
        <v>19</v>
      </c>
      <c r="T241">
        <v>20</v>
      </c>
      <c r="U241">
        <v>6000</v>
      </c>
      <c r="V241" t="s">
        <v>22</v>
      </c>
      <c r="W241" t="s">
        <v>1077</v>
      </c>
      <c r="X241" t="s">
        <v>20</v>
      </c>
      <c r="Y241">
        <v>25</v>
      </c>
    </row>
    <row r="242" spans="1:25">
      <c r="A242" t="s">
        <v>536</v>
      </c>
      <c r="B242" t="s">
        <v>537</v>
      </c>
      <c r="C242">
        <v>40</v>
      </c>
      <c r="D242" t="s">
        <v>46</v>
      </c>
      <c r="E242" t="s">
        <v>35</v>
      </c>
      <c r="F242" t="s">
        <v>42</v>
      </c>
      <c r="G242" t="s">
        <v>1045</v>
      </c>
      <c r="H242" t="s">
        <v>1060</v>
      </c>
      <c r="I242">
        <v>78000</v>
      </c>
      <c r="J242">
        <v>12</v>
      </c>
      <c r="K242">
        <v>936000</v>
      </c>
      <c r="L242">
        <v>7</v>
      </c>
      <c r="M242">
        <v>4</v>
      </c>
      <c r="N242">
        <v>23400</v>
      </c>
      <c r="O242">
        <v>85</v>
      </c>
      <c r="P242">
        <v>12</v>
      </c>
      <c r="Q242">
        <v>1</v>
      </c>
      <c r="S242" t="s">
        <v>38</v>
      </c>
      <c r="T242">
        <v>5</v>
      </c>
      <c r="U242">
        <v>1500</v>
      </c>
      <c r="V242" t="s">
        <v>22</v>
      </c>
      <c r="W242" t="s">
        <v>1077</v>
      </c>
      <c r="X242" t="s">
        <v>20</v>
      </c>
      <c r="Y242">
        <v>14</v>
      </c>
    </row>
    <row r="243" spans="1:25">
      <c r="A243" t="s">
        <v>538</v>
      </c>
      <c r="B243" t="s">
        <v>539</v>
      </c>
      <c r="C243">
        <v>25</v>
      </c>
      <c r="D243" t="s">
        <v>1077</v>
      </c>
      <c r="E243" t="s">
        <v>73</v>
      </c>
      <c r="F243" t="s">
        <v>27</v>
      </c>
      <c r="G243" t="s">
        <v>43</v>
      </c>
      <c r="H243" t="s">
        <v>1060</v>
      </c>
      <c r="I243">
        <v>31000</v>
      </c>
      <c r="J243">
        <v>12</v>
      </c>
      <c r="K243">
        <v>372000</v>
      </c>
      <c r="L243">
        <v>2</v>
      </c>
      <c r="M243">
        <v>1</v>
      </c>
      <c r="N243" t="s">
        <v>1077</v>
      </c>
      <c r="O243">
        <v>85</v>
      </c>
      <c r="P243">
        <v>12</v>
      </c>
      <c r="Q243">
        <v>3</v>
      </c>
      <c r="S243" t="s">
        <v>38</v>
      </c>
      <c r="T243">
        <v>10</v>
      </c>
      <c r="U243">
        <v>2500</v>
      </c>
      <c r="V243" t="s">
        <v>39</v>
      </c>
      <c r="W243" t="s">
        <v>1077</v>
      </c>
      <c r="X243" t="s">
        <v>20</v>
      </c>
      <c r="Y243">
        <v>12</v>
      </c>
    </row>
    <row r="244" spans="1:25">
      <c r="A244" t="s">
        <v>540</v>
      </c>
      <c r="B244" t="s">
        <v>541</v>
      </c>
      <c r="C244">
        <v>33</v>
      </c>
      <c r="D244" t="s">
        <v>25</v>
      </c>
      <c r="E244" t="s">
        <v>57</v>
      </c>
      <c r="F244" t="s">
        <v>31</v>
      </c>
      <c r="G244" t="s">
        <v>82</v>
      </c>
      <c r="H244" t="s">
        <v>1060</v>
      </c>
      <c r="I244">
        <v>89000</v>
      </c>
      <c r="J244">
        <v>12</v>
      </c>
      <c r="K244">
        <v>1068000</v>
      </c>
      <c r="L244">
        <v>6</v>
      </c>
      <c r="M244">
        <v>3</v>
      </c>
      <c r="N244">
        <v>26700</v>
      </c>
      <c r="O244">
        <v>90</v>
      </c>
      <c r="P244">
        <v>15</v>
      </c>
      <c r="Q244">
        <v>1</v>
      </c>
      <c r="R244" t="s">
        <v>37</v>
      </c>
      <c r="S244" t="s">
        <v>38</v>
      </c>
      <c r="T244">
        <v>10</v>
      </c>
      <c r="U244">
        <v>3500</v>
      </c>
      <c r="V244" t="s">
        <v>22</v>
      </c>
      <c r="W244" t="s">
        <v>1077</v>
      </c>
      <c r="X244" t="s">
        <v>33</v>
      </c>
      <c r="Y244">
        <v>13</v>
      </c>
    </row>
    <row r="245" spans="1:25">
      <c r="A245" t="s">
        <v>543</v>
      </c>
      <c r="B245" t="s">
        <v>544</v>
      </c>
      <c r="C245">
        <v>19</v>
      </c>
      <c r="D245" t="s">
        <v>46</v>
      </c>
      <c r="E245" t="s">
        <v>50</v>
      </c>
      <c r="F245" t="s">
        <v>31</v>
      </c>
      <c r="G245" t="s">
        <v>1047</v>
      </c>
      <c r="H245" t="s">
        <v>1060</v>
      </c>
      <c r="I245">
        <v>9000</v>
      </c>
      <c r="J245">
        <v>12</v>
      </c>
      <c r="K245">
        <v>108000</v>
      </c>
      <c r="L245">
        <v>1</v>
      </c>
      <c r="M245">
        <v>1</v>
      </c>
      <c r="N245" t="s">
        <v>1077</v>
      </c>
      <c r="O245">
        <v>90</v>
      </c>
      <c r="P245">
        <v>10</v>
      </c>
      <c r="Q245">
        <v>2</v>
      </c>
      <c r="R245" t="s">
        <v>21</v>
      </c>
      <c r="S245" t="s">
        <v>19</v>
      </c>
      <c r="U245">
        <v>0</v>
      </c>
      <c r="V245" t="s">
        <v>39</v>
      </c>
      <c r="W245" t="s">
        <v>1077</v>
      </c>
      <c r="X245" t="s">
        <v>33</v>
      </c>
      <c r="Y245">
        <v>13</v>
      </c>
    </row>
    <row r="246" spans="1:25">
      <c r="A246" t="s">
        <v>545</v>
      </c>
      <c r="B246" t="s">
        <v>546</v>
      </c>
      <c r="C246">
        <v>24</v>
      </c>
      <c r="D246" t="s">
        <v>46</v>
      </c>
      <c r="E246" t="s">
        <v>17</v>
      </c>
      <c r="F246" t="s">
        <v>27</v>
      </c>
      <c r="G246" t="s">
        <v>43</v>
      </c>
      <c r="H246" t="s">
        <v>1060</v>
      </c>
      <c r="I246">
        <v>24000</v>
      </c>
      <c r="J246">
        <v>12</v>
      </c>
      <c r="K246">
        <v>288000</v>
      </c>
      <c r="L246">
        <v>1</v>
      </c>
      <c r="M246">
        <v>4</v>
      </c>
      <c r="N246">
        <v>7200</v>
      </c>
      <c r="O246">
        <v>80</v>
      </c>
      <c r="P246">
        <v>15</v>
      </c>
      <c r="Q246">
        <v>5</v>
      </c>
      <c r="R246" t="s">
        <v>37</v>
      </c>
      <c r="S246" t="s">
        <v>19</v>
      </c>
      <c r="U246">
        <v>0</v>
      </c>
      <c r="V246" t="s">
        <v>22</v>
      </c>
      <c r="W246" t="s">
        <v>1077</v>
      </c>
      <c r="X246" t="s">
        <v>20</v>
      </c>
      <c r="Y246">
        <v>12</v>
      </c>
    </row>
    <row r="247" spans="1:25">
      <c r="A247" t="s">
        <v>547</v>
      </c>
      <c r="B247" t="s">
        <v>548</v>
      </c>
      <c r="C247">
        <v>25</v>
      </c>
      <c r="D247" t="s">
        <v>1077</v>
      </c>
      <c r="E247" t="s">
        <v>61</v>
      </c>
      <c r="F247" t="s">
        <v>36</v>
      </c>
      <c r="G247" t="s">
        <v>43</v>
      </c>
      <c r="H247" t="s">
        <v>1060</v>
      </c>
      <c r="I247">
        <v>31000</v>
      </c>
      <c r="J247">
        <v>12</v>
      </c>
      <c r="K247">
        <v>372000</v>
      </c>
      <c r="L247">
        <v>2</v>
      </c>
      <c r="M247">
        <v>3</v>
      </c>
      <c r="N247">
        <v>9300</v>
      </c>
      <c r="O247">
        <v>95</v>
      </c>
      <c r="P247">
        <v>15</v>
      </c>
      <c r="Q247">
        <v>11</v>
      </c>
      <c r="R247" t="s">
        <v>37</v>
      </c>
      <c r="S247" t="s">
        <v>38</v>
      </c>
      <c r="U247">
        <v>0</v>
      </c>
      <c r="V247" t="s">
        <v>22</v>
      </c>
      <c r="W247" t="s">
        <v>1077</v>
      </c>
      <c r="X247" t="s">
        <v>20</v>
      </c>
      <c r="Y247">
        <v>25</v>
      </c>
    </row>
    <row r="248" spans="1:25">
      <c r="A248" t="s">
        <v>549</v>
      </c>
      <c r="B248" t="s">
        <v>550</v>
      </c>
      <c r="C248">
        <v>23</v>
      </c>
      <c r="D248" t="s">
        <v>25</v>
      </c>
      <c r="E248" t="s">
        <v>57</v>
      </c>
      <c r="F248" t="s">
        <v>18</v>
      </c>
      <c r="G248" t="s">
        <v>43</v>
      </c>
      <c r="H248" t="s">
        <v>1060</v>
      </c>
      <c r="I248">
        <v>28000</v>
      </c>
      <c r="J248">
        <v>12</v>
      </c>
      <c r="K248">
        <v>336000</v>
      </c>
      <c r="L248">
        <v>2</v>
      </c>
      <c r="M248">
        <v>1</v>
      </c>
      <c r="N248" t="s">
        <v>1077</v>
      </c>
      <c r="O248">
        <v>90</v>
      </c>
      <c r="P248">
        <v>12</v>
      </c>
      <c r="Q248">
        <v>3</v>
      </c>
      <c r="R248" t="s">
        <v>21</v>
      </c>
      <c r="S248" t="s">
        <v>38</v>
      </c>
      <c r="T248">
        <v>10</v>
      </c>
      <c r="U248">
        <v>2500</v>
      </c>
      <c r="V248" t="s">
        <v>39</v>
      </c>
      <c r="W248" t="s">
        <v>1077</v>
      </c>
      <c r="X248" t="s">
        <v>20</v>
      </c>
      <c r="Y248">
        <v>10</v>
      </c>
    </row>
    <row r="249" spans="1:25">
      <c r="A249" t="s">
        <v>551</v>
      </c>
      <c r="B249" t="s">
        <v>552</v>
      </c>
      <c r="C249">
        <v>29</v>
      </c>
      <c r="D249" t="s">
        <v>25</v>
      </c>
      <c r="E249" t="s">
        <v>65</v>
      </c>
      <c r="F249" t="s">
        <v>31</v>
      </c>
      <c r="G249" t="s">
        <v>1045</v>
      </c>
      <c r="H249" t="s">
        <v>1060</v>
      </c>
      <c r="I249">
        <v>78000</v>
      </c>
      <c r="J249">
        <v>12</v>
      </c>
      <c r="K249">
        <v>936000</v>
      </c>
      <c r="L249">
        <v>5</v>
      </c>
      <c r="M249">
        <v>2</v>
      </c>
      <c r="N249" t="s">
        <v>1077</v>
      </c>
      <c r="O249">
        <v>88</v>
      </c>
      <c r="P249">
        <v>15</v>
      </c>
      <c r="Q249">
        <v>1</v>
      </c>
      <c r="R249" t="s">
        <v>37</v>
      </c>
      <c r="S249" t="s">
        <v>19</v>
      </c>
      <c r="T249">
        <v>10</v>
      </c>
      <c r="U249">
        <v>3000</v>
      </c>
      <c r="V249" t="s">
        <v>39</v>
      </c>
      <c r="W249" t="s">
        <v>1077</v>
      </c>
      <c r="X249" t="s">
        <v>33</v>
      </c>
      <c r="Y249">
        <v>13</v>
      </c>
    </row>
    <row r="250" spans="1:25">
      <c r="A250" t="s">
        <v>553</v>
      </c>
      <c r="B250" t="s">
        <v>554</v>
      </c>
      <c r="C250">
        <v>24</v>
      </c>
      <c r="D250" t="s">
        <v>46</v>
      </c>
      <c r="E250" t="s">
        <v>50</v>
      </c>
      <c r="F250" t="s">
        <v>31</v>
      </c>
      <c r="G250" t="s">
        <v>43</v>
      </c>
      <c r="H250" t="s">
        <v>1060</v>
      </c>
      <c r="I250">
        <v>24000</v>
      </c>
      <c r="J250">
        <v>12</v>
      </c>
      <c r="K250">
        <v>288000</v>
      </c>
      <c r="L250">
        <v>1</v>
      </c>
      <c r="M250">
        <v>4</v>
      </c>
      <c r="N250">
        <v>7200</v>
      </c>
      <c r="O250">
        <v>90</v>
      </c>
      <c r="P250">
        <v>5</v>
      </c>
      <c r="Q250">
        <v>1</v>
      </c>
      <c r="S250" t="s">
        <v>38</v>
      </c>
      <c r="T250">
        <v>10</v>
      </c>
      <c r="U250">
        <v>2500</v>
      </c>
      <c r="V250" t="s">
        <v>22</v>
      </c>
      <c r="W250" t="s">
        <v>1077</v>
      </c>
      <c r="X250" t="s">
        <v>33</v>
      </c>
      <c r="Y250">
        <v>13</v>
      </c>
    </row>
    <row r="251" spans="1:25">
      <c r="A251" t="s">
        <v>555</v>
      </c>
      <c r="B251" t="s">
        <v>556</v>
      </c>
      <c r="C251">
        <v>23</v>
      </c>
      <c r="D251" t="s">
        <v>46</v>
      </c>
      <c r="E251" t="s">
        <v>35</v>
      </c>
      <c r="F251" t="s">
        <v>31</v>
      </c>
      <c r="G251" t="s">
        <v>43</v>
      </c>
      <c r="H251" t="s">
        <v>1060</v>
      </c>
      <c r="I251">
        <v>24000</v>
      </c>
      <c r="J251">
        <v>12</v>
      </c>
      <c r="K251">
        <v>288000</v>
      </c>
      <c r="L251">
        <v>1</v>
      </c>
      <c r="M251">
        <v>1</v>
      </c>
      <c r="N251" t="s">
        <v>1077</v>
      </c>
      <c r="O251">
        <v>88</v>
      </c>
      <c r="P251">
        <v>12</v>
      </c>
      <c r="Q251">
        <v>6</v>
      </c>
      <c r="S251" t="s">
        <v>38</v>
      </c>
      <c r="T251">
        <v>10</v>
      </c>
      <c r="U251">
        <v>2500</v>
      </c>
      <c r="V251" t="s">
        <v>39</v>
      </c>
      <c r="W251" t="s">
        <v>1077</v>
      </c>
      <c r="X251" t="s">
        <v>33</v>
      </c>
      <c r="Y251">
        <v>13</v>
      </c>
    </row>
    <row r="252" spans="1:25">
      <c r="A252" t="s">
        <v>557</v>
      </c>
      <c r="B252" t="s">
        <v>558</v>
      </c>
      <c r="C252">
        <v>25</v>
      </c>
      <c r="D252" t="s">
        <v>46</v>
      </c>
      <c r="E252" t="s">
        <v>64</v>
      </c>
      <c r="F252" t="s">
        <v>42</v>
      </c>
      <c r="G252" t="s">
        <v>43</v>
      </c>
      <c r="H252" t="s">
        <v>1060</v>
      </c>
      <c r="I252">
        <v>24000</v>
      </c>
      <c r="J252">
        <v>12</v>
      </c>
      <c r="K252">
        <v>288000</v>
      </c>
      <c r="L252">
        <v>1</v>
      </c>
      <c r="M252">
        <v>2</v>
      </c>
      <c r="N252" t="s">
        <v>1077</v>
      </c>
      <c r="O252">
        <v>88</v>
      </c>
      <c r="P252">
        <v>12</v>
      </c>
      <c r="Q252">
        <v>1</v>
      </c>
      <c r="R252" t="s">
        <v>21</v>
      </c>
      <c r="S252" t="s">
        <v>38</v>
      </c>
      <c r="U252">
        <v>0</v>
      </c>
      <c r="V252" t="s">
        <v>39</v>
      </c>
      <c r="W252" t="s">
        <v>1077</v>
      </c>
      <c r="X252" t="s">
        <v>20</v>
      </c>
      <c r="Y252">
        <v>14</v>
      </c>
    </row>
    <row r="253" spans="1:25">
      <c r="A253" t="s">
        <v>559</v>
      </c>
      <c r="B253" t="s">
        <v>560</v>
      </c>
      <c r="C253">
        <v>19</v>
      </c>
      <c r="D253" t="s">
        <v>1077</v>
      </c>
      <c r="E253" t="s">
        <v>65</v>
      </c>
      <c r="F253" t="s">
        <v>42</v>
      </c>
      <c r="G253" t="s">
        <v>1047</v>
      </c>
      <c r="H253" t="s">
        <v>1060</v>
      </c>
      <c r="I253">
        <v>9000</v>
      </c>
      <c r="J253">
        <v>12</v>
      </c>
      <c r="K253">
        <v>108000</v>
      </c>
      <c r="L253">
        <v>1</v>
      </c>
      <c r="M253">
        <v>3</v>
      </c>
      <c r="N253">
        <v>2700</v>
      </c>
      <c r="O253">
        <v>90</v>
      </c>
      <c r="P253">
        <v>10</v>
      </c>
      <c r="Q253">
        <v>2</v>
      </c>
      <c r="R253" t="s">
        <v>21</v>
      </c>
      <c r="S253" t="s">
        <v>38</v>
      </c>
      <c r="T253">
        <v>5</v>
      </c>
      <c r="U253">
        <v>1250</v>
      </c>
      <c r="V253" t="s">
        <v>22</v>
      </c>
      <c r="W253" t="s">
        <v>1077</v>
      </c>
      <c r="X253" t="s">
        <v>20</v>
      </c>
      <c r="Y253">
        <v>14</v>
      </c>
    </row>
    <row r="254" spans="1:25">
      <c r="A254" t="s">
        <v>561</v>
      </c>
      <c r="B254" t="s">
        <v>562</v>
      </c>
      <c r="C254">
        <v>24</v>
      </c>
      <c r="D254" t="s">
        <v>25</v>
      </c>
      <c r="E254" t="s">
        <v>35</v>
      </c>
      <c r="F254" t="s">
        <v>18</v>
      </c>
      <c r="G254" t="s">
        <v>43</v>
      </c>
      <c r="H254" t="s">
        <v>1060</v>
      </c>
      <c r="I254">
        <v>28000</v>
      </c>
      <c r="J254">
        <v>12</v>
      </c>
      <c r="K254">
        <v>336000</v>
      </c>
      <c r="L254">
        <v>2</v>
      </c>
      <c r="M254">
        <v>3</v>
      </c>
      <c r="N254">
        <v>8400</v>
      </c>
      <c r="O254">
        <v>95</v>
      </c>
      <c r="P254">
        <v>5</v>
      </c>
      <c r="Q254">
        <v>2</v>
      </c>
      <c r="R254" t="s">
        <v>37</v>
      </c>
      <c r="S254" t="s">
        <v>38</v>
      </c>
      <c r="U254">
        <v>0</v>
      </c>
      <c r="V254" t="s">
        <v>22</v>
      </c>
      <c r="W254" t="s">
        <v>1077</v>
      </c>
      <c r="X254" t="s">
        <v>20</v>
      </c>
      <c r="Y254">
        <v>10</v>
      </c>
    </row>
    <row r="255" spans="1:25">
      <c r="A255" t="s">
        <v>563</v>
      </c>
      <c r="B255" t="s">
        <v>564</v>
      </c>
      <c r="C255">
        <v>53</v>
      </c>
      <c r="D255" t="s">
        <v>46</v>
      </c>
      <c r="E255" t="s">
        <v>50</v>
      </c>
      <c r="F255" t="s">
        <v>36</v>
      </c>
      <c r="G255" t="s">
        <v>1051</v>
      </c>
      <c r="H255" t="s">
        <v>1060</v>
      </c>
      <c r="I255">
        <v>160000</v>
      </c>
      <c r="J255">
        <v>12</v>
      </c>
      <c r="K255">
        <v>1920000</v>
      </c>
      <c r="L255">
        <v>24</v>
      </c>
      <c r="M255">
        <v>3</v>
      </c>
      <c r="N255">
        <v>48000</v>
      </c>
      <c r="O255">
        <v>88</v>
      </c>
      <c r="P255">
        <v>12</v>
      </c>
      <c r="Q255">
        <v>3</v>
      </c>
      <c r="S255" t="s">
        <v>38</v>
      </c>
      <c r="U255" t="s">
        <v>1077</v>
      </c>
      <c r="V255" t="s">
        <v>22</v>
      </c>
      <c r="W255" t="s">
        <v>1077</v>
      </c>
      <c r="X255" t="s">
        <v>20</v>
      </c>
      <c r="Y255">
        <v>25</v>
      </c>
    </row>
    <row r="256" spans="1:25">
      <c r="A256" t="s">
        <v>565</v>
      </c>
      <c r="B256" t="s">
        <v>566</v>
      </c>
      <c r="C256">
        <v>25</v>
      </c>
      <c r="D256" t="s">
        <v>46</v>
      </c>
      <c r="E256" t="s">
        <v>64</v>
      </c>
      <c r="F256" t="s">
        <v>36</v>
      </c>
      <c r="G256" t="s">
        <v>43</v>
      </c>
      <c r="H256" t="s">
        <v>1060</v>
      </c>
      <c r="I256">
        <v>28000</v>
      </c>
      <c r="J256">
        <v>12</v>
      </c>
      <c r="K256">
        <v>336000</v>
      </c>
      <c r="L256">
        <v>2</v>
      </c>
      <c r="M256">
        <v>2</v>
      </c>
      <c r="N256" t="s">
        <v>1077</v>
      </c>
      <c r="O256">
        <v>88</v>
      </c>
      <c r="P256">
        <v>5</v>
      </c>
      <c r="Q256">
        <v>5</v>
      </c>
      <c r="R256" t="s">
        <v>21</v>
      </c>
      <c r="S256" t="s">
        <v>38</v>
      </c>
      <c r="T256">
        <v>20</v>
      </c>
      <c r="U256">
        <v>5000</v>
      </c>
      <c r="V256" t="s">
        <v>39</v>
      </c>
      <c r="W256" t="s">
        <v>1077</v>
      </c>
      <c r="X256" t="s">
        <v>20</v>
      </c>
      <c r="Y256">
        <v>25</v>
      </c>
    </row>
    <row r="257" spans="1:25">
      <c r="A257" t="s">
        <v>567</v>
      </c>
      <c r="B257" t="s">
        <v>568</v>
      </c>
      <c r="C257">
        <v>25</v>
      </c>
      <c r="D257" t="s">
        <v>46</v>
      </c>
      <c r="E257" t="s">
        <v>35</v>
      </c>
      <c r="F257" t="s">
        <v>18</v>
      </c>
      <c r="G257" t="s">
        <v>43</v>
      </c>
      <c r="H257" t="s">
        <v>1060</v>
      </c>
      <c r="I257">
        <v>28000</v>
      </c>
      <c r="J257">
        <v>12</v>
      </c>
      <c r="K257">
        <v>336000</v>
      </c>
      <c r="L257">
        <v>2</v>
      </c>
      <c r="M257">
        <v>5</v>
      </c>
      <c r="N257">
        <v>8400</v>
      </c>
      <c r="O257">
        <v>80</v>
      </c>
      <c r="P257">
        <v>12</v>
      </c>
      <c r="Q257">
        <v>1</v>
      </c>
      <c r="R257" t="s">
        <v>37</v>
      </c>
      <c r="S257" t="s">
        <v>38</v>
      </c>
      <c r="U257">
        <v>0</v>
      </c>
      <c r="V257" t="s">
        <v>58</v>
      </c>
      <c r="W257" t="s">
        <v>1077</v>
      </c>
      <c r="X257" t="s">
        <v>20</v>
      </c>
      <c r="Y257">
        <v>10</v>
      </c>
    </row>
    <row r="258" spans="1:25">
      <c r="A258" t="s">
        <v>569</v>
      </c>
      <c r="B258" t="s">
        <v>570</v>
      </c>
      <c r="C258">
        <v>24</v>
      </c>
      <c r="D258" t="s">
        <v>25</v>
      </c>
      <c r="E258" t="s">
        <v>50</v>
      </c>
      <c r="F258" t="s">
        <v>31</v>
      </c>
      <c r="G258" t="s">
        <v>43</v>
      </c>
      <c r="H258" t="s">
        <v>1060</v>
      </c>
      <c r="I258">
        <v>28000</v>
      </c>
      <c r="J258">
        <v>12</v>
      </c>
      <c r="K258">
        <v>336000</v>
      </c>
      <c r="L258">
        <v>2</v>
      </c>
      <c r="M258">
        <v>1</v>
      </c>
      <c r="N258" t="s">
        <v>1077</v>
      </c>
      <c r="O258">
        <v>80</v>
      </c>
      <c r="P258">
        <v>15</v>
      </c>
      <c r="Q258">
        <v>3</v>
      </c>
      <c r="R258" t="s">
        <v>37</v>
      </c>
      <c r="S258" t="s">
        <v>38</v>
      </c>
      <c r="T258">
        <v>10</v>
      </c>
      <c r="U258">
        <v>2500</v>
      </c>
      <c r="V258" t="s">
        <v>39</v>
      </c>
      <c r="W258" t="s">
        <v>1077</v>
      </c>
      <c r="X258" t="s">
        <v>33</v>
      </c>
      <c r="Y258">
        <v>13</v>
      </c>
    </row>
    <row r="259" spans="1:25">
      <c r="A259" t="s">
        <v>571</v>
      </c>
      <c r="B259" t="s">
        <v>572</v>
      </c>
      <c r="C259">
        <v>25</v>
      </c>
      <c r="D259" t="s">
        <v>1077</v>
      </c>
      <c r="E259" t="s">
        <v>61</v>
      </c>
      <c r="F259" t="s">
        <v>66</v>
      </c>
      <c r="G259" t="s">
        <v>43</v>
      </c>
      <c r="H259" t="s">
        <v>1059</v>
      </c>
      <c r="I259">
        <v>28000</v>
      </c>
      <c r="J259">
        <v>12</v>
      </c>
      <c r="K259">
        <v>336000</v>
      </c>
      <c r="L259">
        <v>2</v>
      </c>
      <c r="M259">
        <v>2</v>
      </c>
      <c r="N259" t="s">
        <v>1077</v>
      </c>
      <c r="O259">
        <v>80</v>
      </c>
      <c r="P259">
        <v>5</v>
      </c>
      <c r="Q259">
        <v>2</v>
      </c>
      <c r="R259" t="s">
        <v>21</v>
      </c>
      <c r="S259" t="s">
        <v>28</v>
      </c>
      <c r="U259">
        <v>0</v>
      </c>
      <c r="V259" t="s">
        <v>39</v>
      </c>
      <c r="W259" t="s">
        <v>1077</v>
      </c>
      <c r="X259" t="s">
        <v>33</v>
      </c>
      <c r="Y259">
        <v>20</v>
      </c>
    </row>
    <row r="260" spans="1:25">
      <c r="A260" t="s">
        <v>573</v>
      </c>
      <c r="B260" t="s">
        <v>574</v>
      </c>
      <c r="C260">
        <v>24</v>
      </c>
      <c r="D260" t="s">
        <v>46</v>
      </c>
      <c r="E260" t="s">
        <v>57</v>
      </c>
      <c r="F260" t="s">
        <v>42</v>
      </c>
      <c r="G260" t="s">
        <v>43</v>
      </c>
      <c r="H260" t="s">
        <v>1060</v>
      </c>
      <c r="I260">
        <v>28000</v>
      </c>
      <c r="J260">
        <v>12</v>
      </c>
      <c r="K260">
        <v>336000</v>
      </c>
      <c r="L260">
        <v>2</v>
      </c>
      <c r="M260">
        <v>4</v>
      </c>
      <c r="N260">
        <v>8400</v>
      </c>
      <c r="O260">
        <v>85</v>
      </c>
      <c r="P260">
        <v>12</v>
      </c>
      <c r="Q260">
        <v>1</v>
      </c>
      <c r="R260" t="s">
        <v>37</v>
      </c>
      <c r="S260" t="s">
        <v>38</v>
      </c>
      <c r="T260">
        <v>5</v>
      </c>
      <c r="U260">
        <v>1250</v>
      </c>
      <c r="V260" t="s">
        <v>58</v>
      </c>
      <c r="W260" t="s">
        <v>1077</v>
      </c>
      <c r="X260" t="s">
        <v>20</v>
      </c>
      <c r="Y260">
        <v>14</v>
      </c>
    </row>
    <row r="261" spans="1:25">
      <c r="A261" t="s">
        <v>575</v>
      </c>
      <c r="B261" t="s">
        <v>576</v>
      </c>
      <c r="C261">
        <v>19</v>
      </c>
      <c r="D261" t="s">
        <v>25</v>
      </c>
      <c r="E261" t="s">
        <v>65</v>
      </c>
      <c r="F261" t="s">
        <v>66</v>
      </c>
      <c r="G261" t="s">
        <v>1047</v>
      </c>
      <c r="H261" t="s">
        <v>1060</v>
      </c>
      <c r="I261">
        <v>9000</v>
      </c>
      <c r="J261">
        <v>12</v>
      </c>
      <c r="K261">
        <v>108000</v>
      </c>
      <c r="L261">
        <v>0</v>
      </c>
      <c r="M261">
        <v>2</v>
      </c>
      <c r="N261" t="s">
        <v>1077</v>
      </c>
      <c r="O261">
        <v>90</v>
      </c>
      <c r="P261">
        <v>15</v>
      </c>
      <c r="Q261">
        <v>2</v>
      </c>
      <c r="R261" t="s">
        <v>21</v>
      </c>
      <c r="S261" t="s">
        <v>19</v>
      </c>
      <c r="T261">
        <v>10</v>
      </c>
      <c r="U261">
        <v>2500</v>
      </c>
      <c r="V261" t="s">
        <v>39</v>
      </c>
      <c r="W261" t="s">
        <v>1077</v>
      </c>
      <c r="X261" t="s">
        <v>33</v>
      </c>
      <c r="Y261">
        <v>20</v>
      </c>
    </row>
    <row r="262" spans="1:25">
      <c r="A262" t="s">
        <v>577</v>
      </c>
      <c r="B262" t="s">
        <v>578</v>
      </c>
      <c r="C262">
        <v>31</v>
      </c>
      <c r="D262" t="s">
        <v>1077</v>
      </c>
      <c r="E262" t="s">
        <v>26</v>
      </c>
      <c r="F262" t="s">
        <v>18</v>
      </c>
      <c r="G262" t="s">
        <v>82</v>
      </c>
      <c r="H262" t="s">
        <v>1060</v>
      </c>
      <c r="I262">
        <v>89000</v>
      </c>
      <c r="J262">
        <v>12</v>
      </c>
      <c r="K262">
        <v>1068000</v>
      </c>
      <c r="L262">
        <v>7</v>
      </c>
      <c r="M262">
        <v>4</v>
      </c>
      <c r="N262">
        <v>26700</v>
      </c>
      <c r="O262">
        <v>85</v>
      </c>
      <c r="P262">
        <v>15</v>
      </c>
      <c r="Q262">
        <v>9</v>
      </c>
      <c r="R262" t="s">
        <v>21</v>
      </c>
      <c r="S262" t="s">
        <v>38</v>
      </c>
      <c r="T262">
        <v>5</v>
      </c>
      <c r="U262">
        <v>1750</v>
      </c>
      <c r="V262" t="s">
        <v>22</v>
      </c>
      <c r="W262" t="s">
        <v>1077</v>
      </c>
      <c r="X262" t="s">
        <v>20</v>
      </c>
      <c r="Y262">
        <v>10</v>
      </c>
    </row>
    <row r="263" spans="1:25">
      <c r="A263" t="s">
        <v>579</v>
      </c>
      <c r="B263" t="s">
        <v>580</v>
      </c>
      <c r="C263">
        <v>23</v>
      </c>
      <c r="D263" t="s">
        <v>25</v>
      </c>
      <c r="E263" t="s">
        <v>61</v>
      </c>
      <c r="F263" t="s">
        <v>27</v>
      </c>
      <c r="G263" t="s">
        <v>43</v>
      </c>
      <c r="H263" t="s">
        <v>1060</v>
      </c>
      <c r="I263">
        <v>28000</v>
      </c>
      <c r="J263">
        <v>12</v>
      </c>
      <c r="K263">
        <v>336000</v>
      </c>
      <c r="L263">
        <v>2</v>
      </c>
      <c r="M263">
        <v>3</v>
      </c>
      <c r="N263">
        <v>8400</v>
      </c>
      <c r="O263">
        <v>80</v>
      </c>
      <c r="P263">
        <v>12</v>
      </c>
      <c r="Q263">
        <v>13</v>
      </c>
      <c r="R263" t="s">
        <v>37</v>
      </c>
      <c r="S263" t="s">
        <v>19</v>
      </c>
      <c r="U263">
        <v>0</v>
      </c>
      <c r="V263" t="s">
        <v>22</v>
      </c>
      <c r="W263" t="s">
        <v>1077</v>
      </c>
      <c r="X263" t="s">
        <v>20</v>
      </c>
      <c r="Y263">
        <v>12</v>
      </c>
    </row>
    <row r="264" spans="1:25">
      <c r="A264" t="s">
        <v>581</v>
      </c>
      <c r="B264" t="s">
        <v>582</v>
      </c>
      <c r="C264">
        <v>23</v>
      </c>
      <c r="D264" t="s">
        <v>25</v>
      </c>
      <c r="E264" t="s">
        <v>64</v>
      </c>
      <c r="F264" t="s">
        <v>27</v>
      </c>
      <c r="G264" t="s">
        <v>43</v>
      </c>
      <c r="H264" t="s">
        <v>1059</v>
      </c>
      <c r="I264">
        <v>28000</v>
      </c>
      <c r="J264">
        <v>12</v>
      </c>
      <c r="K264">
        <v>336000</v>
      </c>
      <c r="L264">
        <v>2</v>
      </c>
      <c r="M264">
        <v>3</v>
      </c>
      <c r="N264">
        <v>8400</v>
      </c>
      <c r="O264">
        <v>95</v>
      </c>
      <c r="P264">
        <v>15</v>
      </c>
      <c r="Q264">
        <v>1</v>
      </c>
      <c r="S264" t="s">
        <v>28</v>
      </c>
      <c r="T264">
        <v>10</v>
      </c>
      <c r="U264">
        <v>2500</v>
      </c>
      <c r="V264" t="s">
        <v>22</v>
      </c>
      <c r="W264" t="s">
        <v>1077</v>
      </c>
      <c r="X264" t="s">
        <v>20</v>
      </c>
      <c r="Y264">
        <v>12</v>
      </c>
    </row>
    <row r="265" spans="1:25">
      <c r="A265" t="s">
        <v>583</v>
      </c>
      <c r="B265" t="s">
        <v>584</v>
      </c>
      <c r="C265">
        <v>25</v>
      </c>
      <c r="D265" t="s">
        <v>25</v>
      </c>
      <c r="E265" t="s">
        <v>17</v>
      </c>
      <c r="F265" t="s">
        <v>18</v>
      </c>
      <c r="G265" t="s">
        <v>43</v>
      </c>
      <c r="H265" t="s">
        <v>1060</v>
      </c>
      <c r="I265">
        <v>24000</v>
      </c>
      <c r="J265">
        <v>12</v>
      </c>
      <c r="K265">
        <v>288000</v>
      </c>
      <c r="L265">
        <v>1</v>
      </c>
      <c r="M265">
        <v>2</v>
      </c>
      <c r="N265" t="s">
        <v>1077</v>
      </c>
      <c r="O265">
        <v>88</v>
      </c>
      <c r="P265">
        <v>15</v>
      </c>
      <c r="Q265">
        <v>1</v>
      </c>
      <c r="S265" t="s">
        <v>38</v>
      </c>
      <c r="T265">
        <v>10</v>
      </c>
      <c r="U265">
        <v>2500</v>
      </c>
      <c r="V265" t="s">
        <v>39</v>
      </c>
      <c r="W265" t="s">
        <v>1077</v>
      </c>
      <c r="X265" t="s">
        <v>20</v>
      </c>
      <c r="Y265">
        <v>10</v>
      </c>
    </row>
    <row r="266" spans="1:25">
      <c r="A266" t="s">
        <v>585</v>
      </c>
      <c r="B266" t="s">
        <v>586</v>
      </c>
      <c r="C266">
        <v>24</v>
      </c>
      <c r="D266" t="s">
        <v>46</v>
      </c>
      <c r="E266" t="s">
        <v>61</v>
      </c>
      <c r="F266" t="s">
        <v>31</v>
      </c>
      <c r="G266" t="s">
        <v>43</v>
      </c>
      <c r="H266" t="s">
        <v>1060</v>
      </c>
      <c r="I266">
        <v>24000</v>
      </c>
      <c r="J266">
        <v>12</v>
      </c>
      <c r="K266">
        <v>288000</v>
      </c>
      <c r="L266">
        <v>1</v>
      </c>
      <c r="M266">
        <v>4</v>
      </c>
      <c r="N266">
        <v>7200</v>
      </c>
      <c r="O266">
        <v>90</v>
      </c>
      <c r="P266">
        <v>5</v>
      </c>
      <c r="Q266">
        <v>7</v>
      </c>
      <c r="R266" t="s">
        <v>37</v>
      </c>
      <c r="S266" t="s">
        <v>38</v>
      </c>
      <c r="U266">
        <v>0</v>
      </c>
      <c r="V266" t="s">
        <v>22</v>
      </c>
      <c r="W266" t="s">
        <v>1077</v>
      </c>
      <c r="X266" t="s">
        <v>33</v>
      </c>
      <c r="Y266">
        <v>13</v>
      </c>
    </row>
    <row r="267" spans="1:25">
      <c r="A267" t="s">
        <v>587</v>
      </c>
      <c r="B267" t="s">
        <v>588</v>
      </c>
      <c r="C267">
        <v>27</v>
      </c>
      <c r="D267" t="s">
        <v>46</v>
      </c>
      <c r="E267" t="s">
        <v>35</v>
      </c>
      <c r="F267" t="s">
        <v>31</v>
      </c>
      <c r="G267" t="s">
        <v>1045</v>
      </c>
      <c r="H267" t="s">
        <v>1060</v>
      </c>
      <c r="I267">
        <v>81000</v>
      </c>
      <c r="J267">
        <v>12</v>
      </c>
      <c r="K267">
        <v>972000</v>
      </c>
      <c r="L267">
        <v>6</v>
      </c>
      <c r="M267">
        <v>5</v>
      </c>
      <c r="N267">
        <v>24300</v>
      </c>
      <c r="O267">
        <v>88</v>
      </c>
      <c r="P267">
        <v>12</v>
      </c>
      <c r="Q267">
        <v>5</v>
      </c>
      <c r="R267" t="s">
        <v>21</v>
      </c>
      <c r="S267" t="s">
        <v>38</v>
      </c>
      <c r="T267">
        <v>20</v>
      </c>
      <c r="U267">
        <v>6000</v>
      </c>
      <c r="V267" t="s">
        <v>58</v>
      </c>
      <c r="W267" t="s">
        <v>1077</v>
      </c>
      <c r="X267" t="s">
        <v>33</v>
      </c>
      <c r="Y267">
        <v>13</v>
      </c>
    </row>
    <row r="268" spans="1:25">
      <c r="A268" t="s">
        <v>589</v>
      </c>
      <c r="B268" t="s">
        <v>590</v>
      </c>
      <c r="C268">
        <v>25</v>
      </c>
      <c r="D268" t="s">
        <v>46</v>
      </c>
      <c r="E268" t="s">
        <v>57</v>
      </c>
      <c r="F268" t="s">
        <v>27</v>
      </c>
      <c r="G268" t="s">
        <v>43</v>
      </c>
      <c r="H268" t="s">
        <v>1060</v>
      </c>
      <c r="I268">
        <v>28000</v>
      </c>
      <c r="J268">
        <v>12</v>
      </c>
      <c r="K268">
        <v>336000</v>
      </c>
      <c r="L268">
        <v>2</v>
      </c>
      <c r="M268">
        <v>2</v>
      </c>
      <c r="N268" t="s">
        <v>1077</v>
      </c>
      <c r="O268">
        <v>80</v>
      </c>
      <c r="P268">
        <v>10</v>
      </c>
      <c r="Q268">
        <v>5</v>
      </c>
      <c r="R268" t="s">
        <v>37</v>
      </c>
      <c r="S268" t="s">
        <v>38</v>
      </c>
      <c r="T268">
        <v>20</v>
      </c>
      <c r="U268">
        <v>5000</v>
      </c>
      <c r="V268" t="s">
        <v>39</v>
      </c>
      <c r="W268" t="s">
        <v>1077</v>
      </c>
      <c r="X268" t="s">
        <v>20</v>
      </c>
      <c r="Y268">
        <v>12</v>
      </c>
    </row>
    <row r="269" spans="1:25">
      <c r="A269" t="s">
        <v>591</v>
      </c>
      <c r="B269" t="s">
        <v>592</v>
      </c>
      <c r="C269">
        <v>25</v>
      </c>
      <c r="D269" t="s">
        <v>25</v>
      </c>
      <c r="E269" t="s">
        <v>35</v>
      </c>
      <c r="F269" t="s">
        <v>18</v>
      </c>
      <c r="G269" t="s">
        <v>43</v>
      </c>
      <c r="H269" t="s">
        <v>1060</v>
      </c>
      <c r="I269">
        <v>28000</v>
      </c>
      <c r="J269">
        <v>12</v>
      </c>
      <c r="K269">
        <v>336000</v>
      </c>
      <c r="L269">
        <v>2</v>
      </c>
      <c r="M269">
        <v>4</v>
      </c>
      <c r="N269">
        <v>8400</v>
      </c>
      <c r="O269">
        <v>95</v>
      </c>
      <c r="P269">
        <v>15</v>
      </c>
      <c r="Q269">
        <v>2</v>
      </c>
      <c r="R269" t="s">
        <v>21</v>
      </c>
      <c r="S269" t="s">
        <v>19</v>
      </c>
      <c r="U269">
        <v>0</v>
      </c>
      <c r="V269" t="s">
        <v>22</v>
      </c>
      <c r="W269" t="s">
        <v>1077</v>
      </c>
      <c r="X269" t="s">
        <v>20</v>
      </c>
      <c r="Y269">
        <v>10</v>
      </c>
    </row>
    <row r="270" spans="1:25">
      <c r="A270" t="s">
        <v>593</v>
      </c>
      <c r="B270" t="s">
        <v>594</v>
      </c>
      <c r="C270">
        <v>25</v>
      </c>
      <c r="D270" t="s">
        <v>25</v>
      </c>
      <c r="E270" t="s">
        <v>26</v>
      </c>
      <c r="F270" t="s">
        <v>27</v>
      </c>
      <c r="G270" t="s">
        <v>43</v>
      </c>
      <c r="H270" t="s">
        <v>1060</v>
      </c>
      <c r="I270">
        <v>24000</v>
      </c>
      <c r="J270">
        <v>12</v>
      </c>
      <c r="K270">
        <v>288000</v>
      </c>
      <c r="L270">
        <v>1</v>
      </c>
      <c r="M270">
        <v>1</v>
      </c>
      <c r="N270" t="s">
        <v>1077</v>
      </c>
      <c r="O270">
        <v>88</v>
      </c>
      <c r="P270">
        <v>15</v>
      </c>
      <c r="Q270">
        <v>2</v>
      </c>
      <c r="R270" t="s">
        <v>21</v>
      </c>
      <c r="S270" t="s">
        <v>38</v>
      </c>
      <c r="U270">
        <v>0</v>
      </c>
      <c r="V270" t="s">
        <v>39</v>
      </c>
      <c r="W270" t="s">
        <v>1077</v>
      </c>
      <c r="X270" t="s">
        <v>20</v>
      </c>
      <c r="Y270">
        <v>12</v>
      </c>
    </row>
    <row r="271" spans="1:25">
      <c r="A271" t="s">
        <v>595</v>
      </c>
      <c r="B271" t="s">
        <v>596</v>
      </c>
      <c r="C271">
        <v>25</v>
      </c>
      <c r="D271" t="s">
        <v>46</v>
      </c>
      <c r="E271" t="s">
        <v>61</v>
      </c>
      <c r="F271" t="s">
        <v>31</v>
      </c>
      <c r="G271" t="s">
        <v>43</v>
      </c>
      <c r="H271" t="s">
        <v>1060</v>
      </c>
      <c r="I271">
        <v>28000</v>
      </c>
      <c r="J271">
        <v>12</v>
      </c>
      <c r="K271">
        <v>336000</v>
      </c>
      <c r="L271">
        <v>2</v>
      </c>
      <c r="M271">
        <v>2</v>
      </c>
      <c r="N271" t="s">
        <v>1077</v>
      </c>
      <c r="O271">
        <v>88</v>
      </c>
      <c r="P271">
        <v>12</v>
      </c>
      <c r="Q271">
        <v>2</v>
      </c>
      <c r="S271" t="s">
        <v>38</v>
      </c>
      <c r="T271">
        <v>20</v>
      </c>
      <c r="U271">
        <v>5000</v>
      </c>
      <c r="V271" t="s">
        <v>39</v>
      </c>
      <c r="W271" t="s">
        <v>1077</v>
      </c>
      <c r="X271" t="s">
        <v>33</v>
      </c>
      <c r="Y271">
        <v>13</v>
      </c>
    </row>
    <row r="272" spans="1:25">
      <c r="A272" t="s">
        <v>597</v>
      </c>
      <c r="B272" t="s">
        <v>598</v>
      </c>
      <c r="C272">
        <v>24</v>
      </c>
      <c r="D272" t="s">
        <v>46</v>
      </c>
      <c r="E272" t="s">
        <v>64</v>
      </c>
      <c r="F272" t="s">
        <v>18</v>
      </c>
      <c r="G272" t="s">
        <v>43</v>
      </c>
      <c r="H272" t="s">
        <v>1060</v>
      </c>
      <c r="I272">
        <v>24000</v>
      </c>
      <c r="J272">
        <v>12</v>
      </c>
      <c r="K272">
        <v>288000</v>
      </c>
      <c r="L272">
        <v>1</v>
      </c>
      <c r="M272">
        <v>4</v>
      </c>
      <c r="N272">
        <v>7200</v>
      </c>
      <c r="O272">
        <v>95</v>
      </c>
      <c r="P272">
        <v>12</v>
      </c>
      <c r="Q272">
        <v>2</v>
      </c>
      <c r="S272" t="s">
        <v>38</v>
      </c>
      <c r="T272">
        <v>10</v>
      </c>
      <c r="U272">
        <v>2500</v>
      </c>
      <c r="V272" t="s">
        <v>22</v>
      </c>
      <c r="W272" t="s">
        <v>1077</v>
      </c>
      <c r="X272" t="s">
        <v>20</v>
      </c>
      <c r="Y272">
        <v>10</v>
      </c>
    </row>
    <row r="273" spans="1:25">
      <c r="A273" t="s">
        <v>599</v>
      </c>
      <c r="B273" t="s">
        <v>600</v>
      </c>
      <c r="C273">
        <v>23</v>
      </c>
      <c r="D273" t="s">
        <v>1077</v>
      </c>
      <c r="E273" t="s">
        <v>57</v>
      </c>
      <c r="F273" t="s">
        <v>66</v>
      </c>
      <c r="G273" t="s">
        <v>43</v>
      </c>
      <c r="H273" t="s">
        <v>1060</v>
      </c>
      <c r="I273">
        <v>24000</v>
      </c>
      <c r="J273">
        <v>12</v>
      </c>
      <c r="K273">
        <v>288000</v>
      </c>
      <c r="L273">
        <v>1</v>
      </c>
      <c r="M273">
        <v>2</v>
      </c>
      <c r="N273" t="s">
        <v>1077</v>
      </c>
      <c r="O273">
        <v>85</v>
      </c>
      <c r="P273">
        <v>5</v>
      </c>
      <c r="Q273">
        <v>5</v>
      </c>
      <c r="R273" t="s">
        <v>21</v>
      </c>
      <c r="S273" t="s">
        <v>38</v>
      </c>
      <c r="U273">
        <v>0</v>
      </c>
      <c r="V273" t="s">
        <v>39</v>
      </c>
      <c r="W273" t="s">
        <v>1077</v>
      </c>
      <c r="X273" t="s">
        <v>33</v>
      </c>
      <c r="Y273">
        <v>20</v>
      </c>
    </row>
    <row r="274" spans="1:25">
      <c r="A274" t="s">
        <v>601</v>
      </c>
      <c r="B274" t="s">
        <v>602</v>
      </c>
      <c r="C274">
        <v>23</v>
      </c>
      <c r="D274" t="s">
        <v>46</v>
      </c>
      <c r="E274" t="s">
        <v>61</v>
      </c>
      <c r="F274" t="s">
        <v>18</v>
      </c>
      <c r="G274" t="s">
        <v>43</v>
      </c>
      <c r="H274" t="s">
        <v>1059</v>
      </c>
      <c r="I274">
        <v>28000</v>
      </c>
      <c r="J274">
        <v>12</v>
      </c>
      <c r="K274">
        <v>336000</v>
      </c>
      <c r="L274">
        <v>2</v>
      </c>
      <c r="M274">
        <v>2</v>
      </c>
      <c r="N274" t="s">
        <v>1077</v>
      </c>
      <c r="O274">
        <v>95</v>
      </c>
      <c r="P274">
        <v>12</v>
      </c>
      <c r="Q274">
        <v>1</v>
      </c>
      <c r="R274" t="s">
        <v>37</v>
      </c>
      <c r="S274" t="s">
        <v>28</v>
      </c>
      <c r="T274">
        <v>5</v>
      </c>
      <c r="U274">
        <v>1250</v>
      </c>
      <c r="V274" t="s">
        <v>39</v>
      </c>
      <c r="W274" t="s">
        <v>1077</v>
      </c>
      <c r="X274" t="s">
        <v>20</v>
      </c>
      <c r="Y274">
        <v>10</v>
      </c>
    </row>
    <row r="275" spans="1:25">
      <c r="A275" t="s">
        <v>603</v>
      </c>
      <c r="B275" t="s">
        <v>604</v>
      </c>
      <c r="C275">
        <v>23</v>
      </c>
      <c r="D275" t="s">
        <v>25</v>
      </c>
      <c r="E275" t="s">
        <v>17</v>
      </c>
      <c r="F275" t="s">
        <v>36</v>
      </c>
      <c r="G275" t="s">
        <v>43</v>
      </c>
      <c r="H275" t="s">
        <v>1059</v>
      </c>
      <c r="I275">
        <v>24000</v>
      </c>
      <c r="J275">
        <v>12</v>
      </c>
      <c r="K275">
        <v>288000</v>
      </c>
      <c r="L275">
        <v>1</v>
      </c>
      <c r="M275">
        <v>4</v>
      </c>
      <c r="N275">
        <v>7200</v>
      </c>
      <c r="O275">
        <v>80</v>
      </c>
      <c r="P275">
        <v>5</v>
      </c>
      <c r="Q275">
        <v>1</v>
      </c>
      <c r="R275" t="s">
        <v>37</v>
      </c>
      <c r="S275" t="s">
        <v>28</v>
      </c>
      <c r="T275">
        <v>20</v>
      </c>
      <c r="U275">
        <v>5000</v>
      </c>
      <c r="V275" t="s">
        <v>22</v>
      </c>
      <c r="W275" t="s">
        <v>1077</v>
      </c>
      <c r="X275" t="s">
        <v>20</v>
      </c>
      <c r="Y275">
        <v>25</v>
      </c>
    </row>
    <row r="276" spans="1:25">
      <c r="A276" t="s">
        <v>605</v>
      </c>
      <c r="B276" t="s">
        <v>606</v>
      </c>
      <c r="C276">
        <v>25</v>
      </c>
      <c r="D276" t="s">
        <v>25</v>
      </c>
      <c r="E276" t="s">
        <v>61</v>
      </c>
      <c r="F276" t="s">
        <v>18</v>
      </c>
      <c r="G276" t="s">
        <v>1048</v>
      </c>
      <c r="H276" t="s">
        <v>1060</v>
      </c>
      <c r="I276">
        <v>65000</v>
      </c>
      <c r="J276">
        <v>12</v>
      </c>
      <c r="K276">
        <v>780000</v>
      </c>
      <c r="L276">
        <v>5</v>
      </c>
      <c r="M276">
        <v>5</v>
      </c>
      <c r="N276">
        <v>19500</v>
      </c>
      <c r="O276">
        <v>88</v>
      </c>
      <c r="P276">
        <v>15</v>
      </c>
      <c r="Q276">
        <v>4</v>
      </c>
      <c r="R276" t="s">
        <v>21</v>
      </c>
      <c r="S276" t="s">
        <v>19</v>
      </c>
      <c r="U276">
        <v>0</v>
      </c>
      <c r="V276" t="s">
        <v>58</v>
      </c>
      <c r="W276" t="s">
        <v>1077</v>
      </c>
      <c r="X276" t="s">
        <v>20</v>
      </c>
      <c r="Y276">
        <v>10</v>
      </c>
    </row>
    <row r="277" spans="1:25">
      <c r="A277" t="s">
        <v>607</v>
      </c>
      <c r="B277" t="s">
        <v>608</v>
      </c>
      <c r="C277">
        <v>25</v>
      </c>
      <c r="D277" t="s">
        <v>1077</v>
      </c>
      <c r="E277" t="s">
        <v>17</v>
      </c>
      <c r="F277" t="s">
        <v>36</v>
      </c>
      <c r="G277" t="s">
        <v>43</v>
      </c>
      <c r="H277" t="s">
        <v>1059</v>
      </c>
      <c r="I277">
        <v>28000</v>
      </c>
      <c r="J277">
        <v>12</v>
      </c>
      <c r="K277">
        <v>336000</v>
      </c>
      <c r="L277">
        <v>2</v>
      </c>
      <c r="M277">
        <v>4</v>
      </c>
      <c r="N277">
        <v>8400</v>
      </c>
      <c r="O277">
        <v>90</v>
      </c>
      <c r="P277">
        <v>5</v>
      </c>
      <c r="Q277">
        <v>3</v>
      </c>
      <c r="S277" t="s">
        <v>28</v>
      </c>
      <c r="T277">
        <v>10</v>
      </c>
      <c r="U277">
        <v>2500</v>
      </c>
      <c r="V277" t="s">
        <v>22</v>
      </c>
      <c r="W277" t="s">
        <v>1077</v>
      </c>
      <c r="X277" t="s">
        <v>20</v>
      </c>
      <c r="Y277">
        <v>25</v>
      </c>
    </row>
    <row r="278" spans="1:25">
      <c r="A278" t="s">
        <v>609</v>
      </c>
      <c r="B278" t="s">
        <v>610</v>
      </c>
      <c r="C278">
        <v>23</v>
      </c>
      <c r="D278" t="s">
        <v>46</v>
      </c>
      <c r="E278" t="s">
        <v>64</v>
      </c>
      <c r="F278" t="s">
        <v>36</v>
      </c>
      <c r="G278" t="s">
        <v>43</v>
      </c>
      <c r="H278" t="s">
        <v>1060</v>
      </c>
      <c r="I278">
        <v>24000</v>
      </c>
      <c r="J278">
        <v>12</v>
      </c>
      <c r="K278">
        <v>288000</v>
      </c>
      <c r="L278">
        <v>1</v>
      </c>
      <c r="M278">
        <v>2</v>
      </c>
      <c r="N278" t="s">
        <v>1077</v>
      </c>
      <c r="O278">
        <v>88</v>
      </c>
      <c r="P278">
        <v>5</v>
      </c>
      <c r="Q278">
        <v>5</v>
      </c>
      <c r="S278" t="s">
        <v>38</v>
      </c>
      <c r="U278">
        <v>0</v>
      </c>
      <c r="V278" t="s">
        <v>39</v>
      </c>
      <c r="W278" t="s">
        <v>1077</v>
      </c>
      <c r="X278" t="s">
        <v>20</v>
      </c>
      <c r="Y278">
        <v>25</v>
      </c>
    </row>
    <row r="279" spans="1:25">
      <c r="A279" t="s">
        <v>611</v>
      </c>
      <c r="B279" t="s">
        <v>612</v>
      </c>
      <c r="C279">
        <v>23</v>
      </c>
      <c r="D279" t="s">
        <v>46</v>
      </c>
      <c r="E279" t="s">
        <v>47</v>
      </c>
      <c r="F279" t="s">
        <v>27</v>
      </c>
      <c r="G279" t="s">
        <v>43</v>
      </c>
      <c r="H279" t="s">
        <v>1060</v>
      </c>
      <c r="I279">
        <v>24000</v>
      </c>
      <c r="J279">
        <v>12</v>
      </c>
      <c r="K279">
        <v>288000</v>
      </c>
      <c r="L279">
        <v>1</v>
      </c>
      <c r="M279">
        <v>5</v>
      </c>
      <c r="N279">
        <v>7200</v>
      </c>
      <c r="O279">
        <v>88</v>
      </c>
      <c r="P279">
        <v>5</v>
      </c>
      <c r="Q279">
        <v>1</v>
      </c>
      <c r="R279" t="s">
        <v>37</v>
      </c>
      <c r="S279" t="s">
        <v>38</v>
      </c>
      <c r="T279">
        <v>20</v>
      </c>
      <c r="U279">
        <v>5000</v>
      </c>
      <c r="V279" t="s">
        <v>58</v>
      </c>
      <c r="W279" t="s">
        <v>1077</v>
      </c>
      <c r="X279" t="s">
        <v>20</v>
      </c>
      <c r="Y279">
        <v>12</v>
      </c>
    </row>
    <row r="280" spans="1:25">
      <c r="A280" t="s">
        <v>613</v>
      </c>
      <c r="B280" t="s">
        <v>614</v>
      </c>
      <c r="C280">
        <v>28</v>
      </c>
      <c r="D280" t="s">
        <v>46</v>
      </c>
      <c r="E280" t="s">
        <v>65</v>
      </c>
      <c r="F280" t="s">
        <v>66</v>
      </c>
      <c r="G280" t="s">
        <v>1048</v>
      </c>
      <c r="H280" t="s">
        <v>1060</v>
      </c>
      <c r="I280">
        <v>69500</v>
      </c>
      <c r="J280">
        <v>12</v>
      </c>
      <c r="K280">
        <v>834000</v>
      </c>
      <c r="L280">
        <v>5</v>
      </c>
      <c r="M280">
        <v>5</v>
      </c>
      <c r="N280">
        <v>20850</v>
      </c>
      <c r="O280">
        <v>88</v>
      </c>
      <c r="P280">
        <v>5</v>
      </c>
      <c r="Q280">
        <v>3</v>
      </c>
      <c r="R280" t="s">
        <v>21</v>
      </c>
      <c r="S280" t="s">
        <v>38</v>
      </c>
      <c r="T280">
        <v>10</v>
      </c>
      <c r="U280">
        <v>3000</v>
      </c>
      <c r="V280" t="s">
        <v>58</v>
      </c>
      <c r="W280" t="s">
        <v>1077</v>
      </c>
      <c r="X280" t="s">
        <v>33</v>
      </c>
      <c r="Y280">
        <v>20</v>
      </c>
    </row>
    <row r="281" spans="1:25">
      <c r="A281" t="s">
        <v>615</v>
      </c>
      <c r="B281" t="s">
        <v>616</v>
      </c>
      <c r="C281">
        <v>23</v>
      </c>
      <c r="D281" t="s">
        <v>1077</v>
      </c>
      <c r="E281" t="s">
        <v>50</v>
      </c>
      <c r="F281" t="s">
        <v>27</v>
      </c>
      <c r="G281" t="s">
        <v>43</v>
      </c>
      <c r="H281" t="s">
        <v>1060</v>
      </c>
      <c r="I281">
        <v>24000</v>
      </c>
      <c r="J281">
        <v>12</v>
      </c>
      <c r="K281">
        <v>288000</v>
      </c>
      <c r="L281">
        <v>1</v>
      </c>
      <c r="M281">
        <v>2</v>
      </c>
      <c r="N281" t="s">
        <v>1077</v>
      </c>
      <c r="O281">
        <v>90</v>
      </c>
      <c r="P281">
        <v>5</v>
      </c>
      <c r="Q281">
        <v>1</v>
      </c>
      <c r="R281" t="s">
        <v>37</v>
      </c>
      <c r="S281" t="s">
        <v>38</v>
      </c>
      <c r="T281">
        <v>20</v>
      </c>
      <c r="U281">
        <v>5000</v>
      </c>
      <c r="V281" t="s">
        <v>39</v>
      </c>
      <c r="W281" t="s">
        <v>1077</v>
      </c>
      <c r="X281" t="s">
        <v>20</v>
      </c>
      <c r="Y281">
        <v>12</v>
      </c>
    </row>
    <row r="282" spans="1:25">
      <c r="A282" t="s">
        <v>617</v>
      </c>
      <c r="B282" t="s">
        <v>618</v>
      </c>
      <c r="C282">
        <v>23</v>
      </c>
      <c r="D282" t="s">
        <v>46</v>
      </c>
      <c r="E282" t="s">
        <v>17</v>
      </c>
      <c r="F282" t="s">
        <v>18</v>
      </c>
      <c r="G282" t="s">
        <v>43</v>
      </c>
      <c r="H282" t="s">
        <v>1060</v>
      </c>
      <c r="I282">
        <v>24000</v>
      </c>
      <c r="J282">
        <v>12</v>
      </c>
      <c r="K282">
        <v>288000</v>
      </c>
      <c r="L282">
        <v>1</v>
      </c>
      <c r="M282">
        <v>5</v>
      </c>
      <c r="N282">
        <v>7200</v>
      </c>
      <c r="O282">
        <v>95</v>
      </c>
      <c r="P282">
        <v>12</v>
      </c>
      <c r="Q282">
        <v>2</v>
      </c>
      <c r="R282" t="s">
        <v>21</v>
      </c>
      <c r="S282" t="s">
        <v>38</v>
      </c>
      <c r="T282">
        <v>10</v>
      </c>
      <c r="U282">
        <v>2500</v>
      </c>
      <c r="V282" t="s">
        <v>58</v>
      </c>
      <c r="W282" t="s">
        <v>1077</v>
      </c>
      <c r="X282" t="s">
        <v>20</v>
      </c>
      <c r="Y282">
        <v>10</v>
      </c>
    </row>
    <row r="283" spans="1:25">
      <c r="A283" t="s">
        <v>619</v>
      </c>
      <c r="B283" t="s">
        <v>620</v>
      </c>
      <c r="C283">
        <v>25</v>
      </c>
      <c r="D283" t="s">
        <v>46</v>
      </c>
      <c r="E283" t="s">
        <v>57</v>
      </c>
      <c r="F283" t="s">
        <v>31</v>
      </c>
      <c r="G283" t="s">
        <v>43</v>
      </c>
      <c r="H283" t="s">
        <v>1060</v>
      </c>
      <c r="I283">
        <v>24000</v>
      </c>
      <c r="J283">
        <v>12</v>
      </c>
      <c r="K283">
        <v>288000</v>
      </c>
      <c r="L283">
        <v>1</v>
      </c>
      <c r="M283">
        <v>2</v>
      </c>
      <c r="N283" t="s">
        <v>1077</v>
      </c>
      <c r="O283">
        <v>95</v>
      </c>
      <c r="P283">
        <v>15</v>
      </c>
      <c r="Q283">
        <v>10</v>
      </c>
      <c r="R283" t="s">
        <v>37</v>
      </c>
      <c r="S283" t="s">
        <v>38</v>
      </c>
      <c r="U283">
        <v>0</v>
      </c>
      <c r="V283" t="s">
        <v>39</v>
      </c>
      <c r="W283" t="s">
        <v>1077</v>
      </c>
      <c r="X283" t="s">
        <v>33</v>
      </c>
      <c r="Y283">
        <v>13</v>
      </c>
    </row>
    <row r="284" spans="1:25">
      <c r="A284" t="s">
        <v>621</v>
      </c>
      <c r="B284" t="s">
        <v>622</v>
      </c>
      <c r="C284">
        <v>23</v>
      </c>
      <c r="D284" t="s">
        <v>46</v>
      </c>
      <c r="E284" t="s">
        <v>61</v>
      </c>
      <c r="F284" t="s">
        <v>66</v>
      </c>
      <c r="G284" t="s">
        <v>43</v>
      </c>
      <c r="H284" t="s">
        <v>1060</v>
      </c>
      <c r="I284">
        <v>28000</v>
      </c>
      <c r="J284">
        <v>12</v>
      </c>
      <c r="K284">
        <v>336000</v>
      </c>
      <c r="L284">
        <v>2</v>
      </c>
      <c r="M284">
        <v>2</v>
      </c>
      <c r="N284" t="s">
        <v>1077</v>
      </c>
      <c r="O284">
        <v>80</v>
      </c>
      <c r="P284">
        <v>12</v>
      </c>
      <c r="Q284">
        <v>5</v>
      </c>
      <c r="R284" t="s">
        <v>21</v>
      </c>
      <c r="S284" t="s">
        <v>38</v>
      </c>
      <c r="T284">
        <v>20</v>
      </c>
      <c r="U284">
        <v>5000</v>
      </c>
      <c r="V284" t="s">
        <v>39</v>
      </c>
      <c r="W284" t="s">
        <v>1077</v>
      </c>
      <c r="X284" t="s">
        <v>33</v>
      </c>
      <c r="Y284">
        <v>20</v>
      </c>
    </row>
    <row r="285" spans="1:25">
      <c r="A285" t="s">
        <v>623</v>
      </c>
      <c r="B285" t="s">
        <v>624</v>
      </c>
      <c r="C285">
        <v>23</v>
      </c>
      <c r="D285" t="s">
        <v>46</v>
      </c>
      <c r="E285" t="s">
        <v>61</v>
      </c>
      <c r="F285" t="s">
        <v>66</v>
      </c>
      <c r="G285" t="s">
        <v>43</v>
      </c>
      <c r="H285" t="s">
        <v>1060</v>
      </c>
      <c r="I285">
        <v>24000</v>
      </c>
      <c r="J285">
        <v>12</v>
      </c>
      <c r="K285">
        <v>288000</v>
      </c>
      <c r="L285">
        <v>1</v>
      </c>
      <c r="M285">
        <v>4</v>
      </c>
      <c r="N285">
        <v>7200</v>
      </c>
      <c r="O285">
        <v>95</v>
      </c>
      <c r="P285">
        <v>10</v>
      </c>
      <c r="Q285">
        <v>5</v>
      </c>
      <c r="R285" t="s">
        <v>37</v>
      </c>
      <c r="S285" t="s">
        <v>38</v>
      </c>
      <c r="U285">
        <v>0</v>
      </c>
      <c r="V285" t="s">
        <v>22</v>
      </c>
      <c r="W285" t="s">
        <v>1077</v>
      </c>
      <c r="X285" t="s">
        <v>33</v>
      </c>
      <c r="Y285">
        <v>20</v>
      </c>
    </row>
    <row r="286" spans="1:25">
      <c r="A286" t="s">
        <v>625</v>
      </c>
      <c r="B286" t="s">
        <v>626</v>
      </c>
      <c r="C286">
        <v>24</v>
      </c>
      <c r="D286" t="s">
        <v>25</v>
      </c>
      <c r="E286" t="s">
        <v>73</v>
      </c>
      <c r="F286" t="s">
        <v>66</v>
      </c>
      <c r="G286" t="s">
        <v>43</v>
      </c>
      <c r="H286" t="s">
        <v>1060</v>
      </c>
      <c r="I286">
        <v>24000</v>
      </c>
      <c r="J286">
        <v>12</v>
      </c>
      <c r="K286">
        <v>288000</v>
      </c>
      <c r="L286">
        <v>1</v>
      </c>
      <c r="M286">
        <v>3</v>
      </c>
      <c r="N286">
        <v>7200</v>
      </c>
      <c r="O286">
        <v>90</v>
      </c>
      <c r="P286">
        <v>5</v>
      </c>
      <c r="Q286">
        <v>2</v>
      </c>
      <c r="R286" t="s">
        <v>37</v>
      </c>
      <c r="S286" t="s">
        <v>19</v>
      </c>
      <c r="T286">
        <v>20</v>
      </c>
      <c r="U286">
        <v>5000</v>
      </c>
      <c r="V286" t="s">
        <v>22</v>
      </c>
      <c r="W286" t="s">
        <v>1077</v>
      </c>
      <c r="X286" t="s">
        <v>33</v>
      </c>
      <c r="Y286">
        <v>20</v>
      </c>
    </row>
    <row r="287" spans="1:25">
      <c r="A287" t="s">
        <v>627</v>
      </c>
      <c r="B287" t="s">
        <v>628</v>
      </c>
      <c r="C287">
        <v>23</v>
      </c>
      <c r="D287" t="s">
        <v>46</v>
      </c>
      <c r="E287" t="s">
        <v>65</v>
      </c>
      <c r="F287" t="s">
        <v>18</v>
      </c>
      <c r="G287" t="s">
        <v>43</v>
      </c>
      <c r="H287" t="s">
        <v>1060</v>
      </c>
      <c r="I287">
        <v>28000</v>
      </c>
      <c r="J287">
        <v>12</v>
      </c>
      <c r="K287">
        <v>336000</v>
      </c>
      <c r="L287">
        <v>2</v>
      </c>
      <c r="M287">
        <v>1</v>
      </c>
      <c r="N287" t="s">
        <v>1077</v>
      </c>
      <c r="O287">
        <v>85</v>
      </c>
      <c r="P287">
        <v>5</v>
      </c>
      <c r="Q287">
        <v>13</v>
      </c>
      <c r="R287" t="s">
        <v>21</v>
      </c>
      <c r="S287" t="s">
        <v>38</v>
      </c>
      <c r="U287">
        <v>0</v>
      </c>
      <c r="V287" t="s">
        <v>39</v>
      </c>
      <c r="W287" t="s">
        <v>1077</v>
      </c>
      <c r="X287" t="s">
        <v>20</v>
      </c>
      <c r="Y287">
        <v>10</v>
      </c>
    </row>
    <row r="288" spans="1:25">
      <c r="A288" t="s">
        <v>629</v>
      </c>
      <c r="B288" t="s">
        <v>630</v>
      </c>
      <c r="C288">
        <v>24</v>
      </c>
      <c r="D288" t="s">
        <v>25</v>
      </c>
      <c r="E288" t="s">
        <v>65</v>
      </c>
      <c r="F288" t="s">
        <v>36</v>
      </c>
      <c r="G288" t="s">
        <v>43</v>
      </c>
      <c r="H288" t="s">
        <v>1060</v>
      </c>
      <c r="I288">
        <v>24000</v>
      </c>
      <c r="J288">
        <v>12</v>
      </c>
      <c r="K288">
        <v>288000</v>
      </c>
      <c r="L288">
        <v>1</v>
      </c>
      <c r="M288">
        <v>2</v>
      </c>
      <c r="N288" t="s">
        <v>1077</v>
      </c>
      <c r="O288">
        <v>88</v>
      </c>
      <c r="P288">
        <v>12</v>
      </c>
      <c r="Q288">
        <v>1</v>
      </c>
      <c r="S288" t="s">
        <v>38</v>
      </c>
      <c r="T288">
        <v>10</v>
      </c>
      <c r="U288">
        <v>2500</v>
      </c>
      <c r="V288" t="s">
        <v>39</v>
      </c>
      <c r="W288" t="s">
        <v>1077</v>
      </c>
      <c r="X288" t="s">
        <v>20</v>
      </c>
      <c r="Y288">
        <v>25</v>
      </c>
    </row>
    <row r="289" spans="1:25">
      <c r="A289" t="s">
        <v>631</v>
      </c>
      <c r="B289" t="s">
        <v>632</v>
      </c>
      <c r="C289">
        <v>23</v>
      </c>
      <c r="D289" t="s">
        <v>1077</v>
      </c>
      <c r="E289" t="s">
        <v>64</v>
      </c>
      <c r="F289" t="s">
        <v>31</v>
      </c>
      <c r="G289" t="s">
        <v>43</v>
      </c>
      <c r="H289" t="s">
        <v>1060</v>
      </c>
      <c r="I289">
        <v>24000</v>
      </c>
      <c r="J289">
        <v>12</v>
      </c>
      <c r="K289">
        <v>288000</v>
      </c>
      <c r="L289">
        <v>1</v>
      </c>
      <c r="M289">
        <v>1</v>
      </c>
      <c r="N289" t="s">
        <v>1077</v>
      </c>
      <c r="O289">
        <v>85</v>
      </c>
      <c r="P289">
        <v>10</v>
      </c>
      <c r="Q289">
        <v>2</v>
      </c>
      <c r="S289" t="s">
        <v>19</v>
      </c>
      <c r="T289">
        <v>20</v>
      </c>
      <c r="U289">
        <v>5000</v>
      </c>
      <c r="V289" t="s">
        <v>39</v>
      </c>
      <c r="W289" t="s">
        <v>1077</v>
      </c>
      <c r="X289" t="s">
        <v>33</v>
      </c>
      <c r="Y289">
        <v>13</v>
      </c>
    </row>
    <row r="290" spans="1:25">
      <c r="A290" t="s">
        <v>633</v>
      </c>
      <c r="B290" t="s">
        <v>634</v>
      </c>
      <c r="C290">
        <v>25</v>
      </c>
      <c r="D290" t="s">
        <v>1077</v>
      </c>
      <c r="E290" t="s">
        <v>73</v>
      </c>
      <c r="F290" t="s">
        <v>36</v>
      </c>
      <c r="G290" t="s">
        <v>43</v>
      </c>
      <c r="H290" t="s">
        <v>1059</v>
      </c>
      <c r="I290">
        <v>28000</v>
      </c>
      <c r="J290">
        <v>12</v>
      </c>
      <c r="K290">
        <v>336000</v>
      </c>
      <c r="L290">
        <v>2</v>
      </c>
      <c r="M290">
        <v>4</v>
      </c>
      <c r="N290">
        <v>8400</v>
      </c>
      <c r="O290">
        <v>90</v>
      </c>
      <c r="P290">
        <v>12</v>
      </c>
      <c r="Q290">
        <v>5</v>
      </c>
      <c r="S290" t="s">
        <v>28</v>
      </c>
      <c r="T290">
        <v>10</v>
      </c>
      <c r="U290">
        <v>2500</v>
      </c>
      <c r="V290" t="s">
        <v>22</v>
      </c>
      <c r="W290" t="s">
        <v>1077</v>
      </c>
      <c r="X290" t="s">
        <v>20</v>
      </c>
      <c r="Y290">
        <v>25</v>
      </c>
    </row>
    <row r="291" spans="1:25">
      <c r="A291" t="s">
        <v>635</v>
      </c>
      <c r="B291" t="s">
        <v>636</v>
      </c>
      <c r="C291">
        <v>24</v>
      </c>
      <c r="D291" t="s">
        <v>46</v>
      </c>
      <c r="E291" t="s">
        <v>73</v>
      </c>
      <c r="F291" t="s">
        <v>18</v>
      </c>
      <c r="G291" t="s">
        <v>43</v>
      </c>
      <c r="H291" t="s">
        <v>1060</v>
      </c>
      <c r="I291">
        <v>28000</v>
      </c>
      <c r="J291">
        <v>12</v>
      </c>
      <c r="K291">
        <v>336000</v>
      </c>
      <c r="L291">
        <v>2</v>
      </c>
      <c r="M291">
        <v>3</v>
      </c>
      <c r="N291">
        <v>8400</v>
      </c>
      <c r="O291">
        <v>80</v>
      </c>
      <c r="P291">
        <v>10</v>
      </c>
      <c r="Q291">
        <v>2</v>
      </c>
      <c r="R291" t="s">
        <v>37</v>
      </c>
      <c r="S291" t="s">
        <v>38</v>
      </c>
      <c r="T291">
        <v>10</v>
      </c>
      <c r="U291">
        <v>2500</v>
      </c>
      <c r="V291" t="s">
        <v>22</v>
      </c>
      <c r="W291" t="s">
        <v>1077</v>
      </c>
      <c r="X291" t="s">
        <v>20</v>
      </c>
      <c r="Y291">
        <v>10</v>
      </c>
    </row>
    <row r="292" spans="1:25">
      <c r="A292" t="s">
        <v>637</v>
      </c>
      <c r="B292" t="s">
        <v>638</v>
      </c>
      <c r="C292">
        <v>24</v>
      </c>
      <c r="D292" t="s">
        <v>25</v>
      </c>
      <c r="E292" t="s">
        <v>57</v>
      </c>
      <c r="F292" t="s">
        <v>18</v>
      </c>
      <c r="G292" t="s">
        <v>43</v>
      </c>
      <c r="H292" t="s">
        <v>1060</v>
      </c>
      <c r="I292">
        <v>28000</v>
      </c>
      <c r="J292">
        <v>12</v>
      </c>
      <c r="K292">
        <v>336000</v>
      </c>
      <c r="L292">
        <v>2</v>
      </c>
      <c r="M292">
        <v>4</v>
      </c>
      <c r="N292">
        <v>8400</v>
      </c>
      <c r="O292">
        <v>88</v>
      </c>
      <c r="P292">
        <v>5</v>
      </c>
      <c r="Q292">
        <v>12</v>
      </c>
      <c r="S292" t="s">
        <v>38</v>
      </c>
      <c r="U292">
        <v>0</v>
      </c>
      <c r="V292" t="s">
        <v>22</v>
      </c>
      <c r="W292" t="s">
        <v>1077</v>
      </c>
      <c r="X292" t="s">
        <v>20</v>
      </c>
      <c r="Y292">
        <v>10</v>
      </c>
    </row>
    <row r="293" spans="1:25">
      <c r="A293" t="s">
        <v>639</v>
      </c>
      <c r="B293" t="s">
        <v>640</v>
      </c>
      <c r="C293">
        <v>24</v>
      </c>
      <c r="D293" t="s">
        <v>1077</v>
      </c>
      <c r="E293" t="s">
        <v>26</v>
      </c>
      <c r="F293" t="s">
        <v>31</v>
      </c>
      <c r="G293" t="s">
        <v>43</v>
      </c>
      <c r="H293" t="s">
        <v>1060</v>
      </c>
      <c r="I293">
        <v>24000</v>
      </c>
      <c r="J293">
        <v>12</v>
      </c>
      <c r="K293">
        <v>288000</v>
      </c>
      <c r="L293">
        <v>1</v>
      </c>
      <c r="M293">
        <v>1</v>
      </c>
      <c r="N293" t="s">
        <v>1077</v>
      </c>
      <c r="O293">
        <v>88</v>
      </c>
      <c r="P293">
        <v>15</v>
      </c>
      <c r="Q293">
        <v>2</v>
      </c>
      <c r="S293" t="s">
        <v>38</v>
      </c>
      <c r="U293">
        <v>0</v>
      </c>
      <c r="V293" t="s">
        <v>39</v>
      </c>
      <c r="W293" t="s">
        <v>1077</v>
      </c>
      <c r="X293" t="s">
        <v>33</v>
      </c>
      <c r="Y293">
        <v>13</v>
      </c>
    </row>
    <row r="294" spans="1:25">
      <c r="A294" t="s">
        <v>641</v>
      </c>
      <c r="B294" t="s">
        <v>642</v>
      </c>
      <c r="C294">
        <v>25</v>
      </c>
      <c r="D294" t="s">
        <v>1077</v>
      </c>
      <c r="E294" t="s">
        <v>50</v>
      </c>
      <c r="F294" t="s">
        <v>36</v>
      </c>
      <c r="G294" t="s">
        <v>43</v>
      </c>
      <c r="H294" t="s">
        <v>1060</v>
      </c>
      <c r="I294">
        <v>28000</v>
      </c>
      <c r="J294">
        <v>12</v>
      </c>
      <c r="K294">
        <v>336000</v>
      </c>
      <c r="L294">
        <v>2</v>
      </c>
      <c r="M294">
        <v>1</v>
      </c>
      <c r="N294" t="s">
        <v>1077</v>
      </c>
      <c r="O294">
        <v>90</v>
      </c>
      <c r="P294">
        <v>10</v>
      </c>
      <c r="Q294">
        <v>2</v>
      </c>
      <c r="R294" t="s">
        <v>21</v>
      </c>
      <c r="S294" t="s">
        <v>38</v>
      </c>
      <c r="T294">
        <v>5</v>
      </c>
      <c r="U294">
        <v>1250</v>
      </c>
      <c r="V294" t="s">
        <v>39</v>
      </c>
      <c r="W294" t="s">
        <v>1077</v>
      </c>
      <c r="X294" t="s">
        <v>20</v>
      </c>
      <c r="Y294">
        <v>25</v>
      </c>
    </row>
    <row r="295" spans="1:25">
      <c r="A295" t="s">
        <v>643</v>
      </c>
      <c r="B295" t="s">
        <v>644</v>
      </c>
      <c r="C295">
        <v>25</v>
      </c>
      <c r="D295" t="s">
        <v>25</v>
      </c>
      <c r="E295" t="s">
        <v>17</v>
      </c>
      <c r="F295" t="s">
        <v>31</v>
      </c>
      <c r="G295" t="s">
        <v>43</v>
      </c>
      <c r="H295" t="s">
        <v>1060</v>
      </c>
      <c r="I295">
        <v>24000</v>
      </c>
      <c r="J295">
        <v>12</v>
      </c>
      <c r="K295">
        <v>288000</v>
      </c>
      <c r="L295">
        <v>1</v>
      </c>
      <c r="M295">
        <v>3</v>
      </c>
      <c r="N295">
        <v>7200</v>
      </c>
      <c r="O295">
        <v>88</v>
      </c>
      <c r="P295">
        <v>5</v>
      </c>
      <c r="Q295">
        <v>2</v>
      </c>
      <c r="S295" t="s">
        <v>38</v>
      </c>
      <c r="U295">
        <v>0</v>
      </c>
      <c r="V295" t="s">
        <v>22</v>
      </c>
      <c r="W295" t="s">
        <v>1077</v>
      </c>
      <c r="X295" t="s">
        <v>33</v>
      </c>
      <c r="Y295">
        <v>13</v>
      </c>
    </row>
    <row r="296" spans="1:25">
      <c r="A296" t="s">
        <v>645</v>
      </c>
      <c r="B296" t="s">
        <v>646</v>
      </c>
      <c r="C296">
        <v>28</v>
      </c>
      <c r="D296" t="s">
        <v>1077</v>
      </c>
      <c r="E296" t="s">
        <v>26</v>
      </c>
      <c r="F296" t="s">
        <v>42</v>
      </c>
      <c r="G296" t="s">
        <v>1045</v>
      </c>
      <c r="H296" t="s">
        <v>1060</v>
      </c>
      <c r="I296">
        <v>78000</v>
      </c>
      <c r="J296">
        <v>12</v>
      </c>
      <c r="K296">
        <v>936000</v>
      </c>
      <c r="L296">
        <v>7</v>
      </c>
      <c r="M296">
        <v>4</v>
      </c>
      <c r="N296">
        <v>23400</v>
      </c>
      <c r="O296">
        <v>95</v>
      </c>
      <c r="P296">
        <v>10</v>
      </c>
      <c r="Q296">
        <v>9</v>
      </c>
      <c r="R296" t="s">
        <v>37</v>
      </c>
      <c r="S296" t="s">
        <v>38</v>
      </c>
      <c r="T296">
        <v>20</v>
      </c>
      <c r="U296">
        <v>6000</v>
      </c>
      <c r="V296" t="s">
        <v>58</v>
      </c>
      <c r="W296" t="s">
        <v>1077</v>
      </c>
      <c r="X296" t="s">
        <v>20</v>
      </c>
      <c r="Y296">
        <v>14</v>
      </c>
    </row>
    <row r="297" spans="1:25">
      <c r="A297" t="s">
        <v>647</v>
      </c>
      <c r="B297" t="s">
        <v>648</v>
      </c>
      <c r="C297">
        <v>29</v>
      </c>
      <c r="D297" t="s">
        <v>1077</v>
      </c>
      <c r="E297" t="s">
        <v>26</v>
      </c>
      <c r="F297" t="s">
        <v>31</v>
      </c>
      <c r="G297" t="s">
        <v>1045</v>
      </c>
      <c r="H297" t="s">
        <v>1060</v>
      </c>
      <c r="I297">
        <v>81000</v>
      </c>
      <c r="J297">
        <v>12</v>
      </c>
      <c r="K297">
        <v>972000</v>
      </c>
      <c r="L297">
        <v>6</v>
      </c>
      <c r="M297">
        <v>4</v>
      </c>
      <c r="N297">
        <v>24300</v>
      </c>
      <c r="O297">
        <v>88</v>
      </c>
      <c r="P297">
        <v>5</v>
      </c>
      <c r="Q297">
        <v>4</v>
      </c>
      <c r="R297" t="s">
        <v>37</v>
      </c>
      <c r="S297" t="s">
        <v>38</v>
      </c>
      <c r="T297">
        <v>10</v>
      </c>
      <c r="U297">
        <v>3000</v>
      </c>
      <c r="V297" t="s">
        <v>22</v>
      </c>
      <c r="W297" t="s">
        <v>1077</v>
      </c>
      <c r="X297" t="s">
        <v>33</v>
      </c>
      <c r="Y297">
        <v>13</v>
      </c>
    </row>
    <row r="298" spans="1:25">
      <c r="A298" t="s">
        <v>649</v>
      </c>
      <c r="B298" t="s">
        <v>650</v>
      </c>
      <c r="C298">
        <v>23</v>
      </c>
      <c r="D298" t="s">
        <v>25</v>
      </c>
      <c r="E298" t="s">
        <v>64</v>
      </c>
      <c r="F298" t="s">
        <v>42</v>
      </c>
      <c r="G298" t="s">
        <v>43</v>
      </c>
      <c r="H298" t="s">
        <v>1060</v>
      </c>
      <c r="I298">
        <v>28000</v>
      </c>
      <c r="J298">
        <v>12</v>
      </c>
      <c r="K298">
        <v>336000</v>
      </c>
      <c r="L298">
        <v>2</v>
      </c>
      <c r="M298">
        <v>2</v>
      </c>
      <c r="N298" t="s">
        <v>1077</v>
      </c>
      <c r="O298">
        <v>90</v>
      </c>
      <c r="P298">
        <v>12</v>
      </c>
      <c r="Q298">
        <v>2</v>
      </c>
      <c r="R298" t="s">
        <v>37</v>
      </c>
      <c r="S298" t="s">
        <v>38</v>
      </c>
      <c r="T298">
        <v>5</v>
      </c>
      <c r="U298">
        <v>1250</v>
      </c>
      <c r="V298" t="s">
        <v>39</v>
      </c>
      <c r="W298" t="s">
        <v>1077</v>
      </c>
      <c r="X298" t="s">
        <v>20</v>
      </c>
      <c r="Y298">
        <v>14</v>
      </c>
    </row>
    <row r="299" spans="1:25">
      <c r="A299" t="s">
        <v>651</v>
      </c>
      <c r="B299" t="s">
        <v>652</v>
      </c>
      <c r="C299">
        <v>25</v>
      </c>
      <c r="D299" t="s">
        <v>25</v>
      </c>
      <c r="E299" t="s">
        <v>65</v>
      </c>
      <c r="F299" t="s">
        <v>31</v>
      </c>
      <c r="G299" t="s">
        <v>43</v>
      </c>
      <c r="H299" t="s">
        <v>1059</v>
      </c>
      <c r="I299">
        <v>24000</v>
      </c>
      <c r="J299">
        <v>12</v>
      </c>
      <c r="K299">
        <v>288000</v>
      </c>
      <c r="L299">
        <v>1</v>
      </c>
      <c r="M299">
        <v>1</v>
      </c>
      <c r="N299" t="s">
        <v>1077</v>
      </c>
      <c r="O299">
        <v>95</v>
      </c>
      <c r="P299">
        <v>10</v>
      </c>
      <c r="Q299">
        <v>10</v>
      </c>
      <c r="R299" t="s">
        <v>37</v>
      </c>
      <c r="S299" t="s">
        <v>28</v>
      </c>
      <c r="T299">
        <v>5</v>
      </c>
      <c r="U299">
        <v>1250</v>
      </c>
      <c r="V299" t="s">
        <v>39</v>
      </c>
      <c r="W299" t="s">
        <v>1077</v>
      </c>
      <c r="X299" t="s">
        <v>33</v>
      </c>
      <c r="Y299">
        <v>13</v>
      </c>
    </row>
    <row r="300" spans="1:25">
      <c r="A300" t="s">
        <v>653</v>
      </c>
      <c r="B300" t="s">
        <v>654</v>
      </c>
      <c r="C300">
        <v>24</v>
      </c>
      <c r="D300" t="s">
        <v>25</v>
      </c>
      <c r="E300" t="s">
        <v>65</v>
      </c>
      <c r="F300" t="s">
        <v>31</v>
      </c>
      <c r="G300" t="s">
        <v>43</v>
      </c>
      <c r="H300" t="s">
        <v>1060</v>
      </c>
      <c r="I300">
        <v>24000</v>
      </c>
      <c r="J300">
        <v>12</v>
      </c>
      <c r="K300">
        <v>288000</v>
      </c>
      <c r="L300">
        <v>1</v>
      </c>
      <c r="M300">
        <v>3</v>
      </c>
      <c r="N300">
        <v>7200</v>
      </c>
      <c r="O300">
        <v>85</v>
      </c>
      <c r="P300">
        <v>5</v>
      </c>
      <c r="Q300">
        <v>10</v>
      </c>
      <c r="R300" t="s">
        <v>21</v>
      </c>
      <c r="S300" t="s">
        <v>38</v>
      </c>
      <c r="T300">
        <v>10</v>
      </c>
      <c r="U300">
        <v>2500</v>
      </c>
      <c r="V300" t="s">
        <v>22</v>
      </c>
      <c r="W300" t="s">
        <v>1077</v>
      </c>
      <c r="X300" t="s">
        <v>33</v>
      </c>
      <c r="Y300">
        <v>13</v>
      </c>
    </row>
    <row r="301" spans="1:25">
      <c r="A301" t="s">
        <v>655</v>
      </c>
      <c r="B301" t="s">
        <v>656</v>
      </c>
      <c r="C301">
        <v>25</v>
      </c>
      <c r="D301" t="s">
        <v>46</v>
      </c>
      <c r="E301" t="s">
        <v>57</v>
      </c>
      <c r="F301" t="s">
        <v>18</v>
      </c>
      <c r="G301" t="s">
        <v>43</v>
      </c>
      <c r="H301" t="s">
        <v>1060</v>
      </c>
      <c r="I301">
        <v>24000</v>
      </c>
      <c r="J301">
        <v>12</v>
      </c>
      <c r="K301">
        <v>288000</v>
      </c>
      <c r="L301">
        <v>1</v>
      </c>
      <c r="M301">
        <v>2</v>
      </c>
      <c r="N301" t="s">
        <v>1077</v>
      </c>
      <c r="O301">
        <v>85</v>
      </c>
      <c r="P301">
        <v>10</v>
      </c>
      <c r="Q301">
        <v>1</v>
      </c>
      <c r="R301" t="s">
        <v>37</v>
      </c>
      <c r="S301" t="s">
        <v>38</v>
      </c>
      <c r="T301">
        <v>20</v>
      </c>
      <c r="U301">
        <v>5000</v>
      </c>
      <c r="V301" t="s">
        <v>39</v>
      </c>
      <c r="W301" t="s">
        <v>1077</v>
      </c>
      <c r="X301" t="s">
        <v>20</v>
      </c>
      <c r="Y301">
        <v>10</v>
      </c>
    </row>
    <row r="302" spans="1:25">
      <c r="A302" t="s">
        <v>657</v>
      </c>
      <c r="B302" t="s">
        <v>658</v>
      </c>
      <c r="C302">
        <v>24</v>
      </c>
      <c r="D302" t="s">
        <v>46</v>
      </c>
      <c r="E302" t="s">
        <v>17</v>
      </c>
      <c r="F302" t="s">
        <v>31</v>
      </c>
      <c r="G302" t="s">
        <v>43</v>
      </c>
      <c r="H302" t="s">
        <v>1060</v>
      </c>
      <c r="I302">
        <v>28000</v>
      </c>
      <c r="J302">
        <v>12</v>
      </c>
      <c r="K302">
        <v>336000</v>
      </c>
      <c r="L302">
        <v>2</v>
      </c>
      <c r="M302">
        <v>2</v>
      </c>
      <c r="N302" t="s">
        <v>1077</v>
      </c>
      <c r="O302">
        <v>85</v>
      </c>
      <c r="P302">
        <v>15</v>
      </c>
      <c r="Q302">
        <v>3</v>
      </c>
      <c r="R302" t="s">
        <v>37</v>
      </c>
      <c r="S302" t="s">
        <v>38</v>
      </c>
      <c r="U302">
        <v>0</v>
      </c>
      <c r="V302" t="s">
        <v>39</v>
      </c>
      <c r="W302" t="s">
        <v>1077</v>
      </c>
      <c r="X302" t="s">
        <v>33</v>
      </c>
      <c r="Y302">
        <v>13</v>
      </c>
    </row>
    <row r="303" spans="1:25">
      <c r="A303" t="s">
        <v>659</v>
      </c>
      <c r="B303" t="s">
        <v>660</v>
      </c>
      <c r="C303">
        <v>24</v>
      </c>
      <c r="D303" t="s">
        <v>25</v>
      </c>
      <c r="E303" t="s">
        <v>65</v>
      </c>
      <c r="F303" t="s">
        <v>36</v>
      </c>
      <c r="G303" t="s">
        <v>43</v>
      </c>
      <c r="H303" t="s">
        <v>1060</v>
      </c>
      <c r="I303">
        <v>28000</v>
      </c>
      <c r="J303">
        <v>12</v>
      </c>
      <c r="K303">
        <v>336000</v>
      </c>
      <c r="L303">
        <v>2</v>
      </c>
      <c r="M303">
        <v>2</v>
      </c>
      <c r="N303" t="s">
        <v>1077</v>
      </c>
      <c r="O303">
        <v>85</v>
      </c>
      <c r="P303">
        <v>15</v>
      </c>
      <c r="Q303">
        <v>1</v>
      </c>
      <c r="R303" t="s">
        <v>21</v>
      </c>
      <c r="S303" t="s">
        <v>38</v>
      </c>
      <c r="T303">
        <v>5</v>
      </c>
      <c r="U303">
        <v>1250</v>
      </c>
      <c r="V303" t="s">
        <v>39</v>
      </c>
      <c r="W303" t="s">
        <v>1077</v>
      </c>
      <c r="X303" t="s">
        <v>20</v>
      </c>
      <c r="Y303">
        <v>25</v>
      </c>
    </row>
    <row r="304" spans="1:25">
      <c r="A304" t="s">
        <v>661</v>
      </c>
      <c r="B304" t="s">
        <v>662</v>
      </c>
      <c r="C304">
        <v>23</v>
      </c>
      <c r="D304" t="s">
        <v>25</v>
      </c>
      <c r="E304" t="s">
        <v>73</v>
      </c>
      <c r="F304" t="s">
        <v>42</v>
      </c>
      <c r="G304" t="s">
        <v>43</v>
      </c>
      <c r="H304" t="s">
        <v>1060</v>
      </c>
      <c r="I304">
        <v>28000</v>
      </c>
      <c r="J304">
        <v>12</v>
      </c>
      <c r="K304">
        <v>336000</v>
      </c>
      <c r="L304">
        <v>2</v>
      </c>
      <c r="M304">
        <v>1</v>
      </c>
      <c r="N304" t="s">
        <v>1077</v>
      </c>
      <c r="O304">
        <v>95</v>
      </c>
      <c r="P304">
        <v>10</v>
      </c>
      <c r="Q304">
        <v>11</v>
      </c>
      <c r="S304" t="s">
        <v>38</v>
      </c>
      <c r="T304">
        <v>5</v>
      </c>
      <c r="U304">
        <v>1250</v>
      </c>
      <c r="V304" t="s">
        <v>39</v>
      </c>
      <c r="W304" t="s">
        <v>1077</v>
      </c>
      <c r="X304" t="s">
        <v>20</v>
      </c>
      <c r="Y304">
        <v>14</v>
      </c>
    </row>
    <row r="305" spans="1:25">
      <c r="A305" t="s">
        <v>663</v>
      </c>
      <c r="B305" t="s">
        <v>664</v>
      </c>
      <c r="C305">
        <v>33</v>
      </c>
      <c r="D305" t="s">
        <v>25</v>
      </c>
      <c r="E305" t="s">
        <v>35</v>
      </c>
      <c r="F305" t="s">
        <v>27</v>
      </c>
      <c r="G305" t="s">
        <v>82</v>
      </c>
      <c r="H305" t="s">
        <v>1060</v>
      </c>
      <c r="I305">
        <v>89000</v>
      </c>
      <c r="J305">
        <v>12</v>
      </c>
      <c r="K305">
        <v>1068000</v>
      </c>
      <c r="L305">
        <v>8</v>
      </c>
      <c r="M305">
        <v>1</v>
      </c>
      <c r="N305" t="s">
        <v>1077</v>
      </c>
      <c r="O305">
        <v>88</v>
      </c>
      <c r="P305">
        <v>5</v>
      </c>
      <c r="Q305">
        <v>11</v>
      </c>
      <c r="S305" t="s">
        <v>38</v>
      </c>
      <c r="T305">
        <v>5</v>
      </c>
      <c r="U305">
        <v>1750</v>
      </c>
      <c r="V305" t="s">
        <v>39</v>
      </c>
      <c r="W305" t="s">
        <v>1077</v>
      </c>
      <c r="X305" t="s">
        <v>20</v>
      </c>
      <c r="Y305">
        <v>12</v>
      </c>
    </row>
    <row r="306" spans="1:25">
      <c r="A306" t="s">
        <v>665</v>
      </c>
      <c r="B306" t="s">
        <v>666</v>
      </c>
      <c r="C306">
        <v>23</v>
      </c>
      <c r="D306" t="s">
        <v>46</v>
      </c>
      <c r="E306" t="s">
        <v>64</v>
      </c>
      <c r="F306" t="s">
        <v>31</v>
      </c>
      <c r="G306" t="s">
        <v>43</v>
      </c>
      <c r="H306" t="s">
        <v>1060</v>
      </c>
      <c r="I306">
        <v>24000</v>
      </c>
      <c r="J306">
        <v>12</v>
      </c>
      <c r="K306">
        <v>288000</v>
      </c>
      <c r="L306">
        <v>1</v>
      </c>
      <c r="M306">
        <v>3</v>
      </c>
      <c r="N306">
        <v>7200</v>
      </c>
      <c r="O306">
        <v>88</v>
      </c>
      <c r="P306">
        <v>5</v>
      </c>
      <c r="Q306">
        <v>9</v>
      </c>
      <c r="S306" t="s">
        <v>38</v>
      </c>
      <c r="T306">
        <v>10</v>
      </c>
      <c r="U306">
        <v>2500</v>
      </c>
      <c r="V306" t="s">
        <v>22</v>
      </c>
      <c r="W306" t="s">
        <v>1077</v>
      </c>
      <c r="X306" t="s">
        <v>33</v>
      </c>
      <c r="Y306">
        <v>13</v>
      </c>
    </row>
    <row r="307" spans="1:25">
      <c r="A307" t="s">
        <v>667</v>
      </c>
      <c r="B307" t="s">
        <v>668</v>
      </c>
      <c r="C307">
        <v>24</v>
      </c>
      <c r="D307" t="s">
        <v>25</v>
      </c>
      <c r="E307" t="s">
        <v>73</v>
      </c>
      <c r="F307" t="s">
        <v>31</v>
      </c>
      <c r="G307" t="s">
        <v>43</v>
      </c>
      <c r="H307" t="s">
        <v>1060</v>
      </c>
      <c r="I307">
        <v>24000</v>
      </c>
      <c r="J307">
        <v>12</v>
      </c>
      <c r="K307">
        <v>288000</v>
      </c>
      <c r="L307">
        <v>1</v>
      </c>
      <c r="M307">
        <v>5</v>
      </c>
      <c r="N307">
        <v>7200</v>
      </c>
      <c r="O307">
        <v>90</v>
      </c>
      <c r="P307">
        <v>15</v>
      </c>
      <c r="Q307">
        <v>5</v>
      </c>
      <c r="S307" t="s">
        <v>38</v>
      </c>
      <c r="T307">
        <v>20</v>
      </c>
      <c r="U307">
        <v>5000</v>
      </c>
      <c r="V307" t="s">
        <v>58</v>
      </c>
      <c r="W307" t="s">
        <v>1077</v>
      </c>
      <c r="X307" t="s">
        <v>33</v>
      </c>
      <c r="Y307">
        <v>13</v>
      </c>
    </row>
    <row r="308" spans="1:25">
      <c r="A308" t="s">
        <v>669</v>
      </c>
      <c r="B308" t="s">
        <v>670</v>
      </c>
      <c r="C308">
        <v>23</v>
      </c>
      <c r="D308" t="s">
        <v>46</v>
      </c>
      <c r="E308" t="s">
        <v>61</v>
      </c>
      <c r="F308" t="s">
        <v>36</v>
      </c>
      <c r="G308" t="s">
        <v>43</v>
      </c>
      <c r="H308" t="s">
        <v>1059</v>
      </c>
      <c r="I308">
        <v>24000</v>
      </c>
      <c r="J308">
        <v>12</v>
      </c>
      <c r="K308">
        <v>288000</v>
      </c>
      <c r="L308">
        <v>1</v>
      </c>
      <c r="M308">
        <v>1</v>
      </c>
      <c r="N308" t="s">
        <v>1077</v>
      </c>
      <c r="O308">
        <v>95</v>
      </c>
      <c r="P308">
        <v>10</v>
      </c>
      <c r="Q308">
        <v>8</v>
      </c>
      <c r="S308" t="s">
        <v>28</v>
      </c>
      <c r="T308">
        <v>10</v>
      </c>
      <c r="U308">
        <v>2500</v>
      </c>
      <c r="V308" t="s">
        <v>39</v>
      </c>
      <c r="W308" t="s">
        <v>1077</v>
      </c>
      <c r="X308" t="s">
        <v>20</v>
      </c>
      <c r="Y308">
        <v>25</v>
      </c>
    </row>
    <row r="309" spans="1:25">
      <c r="A309" t="s">
        <v>671</v>
      </c>
      <c r="B309" t="s">
        <v>672</v>
      </c>
      <c r="C309">
        <v>25</v>
      </c>
      <c r="D309" t="s">
        <v>25</v>
      </c>
      <c r="E309" t="s">
        <v>65</v>
      </c>
      <c r="F309" t="s">
        <v>31</v>
      </c>
      <c r="G309" t="s">
        <v>43</v>
      </c>
      <c r="H309" t="s">
        <v>1060</v>
      </c>
      <c r="I309">
        <v>28000</v>
      </c>
      <c r="J309">
        <v>12</v>
      </c>
      <c r="K309">
        <v>336000</v>
      </c>
      <c r="L309">
        <v>2</v>
      </c>
      <c r="M309">
        <v>1</v>
      </c>
      <c r="N309" t="s">
        <v>1077</v>
      </c>
      <c r="O309">
        <v>90</v>
      </c>
      <c r="P309">
        <v>12</v>
      </c>
      <c r="Q309">
        <v>3</v>
      </c>
      <c r="R309" t="s">
        <v>37</v>
      </c>
      <c r="S309" t="s">
        <v>38</v>
      </c>
      <c r="T309">
        <v>5</v>
      </c>
      <c r="U309">
        <v>1250</v>
      </c>
      <c r="V309" t="s">
        <v>39</v>
      </c>
      <c r="W309" t="s">
        <v>1077</v>
      </c>
      <c r="X309" t="s">
        <v>33</v>
      </c>
      <c r="Y309">
        <v>13</v>
      </c>
    </row>
    <row r="310" spans="1:25">
      <c r="A310" t="s">
        <v>673</v>
      </c>
      <c r="B310" t="s">
        <v>674</v>
      </c>
      <c r="C310">
        <v>23</v>
      </c>
      <c r="D310" t="s">
        <v>25</v>
      </c>
      <c r="E310" t="s">
        <v>50</v>
      </c>
      <c r="F310" t="s">
        <v>42</v>
      </c>
      <c r="G310" t="s">
        <v>43</v>
      </c>
      <c r="H310" t="s">
        <v>1060</v>
      </c>
      <c r="I310">
        <v>24000</v>
      </c>
      <c r="J310">
        <v>12</v>
      </c>
      <c r="K310">
        <v>288000</v>
      </c>
      <c r="L310">
        <v>1</v>
      </c>
      <c r="M310">
        <v>2</v>
      </c>
      <c r="N310" t="s">
        <v>1077</v>
      </c>
      <c r="O310">
        <v>90</v>
      </c>
      <c r="P310">
        <v>5</v>
      </c>
      <c r="Q310">
        <v>1</v>
      </c>
      <c r="R310" t="s">
        <v>37</v>
      </c>
      <c r="S310" t="s">
        <v>19</v>
      </c>
      <c r="T310">
        <v>20</v>
      </c>
      <c r="U310">
        <v>5000</v>
      </c>
      <c r="V310" t="s">
        <v>39</v>
      </c>
      <c r="W310" t="s">
        <v>1077</v>
      </c>
      <c r="X310" t="s">
        <v>20</v>
      </c>
      <c r="Y310">
        <v>14</v>
      </c>
    </row>
    <row r="311" spans="1:25">
      <c r="A311" t="s">
        <v>675</v>
      </c>
      <c r="B311" t="s">
        <v>676</v>
      </c>
      <c r="C311">
        <v>25</v>
      </c>
      <c r="D311" t="s">
        <v>46</v>
      </c>
      <c r="E311" t="s">
        <v>64</v>
      </c>
      <c r="F311" t="s">
        <v>31</v>
      </c>
      <c r="G311" t="s">
        <v>43</v>
      </c>
      <c r="H311" t="s">
        <v>1060</v>
      </c>
      <c r="I311">
        <v>24000</v>
      </c>
      <c r="J311">
        <v>12</v>
      </c>
      <c r="K311">
        <v>288000</v>
      </c>
      <c r="L311">
        <v>1</v>
      </c>
      <c r="M311">
        <v>4</v>
      </c>
      <c r="N311">
        <v>7200</v>
      </c>
      <c r="O311">
        <v>80</v>
      </c>
      <c r="P311">
        <v>15</v>
      </c>
      <c r="Q311">
        <v>3</v>
      </c>
      <c r="S311" t="s">
        <v>19</v>
      </c>
      <c r="T311">
        <v>5</v>
      </c>
      <c r="U311">
        <v>1250</v>
      </c>
      <c r="V311" t="s">
        <v>22</v>
      </c>
      <c r="W311" t="s">
        <v>1077</v>
      </c>
      <c r="X311" t="s">
        <v>33</v>
      </c>
      <c r="Y311">
        <v>13</v>
      </c>
    </row>
    <row r="312" spans="1:25">
      <c r="A312" t="s">
        <v>677</v>
      </c>
      <c r="B312" t="s">
        <v>678</v>
      </c>
      <c r="C312">
        <v>25</v>
      </c>
      <c r="D312" t="s">
        <v>46</v>
      </c>
      <c r="E312" t="s">
        <v>47</v>
      </c>
      <c r="F312" t="s">
        <v>31</v>
      </c>
      <c r="G312" t="s">
        <v>43</v>
      </c>
      <c r="H312" t="s">
        <v>1060</v>
      </c>
      <c r="I312">
        <v>24000</v>
      </c>
      <c r="J312">
        <v>12</v>
      </c>
      <c r="K312">
        <v>288000</v>
      </c>
      <c r="L312">
        <v>1</v>
      </c>
      <c r="M312">
        <v>2</v>
      </c>
      <c r="N312" t="s">
        <v>1077</v>
      </c>
      <c r="O312">
        <v>88</v>
      </c>
      <c r="P312">
        <v>15</v>
      </c>
      <c r="Q312">
        <v>3</v>
      </c>
      <c r="S312" t="s">
        <v>38</v>
      </c>
      <c r="T312">
        <v>5</v>
      </c>
      <c r="U312">
        <v>1250</v>
      </c>
      <c r="V312" t="s">
        <v>39</v>
      </c>
      <c r="W312" t="s">
        <v>1077</v>
      </c>
      <c r="X312" t="s">
        <v>33</v>
      </c>
      <c r="Y312">
        <v>13</v>
      </c>
    </row>
    <row r="313" spans="1:25">
      <c r="A313" t="s">
        <v>679</v>
      </c>
      <c r="B313" t="s">
        <v>680</v>
      </c>
      <c r="C313">
        <v>25</v>
      </c>
      <c r="D313" t="s">
        <v>1077</v>
      </c>
      <c r="E313" t="s">
        <v>64</v>
      </c>
      <c r="F313" t="s">
        <v>18</v>
      </c>
      <c r="G313" t="s">
        <v>43</v>
      </c>
      <c r="H313" t="s">
        <v>1060</v>
      </c>
      <c r="I313">
        <v>28000</v>
      </c>
      <c r="J313">
        <v>12</v>
      </c>
      <c r="K313">
        <v>336000</v>
      </c>
      <c r="L313">
        <v>2</v>
      </c>
      <c r="M313">
        <v>5</v>
      </c>
      <c r="N313">
        <v>8400</v>
      </c>
      <c r="O313">
        <v>90</v>
      </c>
      <c r="P313">
        <v>10</v>
      </c>
      <c r="Q313">
        <v>5</v>
      </c>
      <c r="S313" t="s">
        <v>38</v>
      </c>
      <c r="T313">
        <v>10</v>
      </c>
      <c r="U313">
        <v>2500</v>
      </c>
      <c r="V313" t="s">
        <v>58</v>
      </c>
      <c r="W313" t="s">
        <v>1077</v>
      </c>
      <c r="X313" t="s">
        <v>20</v>
      </c>
      <c r="Y313">
        <v>10</v>
      </c>
    </row>
    <row r="314" spans="1:25">
      <c r="A314" t="s">
        <v>681</v>
      </c>
      <c r="B314" t="s">
        <v>682</v>
      </c>
      <c r="C314">
        <v>29</v>
      </c>
      <c r="D314" t="s">
        <v>1077</v>
      </c>
      <c r="E314" t="s">
        <v>35</v>
      </c>
      <c r="F314" t="s">
        <v>31</v>
      </c>
      <c r="G314" t="s">
        <v>1045</v>
      </c>
      <c r="H314" t="s">
        <v>1060</v>
      </c>
      <c r="I314">
        <v>78000</v>
      </c>
      <c r="J314">
        <v>12</v>
      </c>
      <c r="K314">
        <v>936000</v>
      </c>
      <c r="L314">
        <v>7</v>
      </c>
      <c r="M314">
        <v>3</v>
      </c>
      <c r="N314">
        <v>23400</v>
      </c>
      <c r="O314">
        <v>80</v>
      </c>
      <c r="P314">
        <v>12</v>
      </c>
      <c r="Q314">
        <v>5</v>
      </c>
      <c r="R314" t="s">
        <v>21</v>
      </c>
      <c r="S314" t="s">
        <v>38</v>
      </c>
      <c r="T314">
        <v>20</v>
      </c>
      <c r="U314">
        <v>6000</v>
      </c>
      <c r="V314" t="s">
        <v>22</v>
      </c>
      <c r="W314" t="s">
        <v>1077</v>
      </c>
      <c r="X314" t="s">
        <v>33</v>
      </c>
      <c r="Y314">
        <v>13</v>
      </c>
    </row>
    <row r="315" spans="1:25">
      <c r="A315" t="s">
        <v>683</v>
      </c>
      <c r="B315" t="s">
        <v>684</v>
      </c>
      <c r="C315">
        <v>25</v>
      </c>
      <c r="D315" t="s">
        <v>46</v>
      </c>
      <c r="E315" t="s">
        <v>17</v>
      </c>
      <c r="F315" t="s">
        <v>66</v>
      </c>
      <c r="G315" t="s">
        <v>43</v>
      </c>
      <c r="H315" t="s">
        <v>1060</v>
      </c>
      <c r="I315">
        <v>24000</v>
      </c>
      <c r="J315">
        <v>12</v>
      </c>
      <c r="K315">
        <v>288000</v>
      </c>
      <c r="L315">
        <v>1</v>
      </c>
      <c r="M315">
        <v>3</v>
      </c>
      <c r="N315">
        <v>7200</v>
      </c>
      <c r="O315">
        <v>85</v>
      </c>
      <c r="P315">
        <v>10</v>
      </c>
      <c r="Q315">
        <v>10</v>
      </c>
      <c r="R315" t="s">
        <v>21</v>
      </c>
      <c r="S315" t="s">
        <v>38</v>
      </c>
      <c r="U315">
        <v>0</v>
      </c>
      <c r="V315" t="s">
        <v>22</v>
      </c>
      <c r="W315" t="s">
        <v>1077</v>
      </c>
      <c r="X315" t="s">
        <v>33</v>
      </c>
      <c r="Y315">
        <v>20</v>
      </c>
    </row>
    <row r="316" spans="1:25">
      <c r="A316" t="s">
        <v>685</v>
      </c>
      <c r="B316" t="s">
        <v>686</v>
      </c>
      <c r="C316">
        <v>36</v>
      </c>
      <c r="D316" t="s">
        <v>25</v>
      </c>
      <c r="E316" t="s">
        <v>50</v>
      </c>
      <c r="F316" t="s">
        <v>66</v>
      </c>
      <c r="G316" t="s">
        <v>82</v>
      </c>
      <c r="H316" t="s">
        <v>1059</v>
      </c>
      <c r="I316">
        <v>89000</v>
      </c>
      <c r="J316">
        <v>12</v>
      </c>
      <c r="K316">
        <v>1068000</v>
      </c>
      <c r="L316">
        <v>6</v>
      </c>
      <c r="M316">
        <v>2</v>
      </c>
      <c r="N316" t="s">
        <v>1077</v>
      </c>
      <c r="O316">
        <v>90</v>
      </c>
      <c r="P316">
        <v>15</v>
      </c>
      <c r="Q316">
        <v>2</v>
      </c>
      <c r="R316" t="s">
        <v>21</v>
      </c>
      <c r="S316" t="s">
        <v>28</v>
      </c>
      <c r="T316">
        <v>10</v>
      </c>
      <c r="U316">
        <v>3500</v>
      </c>
      <c r="V316" t="s">
        <v>39</v>
      </c>
      <c r="W316" t="s">
        <v>1077</v>
      </c>
      <c r="X316" t="s">
        <v>33</v>
      </c>
      <c r="Y316">
        <v>20</v>
      </c>
    </row>
    <row r="317" spans="1:25">
      <c r="A317" t="s">
        <v>687</v>
      </c>
      <c r="B317" t="s">
        <v>688</v>
      </c>
      <c r="C317">
        <v>23</v>
      </c>
      <c r="D317" t="s">
        <v>46</v>
      </c>
      <c r="E317" t="s">
        <v>26</v>
      </c>
      <c r="F317" t="s">
        <v>42</v>
      </c>
      <c r="G317" t="s">
        <v>43</v>
      </c>
      <c r="H317" t="s">
        <v>1060</v>
      </c>
      <c r="I317">
        <v>28000</v>
      </c>
      <c r="J317">
        <v>12</v>
      </c>
      <c r="K317">
        <v>336000</v>
      </c>
      <c r="L317">
        <v>2</v>
      </c>
      <c r="M317">
        <v>2</v>
      </c>
      <c r="N317" t="s">
        <v>1077</v>
      </c>
      <c r="O317">
        <v>85</v>
      </c>
      <c r="P317">
        <v>10</v>
      </c>
      <c r="Q317">
        <v>1</v>
      </c>
      <c r="R317" t="s">
        <v>37</v>
      </c>
      <c r="S317" t="s">
        <v>38</v>
      </c>
      <c r="U317">
        <v>0</v>
      </c>
      <c r="V317" t="s">
        <v>39</v>
      </c>
      <c r="W317" t="s">
        <v>1077</v>
      </c>
      <c r="X317" t="s">
        <v>20</v>
      </c>
      <c r="Y317">
        <v>14</v>
      </c>
    </row>
    <row r="318" spans="1:25">
      <c r="A318" t="s">
        <v>689</v>
      </c>
      <c r="B318" t="s">
        <v>690</v>
      </c>
      <c r="C318">
        <v>33</v>
      </c>
      <c r="D318" t="s">
        <v>46</v>
      </c>
      <c r="E318" t="s">
        <v>73</v>
      </c>
      <c r="F318" t="s">
        <v>66</v>
      </c>
      <c r="G318" t="s">
        <v>82</v>
      </c>
      <c r="H318" t="s">
        <v>1060</v>
      </c>
      <c r="I318">
        <v>89000</v>
      </c>
      <c r="J318">
        <v>12</v>
      </c>
      <c r="K318">
        <v>1068000</v>
      </c>
      <c r="L318">
        <v>9</v>
      </c>
      <c r="M318">
        <v>2</v>
      </c>
      <c r="N318" t="s">
        <v>1077</v>
      </c>
      <c r="O318">
        <v>95</v>
      </c>
      <c r="P318">
        <v>5</v>
      </c>
      <c r="Q318">
        <v>3</v>
      </c>
      <c r="R318" t="s">
        <v>37</v>
      </c>
      <c r="S318" t="s">
        <v>38</v>
      </c>
      <c r="T318">
        <v>5</v>
      </c>
      <c r="U318">
        <v>1750</v>
      </c>
      <c r="V318" t="s">
        <v>39</v>
      </c>
      <c r="W318" t="s">
        <v>1077</v>
      </c>
      <c r="X318" t="s">
        <v>33</v>
      </c>
      <c r="Y318">
        <v>20</v>
      </c>
    </row>
    <row r="319" spans="1:25">
      <c r="A319" t="s">
        <v>113</v>
      </c>
      <c r="B319" t="s">
        <v>114</v>
      </c>
      <c r="C319">
        <v>33</v>
      </c>
      <c r="D319" t="s">
        <v>25</v>
      </c>
      <c r="E319" t="s">
        <v>64</v>
      </c>
      <c r="F319" t="s">
        <v>66</v>
      </c>
      <c r="G319" t="s">
        <v>82</v>
      </c>
      <c r="H319" t="s">
        <v>1059</v>
      </c>
      <c r="I319">
        <v>90000</v>
      </c>
      <c r="J319">
        <v>12</v>
      </c>
      <c r="K319">
        <v>1080000</v>
      </c>
      <c r="L319">
        <v>9</v>
      </c>
      <c r="M319">
        <v>3</v>
      </c>
      <c r="N319">
        <v>27000</v>
      </c>
      <c r="O319">
        <v>85</v>
      </c>
      <c r="P319">
        <v>12</v>
      </c>
      <c r="Q319">
        <v>3</v>
      </c>
      <c r="R319" t="s">
        <v>37</v>
      </c>
      <c r="S319" t="s">
        <v>28</v>
      </c>
      <c r="U319">
        <v>0</v>
      </c>
      <c r="V319" t="s">
        <v>22</v>
      </c>
      <c r="W319" t="s">
        <v>1077</v>
      </c>
      <c r="X319" t="s">
        <v>33</v>
      </c>
      <c r="Y319">
        <v>20</v>
      </c>
    </row>
    <row r="320" spans="1:25">
      <c r="A320" t="s">
        <v>691</v>
      </c>
      <c r="B320" t="s">
        <v>692</v>
      </c>
      <c r="C320">
        <v>25</v>
      </c>
      <c r="D320" t="s">
        <v>25</v>
      </c>
      <c r="E320" t="s">
        <v>73</v>
      </c>
      <c r="F320" t="s">
        <v>18</v>
      </c>
      <c r="G320" t="s">
        <v>43</v>
      </c>
      <c r="H320" t="s">
        <v>1060</v>
      </c>
      <c r="I320">
        <v>28000</v>
      </c>
      <c r="J320">
        <v>12</v>
      </c>
      <c r="K320">
        <v>336000</v>
      </c>
      <c r="L320">
        <v>2</v>
      </c>
      <c r="M320">
        <v>3</v>
      </c>
      <c r="N320">
        <v>8400</v>
      </c>
      <c r="O320">
        <v>80</v>
      </c>
      <c r="P320">
        <v>10</v>
      </c>
      <c r="Q320">
        <v>3</v>
      </c>
      <c r="R320" t="s">
        <v>21</v>
      </c>
      <c r="S320" t="s">
        <v>38</v>
      </c>
      <c r="T320">
        <v>5</v>
      </c>
      <c r="U320">
        <v>1250</v>
      </c>
      <c r="V320" t="s">
        <v>22</v>
      </c>
      <c r="W320" t="s">
        <v>1077</v>
      </c>
      <c r="X320" t="s">
        <v>20</v>
      </c>
      <c r="Y320">
        <v>10</v>
      </c>
    </row>
    <row r="321" spans="1:25">
      <c r="A321" t="s">
        <v>693</v>
      </c>
      <c r="B321" t="s">
        <v>694</v>
      </c>
      <c r="C321">
        <v>24</v>
      </c>
      <c r="D321" t="s">
        <v>1077</v>
      </c>
      <c r="E321" t="s">
        <v>64</v>
      </c>
      <c r="F321" t="s">
        <v>27</v>
      </c>
      <c r="G321" t="s">
        <v>43</v>
      </c>
      <c r="H321" t="s">
        <v>1060</v>
      </c>
      <c r="I321">
        <v>28000</v>
      </c>
      <c r="J321">
        <v>12</v>
      </c>
      <c r="K321">
        <v>336000</v>
      </c>
      <c r="L321">
        <v>2</v>
      </c>
      <c r="M321">
        <v>2</v>
      </c>
      <c r="N321" t="s">
        <v>1077</v>
      </c>
      <c r="O321">
        <v>85</v>
      </c>
      <c r="P321">
        <v>15</v>
      </c>
      <c r="Q321">
        <v>2</v>
      </c>
      <c r="S321" t="s">
        <v>38</v>
      </c>
      <c r="T321">
        <v>20</v>
      </c>
      <c r="U321">
        <v>5000</v>
      </c>
      <c r="V321" t="s">
        <v>39</v>
      </c>
      <c r="W321" t="s">
        <v>1077</v>
      </c>
      <c r="X321" t="s">
        <v>20</v>
      </c>
      <c r="Y321">
        <v>12</v>
      </c>
    </row>
    <row r="322" spans="1:25">
      <c r="A322" t="s">
        <v>695</v>
      </c>
      <c r="B322" t="s">
        <v>696</v>
      </c>
      <c r="C322">
        <v>24</v>
      </c>
      <c r="D322" t="s">
        <v>25</v>
      </c>
      <c r="E322" t="s">
        <v>73</v>
      </c>
      <c r="F322" t="s">
        <v>66</v>
      </c>
      <c r="G322" t="s">
        <v>1048</v>
      </c>
      <c r="H322" t="s">
        <v>1060</v>
      </c>
      <c r="I322">
        <v>65000</v>
      </c>
      <c r="J322">
        <v>12</v>
      </c>
      <c r="K322">
        <v>780000</v>
      </c>
      <c r="L322">
        <v>5</v>
      </c>
      <c r="M322">
        <v>1</v>
      </c>
      <c r="N322" t="s">
        <v>1077</v>
      </c>
      <c r="O322">
        <v>88</v>
      </c>
      <c r="P322">
        <v>15</v>
      </c>
      <c r="Q322">
        <v>1</v>
      </c>
      <c r="R322" t="s">
        <v>37</v>
      </c>
      <c r="S322" t="s">
        <v>38</v>
      </c>
      <c r="T322">
        <v>5</v>
      </c>
      <c r="U322">
        <v>1500</v>
      </c>
      <c r="V322" t="s">
        <v>39</v>
      </c>
      <c r="W322" t="s">
        <v>1077</v>
      </c>
      <c r="X322" t="s">
        <v>33</v>
      </c>
      <c r="Y322">
        <v>20</v>
      </c>
    </row>
    <row r="323" spans="1:25">
      <c r="A323" t="s">
        <v>697</v>
      </c>
      <c r="B323" t="s">
        <v>698</v>
      </c>
      <c r="C323">
        <v>23</v>
      </c>
      <c r="D323" t="s">
        <v>25</v>
      </c>
      <c r="E323" t="s">
        <v>47</v>
      </c>
      <c r="F323" t="s">
        <v>18</v>
      </c>
      <c r="G323" t="s">
        <v>43</v>
      </c>
      <c r="H323" t="s">
        <v>1060</v>
      </c>
      <c r="I323">
        <v>28000</v>
      </c>
      <c r="J323">
        <v>12</v>
      </c>
      <c r="K323">
        <v>336000</v>
      </c>
      <c r="L323">
        <v>2</v>
      </c>
      <c r="M323">
        <v>4</v>
      </c>
      <c r="N323">
        <v>8400</v>
      </c>
      <c r="O323">
        <v>95</v>
      </c>
      <c r="P323">
        <v>5</v>
      </c>
      <c r="Q323">
        <v>5</v>
      </c>
      <c r="R323" t="s">
        <v>37</v>
      </c>
      <c r="S323" t="s">
        <v>38</v>
      </c>
      <c r="T323">
        <v>10</v>
      </c>
      <c r="U323">
        <v>2500</v>
      </c>
      <c r="V323" t="s">
        <v>22</v>
      </c>
      <c r="W323" t="s">
        <v>1077</v>
      </c>
      <c r="X323" t="s">
        <v>20</v>
      </c>
      <c r="Y323">
        <v>10</v>
      </c>
    </row>
    <row r="324" spans="1:25">
      <c r="A324" t="s">
        <v>699</v>
      </c>
      <c r="B324" t="s">
        <v>700</v>
      </c>
      <c r="C324">
        <v>24</v>
      </c>
      <c r="D324" t="s">
        <v>25</v>
      </c>
      <c r="E324" t="s">
        <v>64</v>
      </c>
      <c r="F324" t="s">
        <v>31</v>
      </c>
      <c r="G324" t="s">
        <v>43</v>
      </c>
      <c r="H324" t="s">
        <v>1060</v>
      </c>
      <c r="I324">
        <v>24000</v>
      </c>
      <c r="J324">
        <v>12</v>
      </c>
      <c r="K324">
        <v>288000</v>
      </c>
      <c r="L324">
        <v>1</v>
      </c>
      <c r="M324">
        <v>1</v>
      </c>
      <c r="N324" t="s">
        <v>1077</v>
      </c>
      <c r="O324">
        <v>80</v>
      </c>
      <c r="P324">
        <v>10</v>
      </c>
      <c r="Q324">
        <v>3</v>
      </c>
      <c r="R324" t="s">
        <v>21</v>
      </c>
      <c r="S324" t="s">
        <v>38</v>
      </c>
      <c r="T324">
        <v>20</v>
      </c>
      <c r="U324">
        <v>5000</v>
      </c>
      <c r="V324" t="s">
        <v>39</v>
      </c>
      <c r="W324" t="s">
        <v>1077</v>
      </c>
      <c r="X324" t="s">
        <v>33</v>
      </c>
      <c r="Y324">
        <v>13</v>
      </c>
    </row>
    <row r="325" spans="1:25">
      <c r="A325" t="s">
        <v>701</v>
      </c>
      <c r="B325" t="s">
        <v>702</v>
      </c>
      <c r="C325">
        <v>24</v>
      </c>
      <c r="D325" t="s">
        <v>1077</v>
      </c>
      <c r="E325" t="s">
        <v>47</v>
      </c>
      <c r="F325" t="s">
        <v>42</v>
      </c>
      <c r="G325" t="s">
        <v>1045</v>
      </c>
      <c r="H325" t="s">
        <v>1060</v>
      </c>
      <c r="I325">
        <v>78000</v>
      </c>
      <c r="J325">
        <v>12</v>
      </c>
      <c r="K325">
        <v>936000</v>
      </c>
      <c r="L325">
        <v>7</v>
      </c>
      <c r="M325">
        <v>1</v>
      </c>
      <c r="N325" t="s">
        <v>1077</v>
      </c>
      <c r="O325">
        <v>85</v>
      </c>
      <c r="P325">
        <v>10</v>
      </c>
      <c r="Q325">
        <v>5</v>
      </c>
      <c r="R325" t="s">
        <v>37</v>
      </c>
      <c r="S325" t="s">
        <v>19</v>
      </c>
      <c r="U325">
        <v>0</v>
      </c>
      <c r="V325" t="s">
        <v>39</v>
      </c>
      <c r="W325" t="s">
        <v>1077</v>
      </c>
      <c r="X325" t="s">
        <v>20</v>
      </c>
      <c r="Y325">
        <v>14</v>
      </c>
    </row>
    <row r="326" spans="1:25">
      <c r="A326" t="s">
        <v>703</v>
      </c>
      <c r="B326" t="s">
        <v>704</v>
      </c>
      <c r="C326">
        <v>23</v>
      </c>
      <c r="D326" t="s">
        <v>25</v>
      </c>
      <c r="E326" t="s">
        <v>73</v>
      </c>
      <c r="F326" t="s">
        <v>36</v>
      </c>
      <c r="G326" t="s">
        <v>43</v>
      </c>
      <c r="H326" t="s">
        <v>1060</v>
      </c>
      <c r="I326">
        <v>24000</v>
      </c>
      <c r="J326">
        <v>12</v>
      </c>
      <c r="K326">
        <v>288000</v>
      </c>
      <c r="L326">
        <v>1</v>
      </c>
      <c r="M326">
        <v>1</v>
      </c>
      <c r="N326" t="s">
        <v>1077</v>
      </c>
      <c r="O326">
        <v>90</v>
      </c>
      <c r="P326">
        <v>31</v>
      </c>
      <c r="Q326">
        <v>2</v>
      </c>
      <c r="R326" t="s">
        <v>21</v>
      </c>
      <c r="S326" t="s">
        <v>38</v>
      </c>
      <c r="T326">
        <v>5</v>
      </c>
      <c r="U326">
        <v>1250</v>
      </c>
      <c r="V326" t="s">
        <v>39</v>
      </c>
      <c r="W326" t="s">
        <v>1077</v>
      </c>
      <c r="X326" t="s">
        <v>20</v>
      </c>
      <c r="Y326">
        <v>25</v>
      </c>
    </row>
    <row r="327" spans="1:25">
      <c r="A327" t="s">
        <v>705</v>
      </c>
      <c r="B327" t="s">
        <v>706</v>
      </c>
      <c r="C327">
        <v>24</v>
      </c>
      <c r="D327" t="s">
        <v>25</v>
      </c>
      <c r="E327" t="s">
        <v>73</v>
      </c>
      <c r="F327" t="s">
        <v>27</v>
      </c>
      <c r="G327" t="s">
        <v>43</v>
      </c>
      <c r="H327" t="s">
        <v>1060</v>
      </c>
      <c r="I327">
        <v>24000</v>
      </c>
      <c r="J327">
        <v>12</v>
      </c>
      <c r="K327">
        <v>288000</v>
      </c>
      <c r="L327">
        <v>1</v>
      </c>
      <c r="M327">
        <v>1</v>
      </c>
      <c r="N327" t="s">
        <v>1077</v>
      </c>
      <c r="O327">
        <v>90</v>
      </c>
      <c r="P327">
        <v>15</v>
      </c>
      <c r="Q327">
        <v>9</v>
      </c>
      <c r="S327" t="s">
        <v>38</v>
      </c>
      <c r="T327">
        <v>20</v>
      </c>
      <c r="U327">
        <v>5000</v>
      </c>
      <c r="V327" t="s">
        <v>39</v>
      </c>
      <c r="W327" t="s">
        <v>1077</v>
      </c>
      <c r="X327" t="s">
        <v>20</v>
      </c>
      <c r="Y327">
        <v>12</v>
      </c>
    </row>
    <row r="328" spans="1:25">
      <c r="A328" t="s">
        <v>707</v>
      </c>
      <c r="B328" t="s">
        <v>708</v>
      </c>
      <c r="C328">
        <v>26</v>
      </c>
      <c r="D328" t="s">
        <v>25</v>
      </c>
      <c r="E328" t="s">
        <v>57</v>
      </c>
      <c r="F328" t="s">
        <v>42</v>
      </c>
      <c r="G328" t="s">
        <v>1045</v>
      </c>
      <c r="H328" t="s">
        <v>1060</v>
      </c>
      <c r="I328">
        <v>78000</v>
      </c>
      <c r="J328">
        <v>12</v>
      </c>
      <c r="K328">
        <v>936000</v>
      </c>
      <c r="L328">
        <v>7</v>
      </c>
      <c r="M328">
        <v>3</v>
      </c>
      <c r="N328">
        <v>23400</v>
      </c>
      <c r="O328">
        <v>80</v>
      </c>
      <c r="P328">
        <v>5</v>
      </c>
      <c r="Q328">
        <v>1</v>
      </c>
      <c r="R328" t="s">
        <v>21</v>
      </c>
      <c r="S328" t="s">
        <v>38</v>
      </c>
      <c r="T328">
        <v>10</v>
      </c>
      <c r="U328">
        <v>3000</v>
      </c>
      <c r="V328" t="s">
        <v>22</v>
      </c>
      <c r="W328" t="s">
        <v>1077</v>
      </c>
      <c r="X328" t="s">
        <v>20</v>
      </c>
      <c r="Y328">
        <v>14</v>
      </c>
    </row>
    <row r="329" spans="1:25">
      <c r="A329" t="s">
        <v>709</v>
      </c>
      <c r="B329" t="s">
        <v>710</v>
      </c>
      <c r="C329">
        <v>28</v>
      </c>
      <c r="D329" t="s">
        <v>25</v>
      </c>
      <c r="E329" t="s">
        <v>64</v>
      </c>
      <c r="F329" t="s">
        <v>31</v>
      </c>
      <c r="G329" t="s">
        <v>1045</v>
      </c>
      <c r="H329" t="s">
        <v>1060</v>
      </c>
      <c r="I329">
        <v>77500</v>
      </c>
      <c r="J329">
        <v>12</v>
      </c>
      <c r="K329">
        <v>930000</v>
      </c>
      <c r="L329">
        <v>5</v>
      </c>
      <c r="M329">
        <v>5</v>
      </c>
      <c r="N329">
        <v>23250</v>
      </c>
      <c r="O329">
        <v>80</v>
      </c>
      <c r="P329">
        <v>10</v>
      </c>
      <c r="Q329">
        <v>5</v>
      </c>
      <c r="S329" t="s">
        <v>19</v>
      </c>
      <c r="T329">
        <v>5</v>
      </c>
      <c r="U329">
        <v>1500</v>
      </c>
      <c r="V329" t="s">
        <v>58</v>
      </c>
      <c r="W329" t="s">
        <v>1077</v>
      </c>
      <c r="X329" t="s">
        <v>33</v>
      </c>
      <c r="Y329">
        <v>13</v>
      </c>
    </row>
    <row r="330" spans="1:25">
      <c r="A330" t="s">
        <v>711</v>
      </c>
      <c r="B330" t="s">
        <v>712</v>
      </c>
      <c r="C330">
        <v>24</v>
      </c>
      <c r="D330" t="s">
        <v>46</v>
      </c>
      <c r="E330" t="s">
        <v>26</v>
      </c>
      <c r="F330" t="s">
        <v>27</v>
      </c>
      <c r="G330" t="s">
        <v>43</v>
      </c>
      <c r="H330" t="s">
        <v>1060</v>
      </c>
      <c r="I330">
        <v>28000</v>
      </c>
      <c r="J330">
        <v>12</v>
      </c>
      <c r="K330">
        <v>336000</v>
      </c>
      <c r="L330">
        <v>2</v>
      </c>
      <c r="M330">
        <v>1</v>
      </c>
      <c r="N330" t="s">
        <v>1077</v>
      </c>
      <c r="O330">
        <v>90</v>
      </c>
      <c r="P330">
        <v>15</v>
      </c>
      <c r="Q330">
        <v>11</v>
      </c>
      <c r="S330" t="s">
        <v>38</v>
      </c>
      <c r="T330">
        <v>10</v>
      </c>
      <c r="U330">
        <v>2500</v>
      </c>
      <c r="V330" t="s">
        <v>39</v>
      </c>
      <c r="W330" t="s">
        <v>1077</v>
      </c>
      <c r="X330" t="s">
        <v>20</v>
      </c>
      <c r="Y330">
        <v>12</v>
      </c>
    </row>
    <row r="331" spans="1:25">
      <c r="A331" t="s">
        <v>713</v>
      </c>
      <c r="B331" t="s">
        <v>714</v>
      </c>
      <c r="C331">
        <v>25</v>
      </c>
      <c r="D331" t="s">
        <v>25</v>
      </c>
      <c r="E331" t="s">
        <v>26</v>
      </c>
      <c r="F331" t="s">
        <v>42</v>
      </c>
      <c r="G331" t="s">
        <v>1048</v>
      </c>
      <c r="H331" t="s">
        <v>1060</v>
      </c>
      <c r="I331">
        <v>65000</v>
      </c>
      <c r="J331">
        <v>12</v>
      </c>
      <c r="K331">
        <v>780000</v>
      </c>
      <c r="L331">
        <v>5</v>
      </c>
      <c r="M331">
        <v>4</v>
      </c>
      <c r="N331">
        <v>19500</v>
      </c>
      <c r="O331">
        <v>90</v>
      </c>
      <c r="P331">
        <v>10</v>
      </c>
      <c r="Q331">
        <v>3</v>
      </c>
      <c r="R331" t="s">
        <v>37</v>
      </c>
      <c r="S331" t="s">
        <v>28</v>
      </c>
      <c r="T331">
        <v>5</v>
      </c>
      <c r="U331">
        <v>1500</v>
      </c>
      <c r="V331" t="s">
        <v>22</v>
      </c>
      <c r="W331" t="s">
        <v>1077</v>
      </c>
      <c r="X331" t="s">
        <v>20</v>
      </c>
      <c r="Y331">
        <v>14</v>
      </c>
    </row>
    <row r="332" spans="1:25">
      <c r="A332" t="s">
        <v>715</v>
      </c>
      <c r="B332" t="s">
        <v>716</v>
      </c>
      <c r="C332">
        <v>25</v>
      </c>
      <c r="D332" t="s">
        <v>46</v>
      </c>
      <c r="E332" t="s">
        <v>65</v>
      </c>
      <c r="F332" t="s">
        <v>31</v>
      </c>
      <c r="G332" t="s">
        <v>43</v>
      </c>
      <c r="H332" t="s">
        <v>1060</v>
      </c>
      <c r="I332">
        <v>24000</v>
      </c>
      <c r="J332">
        <v>12</v>
      </c>
      <c r="K332">
        <v>288000</v>
      </c>
      <c r="L332">
        <v>1</v>
      </c>
      <c r="M332">
        <v>1</v>
      </c>
      <c r="N332" t="s">
        <v>1077</v>
      </c>
      <c r="O332">
        <v>90</v>
      </c>
      <c r="P332">
        <v>5</v>
      </c>
      <c r="Q332">
        <v>3</v>
      </c>
      <c r="R332" t="s">
        <v>21</v>
      </c>
      <c r="S332" t="s">
        <v>38</v>
      </c>
      <c r="T332">
        <v>5</v>
      </c>
      <c r="U332">
        <v>1250</v>
      </c>
      <c r="V332" t="s">
        <v>39</v>
      </c>
      <c r="W332" t="s">
        <v>1077</v>
      </c>
      <c r="X332" t="s">
        <v>33</v>
      </c>
      <c r="Y332">
        <v>13</v>
      </c>
    </row>
    <row r="333" spans="1:25">
      <c r="A333" t="s">
        <v>717</v>
      </c>
      <c r="B333" t="s">
        <v>718</v>
      </c>
      <c r="C333">
        <v>24</v>
      </c>
      <c r="D333" t="s">
        <v>46</v>
      </c>
      <c r="E333" t="s">
        <v>73</v>
      </c>
      <c r="F333" t="s">
        <v>31</v>
      </c>
      <c r="G333" t="s">
        <v>1045</v>
      </c>
      <c r="H333" t="s">
        <v>1060</v>
      </c>
      <c r="I333">
        <v>73000</v>
      </c>
      <c r="J333">
        <v>12</v>
      </c>
      <c r="K333">
        <v>876000</v>
      </c>
      <c r="L333">
        <v>5</v>
      </c>
      <c r="M333">
        <v>4</v>
      </c>
      <c r="N333">
        <v>21900</v>
      </c>
      <c r="O333">
        <v>95</v>
      </c>
      <c r="P333">
        <v>13</v>
      </c>
      <c r="Q333">
        <v>1</v>
      </c>
      <c r="R333" t="s">
        <v>21</v>
      </c>
      <c r="S333" t="s">
        <v>19</v>
      </c>
      <c r="T333">
        <v>5</v>
      </c>
      <c r="U333">
        <v>1500</v>
      </c>
      <c r="V333" t="s">
        <v>22</v>
      </c>
      <c r="W333" t="s">
        <v>1077</v>
      </c>
      <c r="X333" t="s">
        <v>33</v>
      </c>
      <c r="Y333">
        <v>13</v>
      </c>
    </row>
    <row r="334" spans="1:25">
      <c r="A334" t="s">
        <v>719</v>
      </c>
      <c r="B334" t="s">
        <v>720</v>
      </c>
      <c r="C334">
        <v>23</v>
      </c>
      <c r="D334" t="s">
        <v>25</v>
      </c>
      <c r="E334" t="s">
        <v>26</v>
      </c>
      <c r="F334" t="s">
        <v>27</v>
      </c>
      <c r="G334" t="s">
        <v>43</v>
      </c>
      <c r="H334" t="s">
        <v>1059</v>
      </c>
      <c r="I334">
        <v>28000</v>
      </c>
      <c r="J334">
        <v>12</v>
      </c>
      <c r="K334">
        <v>336000</v>
      </c>
      <c r="L334">
        <v>2</v>
      </c>
      <c r="M334">
        <v>2</v>
      </c>
      <c r="N334" t="s">
        <v>1077</v>
      </c>
      <c r="O334">
        <v>85</v>
      </c>
      <c r="P334">
        <v>5</v>
      </c>
      <c r="Q334">
        <v>2</v>
      </c>
      <c r="S334" t="s">
        <v>28</v>
      </c>
      <c r="T334">
        <v>10</v>
      </c>
      <c r="U334">
        <v>2500</v>
      </c>
      <c r="V334" t="s">
        <v>39</v>
      </c>
      <c r="W334" t="s">
        <v>1077</v>
      </c>
      <c r="X334" t="s">
        <v>20</v>
      </c>
      <c r="Y334">
        <v>12</v>
      </c>
    </row>
    <row r="335" spans="1:25">
      <c r="A335" t="s">
        <v>721</v>
      </c>
      <c r="B335" t="s">
        <v>722</v>
      </c>
      <c r="C335">
        <v>23</v>
      </c>
      <c r="D335" t="s">
        <v>25</v>
      </c>
      <c r="E335" t="s">
        <v>26</v>
      </c>
      <c r="F335" t="s">
        <v>18</v>
      </c>
      <c r="G335" t="s">
        <v>43</v>
      </c>
      <c r="H335" t="s">
        <v>1060</v>
      </c>
      <c r="I335">
        <v>24000</v>
      </c>
      <c r="J335">
        <v>12</v>
      </c>
      <c r="K335">
        <v>288000</v>
      </c>
      <c r="L335">
        <v>1</v>
      </c>
      <c r="M335">
        <v>1</v>
      </c>
      <c r="N335" t="s">
        <v>1077</v>
      </c>
      <c r="O335">
        <v>90</v>
      </c>
      <c r="P335">
        <v>15</v>
      </c>
      <c r="Q335">
        <v>8</v>
      </c>
      <c r="S335" t="s">
        <v>38</v>
      </c>
      <c r="T335">
        <v>5</v>
      </c>
      <c r="U335">
        <v>1250</v>
      </c>
      <c r="V335" t="s">
        <v>39</v>
      </c>
      <c r="W335" t="s">
        <v>1077</v>
      </c>
      <c r="X335" t="s">
        <v>20</v>
      </c>
      <c r="Y335">
        <v>10</v>
      </c>
    </row>
    <row r="336" spans="1:25">
      <c r="A336" t="s">
        <v>723</v>
      </c>
      <c r="B336" t="s">
        <v>724</v>
      </c>
      <c r="C336">
        <v>24</v>
      </c>
      <c r="D336" t="s">
        <v>25</v>
      </c>
      <c r="E336" t="s">
        <v>17</v>
      </c>
      <c r="F336" t="s">
        <v>31</v>
      </c>
      <c r="G336" t="s">
        <v>43</v>
      </c>
      <c r="H336" t="s">
        <v>1060</v>
      </c>
      <c r="I336">
        <v>24000</v>
      </c>
      <c r="J336">
        <v>12</v>
      </c>
      <c r="K336">
        <v>288000</v>
      </c>
      <c r="L336">
        <v>1</v>
      </c>
      <c r="M336">
        <v>2</v>
      </c>
      <c r="N336" t="s">
        <v>1077</v>
      </c>
      <c r="O336">
        <v>95</v>
      </c>
      <c r="P336">
        <v>10</v>
      </c>
      <c r="Q336">
        <v>5</v>
      </c>
      <c r="R336" t="s">
        <v>21</v>
      </c>
      <c r="S336" t="s">
        <v>38</v>
      </c>
      <c r="U336">
        <v>0</v>
      </c>
      <c r="V336" t="s">
        <v>39</v>
      </c>
      <c r="W336" t="s">
        <v>1077</v>
      </c>
      <c r="X336" t="s">
        <v>33</v>
      </c>
      <c r="Y336">
        <v>13</v>
      </c>
    </row>
    <row r="337" spans="1:25">
      <c r="A337" t="s">
        <v>725</v>
      </c>
      <c r="B337" t="s">
        <v>726</v>
      </c>
      <c r="C337">
        <v>25</v>
      </c>
      <c r="D337" t="s">
        <v>46</v>
      </c>
      <c r="E337" t="s">
        <v>73</v>
      </c>
      <c r="F337" t="s">
        <v>36</v>
      </c>
      <c r="G337" t="s">
        <v>1048</v>
      </c>
      <c r="H337" t="s">
        <v>1060</v>
      </c>
      <c r="I337">
        <v>57000</v>
      </c>
      <c r="J337">
        <v>12</v>
      </c>
      <c r="K337">
        <v>684000</v>
      </c>
      <c r="L337">
        <v>3</v>
      </c>
      <c r="M337">
        <v>4</v>
      </c>
      <c r="N337">
        <v>17100</v>
      </c>
      <c r="O337">
        <v>95</v>
      </c>
      <c r="P337">
        <v>5</v>
      </c>
      <c r="Q337">
        <v>3</v>
      </c>
      <c r="R337" t="s">
        <v>37</v>
      </c>
      <c r="S337" t="s">
        <v>19</v>
      </c>
      <c r="T337">
        <v>10</v>
      </c>
      <c r="U337">
        <v>3000</v>
      </c>
      <c r="V337" t="s">
        <v>58</v>
      </c>
      <c r="W337" t="s">
        <v>1077</v>
      </c>
      <c r="X337" t="s">
        <v>20</v>
      </c>
      <c r="Y337">
        <v>25</v>
      </c>
    </row>
    <row r="338" spans="1:25">
      <c r="A338" t="s">
        <v>727</v>
      </c>
      <c r="B338" t="s">
        <v>728</v>
      </c>
      <c r="C338">
        <v>23</v>
      </c>
      <c r="D338" t="s">
        <v>46</v>
      </c>
      <c r="E338" t="s">
        <v>73</v>
      </c>
      <c r="F338" t="s">
        <v>36</v>
      </c>
      <c r="G338" t="s">
        <v>43</v>
      </c>
      <c r="H338" t="s">
        <v>1060</v>
      </c>
      <c r="I338">
        <v>24000</v>
      </c>
      <c r="J338">
        <v>12</v>
      </c>
      <c r="K338">
        <v>288000</v>
      </c>
      <c r="L338">
        <v>1</v>
      </c>
      <c r="M338">
        <v>4</v>
      </c>
      <c r="N338">
        <v>7200</v>
      </c>
      <c r="O338">
        <v>95</v>
      </c>
      <c r="P338">
        <v>15</v>
      </c>
      <c r="Q338">
        <v>11</v>
      </c>
      <c r="R338" t="s">
        <v>37</v>
      </c>
      <c r="S338" t="s">
        <v>38</v>
      </c>
      <c r="U338">
        <v>0</v>
      </c>
      <c r="V338" t="s">
        <v>22</v>
      </c>
      <c r="W338" t="s">
        <v>1077</v>
      </c>
      <c r="X338" t="s">
        <v>20</v>
      </c>
      <c r="Y338">
        <v>25</v>
      </c>
    </row>
    <row r="339" spans="1:25">
      <c r="A339" t="s">
        <v>729</v>
      </c>
      <c r="B339" t="s">
        <v>730</v>
      </c>
      <c r="C339">
        <v>24</v>
      </c>
      <c r="D339" t="s">
        <v>25</v>
      </c>
      <c r="E339" t="s">
        <v>73</v>
      </c>
      <c r="F339" t="s">
        <v>31</v>
      </c>
      <c r="G339" t="s">
        <v>43</v>
      </c>
      <c r="H339" t="s">
        <v>1060</v>
      </c>
      <c r="I339">
        <v>28000</v>
      </c>
      <c r="J339">
        <v>12</v>
      </c>
      <c r="K339">
        <v>336000</v>
      </c>
      <c r="L339">
        <v>2</v>
      </c>
      <c r="M339">
        <v>1</v>
      </c>
      <c r="N339" t="s">
        <v>1077</v>
      </c>
      <c r="O339">
        <v>88</v>
      </c>
      <c r="P339">
        <v>5</v>
      </c>
      <c r="Q339">
        <v>3</v>
      </c>
      <c r="R339" t="s">
        <v>21</v>
      </c>
      <c r="S339" t="s">
        <v>38</v>
      </c>
      <c r="T339">
        <v>10</v>
      </c>
      <c r="U339">
        <v>2500</v>
      </c>
      <c r="V339" t="s">
        <v>39</v>
      </c>
      <c r="W339" t="s">
        <v>1077</v>
      </c>
      <c r="X339" t="s">
        <v>33</v>
      </c>
      <c r="Y339">
        <v>13</v>
      </c>
    </row>
    <row r="340" spans="1:25">
      <c r="A340" t="s">
        <v>731</v>
      </c>
      <c r="B340" t="s">
        <v>732</v>
      </c>
      <c r="C340">
        <v>23</v>
      </c>
      <c r="D340" t="s">
        <v>46</v>
      </c>
      <c r="E340" t="s">
        <v>47</v>
      </c>
      <c r="F340" t="s">
        <v>18</v>
      </c>
      <c r="G340" t="s">
        <v>43</v>
      </c>
      <c r="H340" t="s">
        <v>1060</v>
      </c>
      <c r="I340">
        <v>24000</v>
      </c>
      <c r="J340">
        <v>12</v>
      </c>
      <c r="K340">
        <v>288000</v>
      </c>
      <c r="L340">
        <v>1</v>
      </c>
      <c r="M340">
        <v>2</v>
      </c>
      <c r="N340" t="s">
        <v>1077</v>
      </c>
      <c r="O340">
        <v>88</v>
      </c>
      <c r="P340">
        <v>10</v>
      </c>
      <c r="Q340">
        <v>2</v>
      </c>
      <c r="R340" t="s">
        <v>37</v>
      </c>
      <c r="S340" t="s">
        <v>38</v>
      </c>
      <c r="U340">
        <v>0</v>
      </c>
      <c r="V340" t="s">
        <v>39</v>
      </c>
      <c r="W340" t="s">
        <v>1077</v>
      </c>
      <c r="X340" t="s">
        <v>20</v>
      </c>
      <c r="Y340">
        <v>10</v>
      </c>
    </row>
    <row r="341" spans="1:25">
      <c r="A341" t="s">
        <v>733</v>
      </c>
      <c r="B341" t="s">
        <v>734</v>
      </c>
      <c r="C341">
        <v>25</v>
      </c>
      <c r="D341" t="s">
        <v>1077</v>
      </c>
      <c r="E341" t="s">
        <v>61</v>
      </c>
      <c r="F341" t="s">
        <v>31</v>
      </c>
      <c r="G341" t="s">
        <v>43</v>
      </c>
      <c r="H341" t="s">
        <v>1060</v>
      </c>
      <c r="I341">
        <v>24000</v>
      </c>
      <c r="J341">
        <v>12</v>
      </c>
      <c r="K341">
        <v>288000</v>
      </c>
      <c r="L341">
        <v>1</v>
      </c>
      <c r="M341">
        <v>1</v>
      </c>
      <c r="N341" t="s">
        <v>1077</v>
      </c>
      <c r="O341">
        <v>72</v>
      </c>
      <c r="P341">
        <v>13</v>
      </c>
      <c r="Q341">
        <v>2</v>
      </c>
      <c r="R341" t="s">
        <v>21</v>
      </c>
      <c r="S341" t="s">
        <v>38</v>
      </c>
      <c r="T341">
        <v>5</v>
      </c>
      <c r="U341">
        <v>1250</v>
      </c>
      <c r="V341" t="s">
        <v>39</v>
      </c>
      <c r="W341" t="s">
        <v>1077</v>
      </c>
      <c r="X341" t="s">
        <v>33</v>
      </c>
      <c r="Y341">
        <v>13</v>
      </c>
    </row>
    <row r="342" spans="1:25">
      <c r="A342" t="s">
        <v>735</v>
      </c>
      <c r="B342" t="s">
        <v>736</v>
      </c>
      <c r="C342">
        <v>25</v>
      </c>
      <c r="D342" t="s">
        <v>25</v>
      </c>
      <c r="E342" t="s">
        <v>35</v>
      </c>
      <c r="F342" t="s">
        <v>31</v>
      </c>
      <c r="G342" t="s">
        <v>43</v>
      </c>
      <c r="H342" t="s">
        <v>1060</v>
      </c>
      <c r="I342">
        <v>28000</v>
      </c>
      <c r="J342">
        <v>12</v>
      </c>
      <c r="K342">
        <v>336000</v>
      </c>
      <c r="L342">
        <v>2</v>
      </c>
      <c r="M342">
        <v>3</v>
      </c>
      <c r="N342">
        <v>8400</v>
      </c>
      <c r="O342">
        <v>95</v>
      </c>
      <c r="P342">
        <v>13</v>
      </c>
      <c r="Q342">
        <v>2</v>
      </c>
      <c r="R342" t="s">
        <v>21</v>
      </c>
      <c r="S342" t="s">
        <v>38</v>
      </c>
      <c r="T342">
        <v>10</v>
      </c>
      <c r="U342">
        <v>2500</v>
      </c>
      <c r="V342" t="s">
        <v>22</v>
      </c>
      <c r="W342" t="s">
        <v>1077</v>
      </c>
      <c r="X342" t="s">
        <v>33</v>
      </c>
      <c r="Y342">
        <v>13</v>
      </c>
    </row>
    <row r="343" spans="1:25">
      <c r="A343" t="s">
        <v>737</v>
      </c>
      <c r="B343" t="s">
        <v>738</v>
      </c>
      <c r="C343">
        <v>24</v>
      </c>
      <c r="D343" t="s">
        <v>25</v>
      </c>
      <c r="E343" t="s">
        <v>35</v>
      </c>
      <c r="F343" t="s">
        <v>66</v>
      </c>
      <c r="G343" t="s">
        <v>43</v>
      </c>
      <c r="H343" t="s">
        <v>1060</v>
      </c>
      <c r="I343">
        <v>24000</v>
      </c>
      <c r="J343">
        <v>12</v>
      </c>
      <c r="K343">
        <v>288000</v>
      </c>
      <c r="L343">
        <v>1</v>
      </c>
      <c r="M343">
        <v>4</v>
      </c>
      <c r="N343">
        <v>7200</v>
      </c>
      <c r="O343">
        <v>88</v>
      </c>
      <c r="P343">
        <v>10</v>
      </c>
      <c r="Q343">
        <v>2</v>
      </c>
      <c r="S343" t="s">
        <v>38</v>
      </c>
      <c r="T343">
        <v>20</v>
      </c>
      <c r="U343">
        <v>5000</v>
      </c>
      <c r="V343" t="s">
        <v>58</v>
      </c>
      <c r="W343" t="s">
        <v>1077</v>
      </c>
      <c r="X343" t="s">
        <v>33</v>
      </c>
      <c r="Y343">
        <v>20</v>
      </c>
    </row>
    <row r="344" spans="1:25">
      <c r="A344" t="s">
        <v>739</v>
      </c>
      <c r="B344" t="s">
        <v>740</v>
      </c>
      <c r="C344">
        <v>27</v>
      </c>
      <c r="D344" t="s">
        <v>46</v>
      </c>
      <c r="E344" t="s">
        <v>47</v>
      </c>
      <c r="F344" t="s">
        <v>42</v>
      </c>
      <c r="G344" t="s">
        <v>1048</v>
      </c>
      <c r="H344" t="s">
        <v>1060</v>
      </c>
      <c r="I344">
        <v>60000</v>
      </c>
      <c r="J344">
        <v>12</v>
      </c>
      <c r="K344">
        <v>720000</v>
      </c>
      <c r="L344">
        <v>4</v>
      </c>
      <c r="M344">
        <v>2</v>
      </c>
      <c r="N344" t="s">
        <v>1077</v>
      </c>
      <c r="O344">
        <v>85</v>
      </c>
      <c r="P344">
        <v>15</v>
      </c>
      <c r="Q344">
        <v>3</v>
      </c>
      <c r="R344" t="s">
        <v>37</v>
      </c>
      <c r="S344" t="s">
        <v>19</v>
      </c>
      <c r="T344">
        <v>20</v>
      </c>
      <c r="U344">
        <v>6000</v>
      </c>
      <c r="V344" t="s">
        <v>39</v>
      </c>
      <c r="W344" t="s">
        <v>1077</v>
      </c>
      <c r="X344" t="s">
        <v>20</v>
      </c>
      <c r="Y344">
        <v>14</v>
      </c>
    </row>
    <row r="345" spans="1:25">
      <c r="A345" t="s">
        <v>741</v>
      </c>
      <c r="B345" t="s">
        <v>742</v>
      </c>
      <c r="C345">
        <v>24</v>
      </c>
      <c r="D345" t="s">
        <v>25</v>
      </c>
      <c r="E345" t="s">
        <v>50</v>
      </c>
      <c r="F345" t="s">
        <v>31</v>
      </c>
      <c r="G345" t="s">
        <v>43</v>
      </c>
      <c r="H345" t="s">
        <v>1060</v>
      </c>
      <c r="I345">
        <v>24000</v>
      </c>
      <c r="J345">
        <v>12</v>
      </c>
      <c r="K345">
        <v>288000</v>
      </c>
      <c r="L345">
        <v>1</v>
      </c>
      <c r="M345">
        <v>3</v>
      </c>
      <c r="N345">
        <v>7200</v>
      </c>
      <c r="O345">
        <v>90</v>
      </c>
      <c r="P345">
        <v>15</v>
      </c>
      <c r="Q345">
        <v>7</v>
      </c>
      <c r="S345" t="s">
        <v>38</v>
      </c>
      <c r="T345">
        <v>5</v>
      </c>
      <c r="U345">
        <v>1250</v>
      </c>
      <c r="V345" t="s">
        <v>22</v>
      </c>
      <c r="W345" t="s">
        <v>1077</v>
      </c>
      <c r="X345" t="s">
        <v>33</v>
      </c>
      <c r="Y345">
        <v>13</v>
      </c>
    </row>
    <row r="346" spans="1:25">
      <c r="A346" t="s">
        <v>743</v>
      </c>
      <c r="B346" t="s">
        <v>744</v>
      </c>
      <c r="C346">
        <v>24</v>
      </c>
      <c r="D346" t="s">
        <v>46</v>
      </c>
      <c r="E346" t="s">
        <v>61</v>
      </c>
      <c r="F346" t="s">
        <v>18</v>
      </c>
      <c r="G346" t="s">
        <v>43</v>
      </c>
      <c r="H346" t="s">
        <v>1060</v>
      </c>
      <c r="I346">
        <v>28000</v>
      </c>
      <c r="J346">
        <v>12</v>
      </c>
      <c r="K346">
        <v>336000</v>
      </c>
      <c r="L346">
        <v>2</v>
      </c>
      <c r="M346">
        <v>4</v>
      </c>
      <c r="N346">
        <v>8400</v>
      </c>
      <c r="O346">
        <v>95</v>
      </c>
      <c r="P346">
        <v>13</v>
      </c>
      <c r="Q346">
        <v>13</v>
      </c>
      <c r="R346" t="s">
        <v>37</v>
      </c>
      <c r="S346" t="s">
        <v>19</v>
      </c>
      <c r="T346">
        <v>10</v>
      </c>
      <c r="U346">
        <v>2500</v>
      </c>
      <c r="V346" t="s">
        <v>22</v>
      </c>
      <c r="W346" t="s">
        <v>1077</v>
      </c>
      <c r="X346" t="s">
        <v>20</v>
      </c>
      <c r="Y346">
        <v>10</v>
      </c>
    </row>
    <row r="347" spans="1:25">
      <c r="A347" t="s">
        <v>745</v>
      </c>
      <c r="B347" t="s">
        <v>746</v>
      </c>
      <c r="C347">
        <v>25</v>
      </c>
      <c r="D347" t="s">
        <v>1077</v>
      </c>
      <c r="E347" t="s">
        <v>73</v>
      </c>
      <c r="F347" t="s">
        <v>66</v>
      </c>
      <c r="G347" t="s">
        <v>1048</v>
      </c>
      <c r="H347" t="s">
        <v>1059</v>
      </c>
      <c r="I347">
        <v>56000</v>
      </c>
      <c r="J347">
        <v>12</v>
      </c>
      <c r="K347">
        <v>672000</v>
      </c>
      <c r="L347">
        <v>3</v>
      </c>
      <c r="M347">
        <v>2</v>
      </c>
      <c r="N347" t="s">
        <v>1077</v>
      </c>
      <c r="O347">
        <v>95</v>
      </c>
      <c r="P347">
        <v>10</v>
      </c>
      <c r="Q347">
        <v>3</v>
      </c>
      <c r="S347" t="s">
        <v>28</v>
      </c>
      <c r="T347">
        <v>5</v>
      </c>
      <c r="U347">
        <v>1500</v>
      </c>
      <c r="V347" t="s">
        <v>39</v>
      </c>
      <c r="W347" t="s">
        <v>1077</v>
      </c>
      <c r="X347" t="s">
        <v>33</v>
      </c>
      <c r="Y347">
        <v>20</v>
      </c>
    </row>
    <row r="348" spans="1:25">
      <c r="A348" t="s">
        <v>747</v>
      </c>
      <c r="B348" t="s">
        <v>748</v>
      </c>
      <c r="C348">
        <v>23</v>
      </c>
      <c r="D348" t="s">
        <v>25</v>
      </c>
      <c r="E348" t="s">
        <v>26</v>
      </c>
      <c r="F348" t="s">
        <v>18</v>
      </c>
      <c r="G348" t="s">
        <v>43</v>
      </c>
      <c r="H348" t="s">
        <v>1060</v>
      </c>
      <c r="I348">
        <v>22000</v>
      </c>
      <c r="J348">
        <v>12</v>
      </c>
      <c r="K348">
        <v>264000</v>
      </c>
      <c r="L348">
        <v>1</v>
      </c>
      <c r="M348">
        <v>1</v>
      </c>
      <c r="N348" t="s">
        <v>1077</v>
      </c>
      <c r="O348">
        <v>90</v>
      </c>
      <c r="P348">
        <v>5</v>
      </c>
      <c r="Q348">
        <v>2</v>
      </c>
      <c r="R348" t="s">
        <v>21</v>
      </c>
      <c r="S348" t="s">
        <v>38</v>
      </c>
      <c r="T348">
        <v>10</v>
      </c>
      <c r="U348">
        <v>2500</v>
      </c>
      <c r="V348" t="s">
        <v>39</v>
      </c>
      <c r="W348" t="s">
        <v>1077</v>
      </c>
      <c r="X348" t="s">
        <v>20</v>
      </c>
      <c r="Y348">
        <v>10</v>
      </c>
    </row>
    <row r="349" spans="1:25">
      <c r="A349" t="s">
        <v>749</v>
      </c>
      <c r="B349" t="s">
        <v>750</v>
      </c>
      <c r="C349">
        <v>23</v>
      </c>
      <c r="D349" t="s">
        <v>1077</v>
      </c>
      <c r="E349" t="s">
        <v>35</v>
      </c>
      <c r="F349" t="s">
        <v>18</v>
      </c>
      <c r="G349" t="s">
        <v>43</v>
      </c>
      <c r="H349" t="s">
        <v>1060</v>
      </c>
      <c r="I349">
        <v>28000</v>
      </c>
      <c r="J349">
        <v>12</v>
      </c>
      <c r="K349">
        <v>336000</v>
      </c>
      <c r="L349">
        <v>2</v>
      </c>
      <c r="M349">
        <v>1</v>
      </c>
      <c r="N349" t="s">
        <v>1077</v>
      </c>
      <c r="O349">
        <v>88</v>
      </c>
      <c r="P349">
        <v>13</v>
      </c>
      <c r="Q349">
        <v>3</v>
      </c>
      <c r="R349" t="s">
        <v>21</v>
      </c>
      <c r="S349" t="s">
        <v>38</v>
      </c>
      <c r="T349">
        <v>5</v>
      </c>
      <c r="U349">
        <v>1250</v>
      </c>
      <c r="V349" t="s">
        <v>39</v>
      </c>
      <c r="W349" t="s">
        <v>1077</v>
      </c>
      <c r="X349" t="s">
        <v>20</v>
      </c>
      <c r="Y349">
        <v>10</v>
      </c>
    </row>
    <row r="350" spans="1:25">
      <c r="A350" t="s">
        <v>751</v>
      </c>
      <c r="B350" t="s">
        <v>752</v>
      </c>
      <c r="C350">
        <v>25</v>
      </c>
      <c r="D350" t="s">
        <v>46</v>
      </c>
      <c r="E350" t="s">
        <v>35</v>
      </c>
      <c r="F350" t="s">
        <v>18</v>
      </c>
      <c r="G350" t="s">
        <v>43</v>
      </c>
      <c r="H350" t="s">
        <v>1060</v>
      </c>
      <c r="I350">
        <v>28000</v>
      </c>
      <c r="J350">
        <v>12</v>
      </c>
      <c r="K350">
        <v>336000</v>
      </c>
      <c r="L350">
        <v>2</v>
      </c>
      <c r="M350">
        <v>1</v>
      </c>
      <c r="N350" t="s">
        <v>1077</v>
      </c>
      <c r="O350">
        <v>90</v>
      </c>
      <c r="P350">
        <v>13</v>
      </c>
      <c r="Q350">
        <v>1</v>
      </c>
      <c r="R350" t="s">
        <v>37</v>
      </c>
      <c r="S350" t="s">
        <v>38</v>
      </c>
      <c r="T350">
        <v>10</v>
      </c>
      <c r="U350">
        <v>2500</v>
      </c>
      <c r="V350" t="s">
        <v>39</v>
      </c>
      <c r="W350" t="s">
        <v>1077</v>
      </c>
      <c r="X350" t="s">
        <v>20</v>
      </c>
      <c r="Y350">
        <v>10</v>
      </c>
    </row>
    <row r="351" spans="1:25">
      <c r="A351" t="s">
        <v>753</v>
      </c>
      <c r="B351" t="s">
        <v>754</v>
      </c>
      <c r="C351">
        <v>23</v>
      </c>
      <c r="D351" t="s">
        <v>25</v>
      </c>
      <c r="E351" t="s">
        <v>35</v>
      </c>
      <c r="F351" t="s">
        <v>18</v>
      </c>
      <c r="G351" t="s">
        <v>43</v>
      </c>
      <c r="H351" t="s">
        <v>1060</v>
      </c>
      <c r="I351">
        <v>21000</v>
      </c>
      <c r="J351">
        <v>12</v>
      </c>
      <c r="K351">
        <v>252000</v>
      </c>
      <c r="L351">
        <v>1</v>
      </c>
      <c r="M351">
        <v>1</v>
      </c>
      <c r="N351" t="s">
        <v>1077</v>
      </c>
      <c r="O351">
        <v>85</v>
      </c>
      <c r="P351">
        <v>5</v>
      </c>
      <c r="Q351">
        <v>5</v>
      </c>
      <c r="S351" t="s">
        <v>38</v>
      </c>
      <c r="U351">
        <v>0</v>
      </c>
      <c r="V351" t="s">
        <v>39</v>
      </c>
      <c r="W351" t="s">
        <v>1077</v>
      </c>
      <c r="X351" t="s">
        <v>20</v>
      </c>
      <c r="Y351">
        <v>10</v>
      </c>
    </row>
    <row r="352" spans="1:25">
      <c r="A352" t="s">
        <v>755</v>
      </c>
      <c r="B352" t="s">
        <v>756</v>
      </c>
      <c r="C352">
        <v>25</v>
      </c>
      <c r="D352" t="s">
        <v>25</v>
      </c>
      <c r="E352" t="s">
        <v>57</v>
      </c>
      <c r="F352" t="s">
        <v>27</v>
      </c>
      <c r="G352" t="s">
        <v>43</v>
      </c>
      <c r="H352" t="s">
        <v>1060</v>
      </c>
      <c r="I352">
        <v>28000</v>
      </c>
      <c r="J352">
        <v>12</v>
      </c>
      <c r="K352">
        <v>336000</v>
      </c>
      <c r="L352">
        <v>2</v>
      </c>
      <c r="N352" t="s">
        <v>1077</v>
      </c>
      <c r="O352">
        <v>88</v>
      </c>
      <c r="P352">
        <v>15</v>
      </c>
      <c r="Q352">
        <v>3</v>
      </c>
      <c r="R352" t="s">
        <v>21</v>
      </c>
      <c r="S352" t="s">
        <v>38</v>
      </c>
      <c r="T352">
        <v>10</v>
      </c>
      <c r="U352">
        <v>2500</v>
      </c>
      <c r="V352" t="s">
        <v>1054</v>
      </c>
      <c r="W352" t="s">
        <v>1077</v>
      </c>
      <c r="X352" t="s">
        <v>20</v>
      </c>
      <c r="Y352">
        <v>12</v>
      </c>
    </row>
    <row r="353" spans="1:25">
      <c r="A353" t="s">
        <v>757</v>
      </c>
      <c r="B353" t="s">
        <v>758</v>
      </c>
      <c r="C353">
        <v>24</v>
      </c>
      <c r="D353" t="s">
        <v>1077</v>
      </c>
      <c r="E353" t="s">
        <v>17</v>
      </c>
      <c r="F353" t="s">
        <v>31</v>
      </c>
      <c r="G353" t="s">
        <v>1048</v>
      </c>
      <c r="H353" t="s">
        <v>1060</v>
      </c>
      <c r="I353">
        <v>56000</v>
      </c>
      <c r="J353">
        <v>12</v>
      </c>
      <c r="K353">
        <v>672000</v>
      </c>
      <c r="L353">
        <v>3</v>
      </c>
      <c r="M353">
        <v>1</v>
      </c>
      <c r="N353" t="s">
        <v>1077</v>
      </c>
      <c r="O353">
        <v>90</v>
      </c>
      <c r="P353">
        <v>10</v>
      </c>
      <c r="Q353">
        <v>7</v>
      </c>
      <c r="S353" t="s">
        <v>38</v>
      </c>
      <c r="T353">
        <v>5</v>
      </c>
      <c r="U353">
        <v>1500</v>
      </c>
      <c r="V353" t="s">
        <v>39</v>
      </c>
      <c r="W353" t="s">
        <v>1077</v>
      </c>
      <c r="X353" t="s">
        <v>33</v>
      </c>
      <c r="Y353">
        <v>13</v>
      </c>
    </row>
    <row r="354" spans="1:25">
      <c r="A354" t="s">
        <v>759</v>
      </c>
      <c r="B354" t="s">
        <v>760</v>
      </c>
      <c r="C354">
        <v>23</v>
      </c>
      <c r="D354" t="s">
        <v>25</v>
      </c>
      <c r="E354" t="s">
        <v>26</v>
      </c>
      <c r="F354" t="s">
        <v>18</v>
      </c>
      <c r="G354" t="s">
        <v>43</v>
      </c>
      <c r="H354" t="s">
        <v>1060</v>
      </c>
      <c r="I354">
        <v>20000</v>
      </c>
      <c r="J354">
        <v>12</v>
      </c>
      <c r="K354">
        <v>240000</v>
      </c>
      <c r="L354">
        <v>1</v>
      </c>
      <c r="M354">
        <v>2</v>
      </c>
      <c r="N354" t="s">
        <v>1077</v>
      </c>
      <c r="O354">
        <v>80</v>
      </c>
      <c r="P354">
        <v>15</v>
      </c>
      <c r="Q354">
        <v>2</v>
      </c>
      <c r="R354" t="s">
        <v>21</v>
      </c>
      <c r="S354" t="s">
        <v>38</v>
      </c>
      <c r="T354">
        <v>5</v>
      </c>
      <c r="U354">
        <v>1250</v>
      </c>
      <c r="V354" t="s">
        <v>39</v>
      </c>
      <c r="W354" t="s">
        <v>1077</v>
      </c>
      <c r="X354" t="s">
        <v>20</v>
      </c>
      <c r="Y354">
        <v>10</v>
      </c>
    </row>
    <row r="355" spans="1:25">
      <c r="A355" t="s">
        <v>761</v>
      </c>
      <c r="B355" t="s">
        <v>762</v>
      </c>
      <c r="C355">
        <v>25</v>
      </c>
      <c r="D355" t="s">
        <v>1077</v>
      </c>
      <c r="E355" t="s">
        <v>73</v>
      </c>
      <c r="F355" t="s">
        <v>27</v>
      </c>
      <c r="G355" t="s">
        <v>43</v>
      </c>
      <c r="H355" t="s">
        <v>1060</v>
      </c>
      <c r="I355">
        <v>28000</v>
      </c>
      <c r="J355">
        <v>12</v>
      </c>
      <c r="K355">
        <v>336000</v>
      </c>
      <c r="L355">
        <v>2</v>
      </c>
      <c r="M355">
        <v>4</v>
      </c>
      <c r="N355">
        <v>8400</v>
      </c>
      <c r="O355">
        <v>85</v>
      </c>
      <c r="P355">
        <v>5</v>
      </c>
      <c r="Q355">
        <v>5</v>
      </c>
      <c r="S355" t="s">
        <v>38</v>
      </c>
      <c r="T355">
        <v>10</v>
      </c>
      <c r="U355">
        <v>2500</v>
      </c>
      <c r="V355" t="s">
        <v>58</v>
      </c>
      <c r="W355" t="s">
        <v>1077</v>
      </c>
      <c r="X355" t="s">
        <v>20</v>
      </c>
      <c r="Y355">
        <v>12</v>
      </c>
    </row>
    <row r="356" spans="1:25">
      <c r="A356" t="s">
        <v>763</v>
      </c>
      <c r="B356" t="s">
        <v>764</v>
      </c>
      <c r="C356">
        <v>25</v>
      </c>
      <c r="D356" t="s">
        <v>25</v>
      </c>
      <c r="E356" t="s">
        <v>50</v>
      </c>
      <c r="F356" t="s">
        <v>42</v>
      </c>
      <c r="G356" t="s">
        <v>43</v>
      </c>
      <c r="H356" t="s">
        <v>1060</v>
      </c>
      <c r="I356">
        <v>28000</v>
      </c>
      <c r="J356">
        <v>12</v>
      </c>
      <c r="K356">
        <v>336000</v>
      </c>
      <c r="L356">
        <v>2</v>
      </c>
      <c r="M356">
        <v>2</v>
      </c>
      <c r="N356" t="s">
        <v>1077</v>
      </c>
      <c r="O356">
        <v>85</v>
      </c>
      <c r="P356">
        <v>10</v>
      </c>
      <c r="Q356">
        <v>3</v>
      </c>
      <c r="R356" t="s">
        <v>21</v>
      </c>
      <c r="S356" t="s">
        <v>38</v>
      </c>
      <c r="T356">
        <v>20</v>
      </c>
      <c r="U356">
        <v>5000</v>
      </c>
      <c r="V356" t="s">
        <v>39</v>
      </c>
      <c r="W356" t="s">
        <v>1077</v>
      </c>
      <c r="X356" t="s">
        <v>20</v>
      </c>
      <c r="Y356">
        <v>14</v>
      </c>
    </row>
    <row r="357" spans="1:25">
      <c r="A357" t="s">
        <v>765</v>
      </c>
      <c r="B357" t="s">
        <v>766</v>
      </c>
      <c r="C357">
        <v>23</v>
      </c>
      <c r="D357" t="s">
        <v>1077</v>
      </c>
      <c r="E357" t="s">
        <v>26</v>
      </c>
      <c r="F357" t="s">
        <v>36</v>
      </c>
      <c r="G357" t="s">
        <v>43</v>
      </c>
      <c r="H357" t="s">
        <v>1060</v>
      </c>
      <c r="I357">
        <v>28000</v>
      </c>
      <c r="J357">
        <v>12</v>
      </c>
      <c r="K357">
        <v>336000</v>
      </c>
      <c r="L357">
        <v>2</v>
      </c>
      <c r="M357">
        <v>1</v>
      </c>
      <c r="N357" t="s">
        <v>1077</v>
      </c>
      <c r="O357">
        <v>80</v>
      </c>
      <c r="P357">
        <v>15</v>
      </c>
      <c r="Q357">
        <v>5</v>
      </c>
      <c r="R357" t="s">
        <v>37</v>
      </c>
      <c r="S357" t="s">
        <v>38</v>
      </c>
      <c r="T357">
        <v>5</v>
      </c>
      <c r="U357">
        <v>1250</v>
      </c>
      <c r="V357" t="s">
        <v>39</v>
      </c>
      <c r="W357" t="s">
        <v>1077</v>
      </c>
      <c r="X357" t="s">
        <v>20</v>
      </c>
      <c r="Y357">
        <v>25</v>
      </c>
    </row>
    <row r="358" spans="1:25">
      <c r="A358" t="s">
        <v>767</v>
      </c>
      <c r="B358" t="s">
        <v>768</v>
      </c>
      <c r="C358">
        <v>25</v>
      </c>
      <c r="D358" t="s">
        <v>25</v>
      </c>
      <c r="E358" t="s">
        <v>50</v>
      </c>
      <c r="F358" t="s">
        <v>66</v>
      </c>
      <c r="G358" t="s">
        <v>43</v>
      </c>
      <c r="H358" t="s">
        <v>1060</v>
      </c>
      <c r="I358">
        <v>28000</v>
      </c>
      <c r="J358">
        <v>12</v>
      </c>
      <c r="K358">
        <v>336000</v>
      </c>
      <c r="L358">
        <v>2</v>
      </c>
      <c r="M358">
        <v>1</v>
      </c>
      <c r="N358" t="s">
        <v>1077</v>
      </c>
      <c r="O358">
        <v>90</v>
      </c>
      <c r="P358">
        <v>15</v>
      </c>
      <c r="Q358">
        <v>5</v>
      </c>
      <c r="S358" t="s">
        <v>28</v>
      </c>
      <c r="T358">
        <v>10</v>
      </c>
      <c r="U358">
        <v>2500</v>
      </c>
      <c r="V358" t="s">
        <v>39</v>
      </c>
      <c r="W358" t="s">
        <v>1077</v>
      </c>
      <c r="X358" t="s">
        <v>33</v>
      </c>
      <c r="Y358">
        <v>20</v>
      </c>
    </row>
    <row r="359" spans="1:25">
      <c r="A359" t="s">
        <v>769</v>
      </c>
      <c r="B359" t="s">
        <v>770</v>
      </c>
      <c r="C359">
        <v>24</v>
      </c>
      <c r="D359" t="s">
        <v>46</v>
      </c>
      <c r="E359" t="s">
        <v>50</v>
      </c>
      <c r="F359" t="s">
        <v>27</v>
      </c>
      <c r="G359" t="s">
        <v>43</v>
      </c>
      <c r="H359" t="s">
        <v>1060</v>
      </c>
      <c r="I359">
        <v>24000</v>
      </c>
      <c r="J359">
        <v>12</v>
      </c>
      <c r="K359">
        <v>288000</v>
      </c>
      <c r="L359">
        <v>1</v>
      </c>
      <c r="M359">
        <v>3</v>
      </c>
      <c r="N359">
        <v>7200</v>
      </c>
      <c r="O359">
        <v>80</v>
      </c>
      <c r="P359">
        <v>5</v>
      </c>
      <c r="Q359">
        <v>8</v>
      </c>
      <c r="R359" t="s">
        <v>21</v>
      </c>
      <c r="S359" t="s">
        <v>19</v>
      </c>
      <c r="T359">
        <v>5</v>
      </c>
      <c r="U359">
        <v>1250</v>
      </c>
      <c r="V359" t="s">
        <v>22</v>
      </c>
      <c r="W359" t="s">
        <v>1077</v>
      </c>
      <c r="X359" t="s">
        <v>20</v>
      </c>
      <c r="Y359">
        <v>12</v>
      </c>
    </row>
    <row r="360" spans="1:25">
      <c r="A360" t="s">
        <v>771</v>
      </c>
      <c r="B360" t="s">
        <v>772</v>
      </c>
      <c r="C360">
        <v>23</v>
      </c>
      <c r="D360" t="s">
        <v>46</v>
      </c>
      <c r="E360" t="s">
        <v>47</v>
      </c>
      <c r="F360" t="s">
        <v>42</v>
      </c>
      <c r="G360" t="s">
        <v>43</v>
      </c>
      <c r="H360" t="s">
        <v>1060</v>
      </c>
      <c r="I360">
        <v>28000</v>
      </c>
      <c r="J360">
        <v>12</v>
      </c>
      <c r="K360">
        <v>336000</v>
      </c>
      <c r="L360">
        <v>2</v>
      </c>
      <c r="M360">
        <v>2</v>
      </c>
      <c r="N360" t="s">
        <v>1077</v>
      </c>
      <c r="O360">
        <v>90</v>
      </c>
      <c r="P360">
        <v>15</v>
      </c>
      <c r="Q360">
        <v>2</v>
      </c>
      <c r="S360" t="s">
        <v>38</v>
      </c>
      <c r="U360">
        <v>0</v>
      </c>
      <c r="V360" t="s">
        <v>39</v>
      </c>
      <c r="W360" t="s">
        <v>1077</v>
      </c>
      <c r="X360" t="s">
        <v>20</v>
      </c>
      <c r="Y360">
        <v>14</v>
      </c>
    </row>
    <row r="361" spans="1:25">
      <c r="A361" t="s">
        <v>773</v>
      </c>
      <c r="B361" t="s">
        <v>774</v>
      </c>
      <c r="C361">
        <v>24</v>
      </c>
      <c r="D361" t="s">
        <v>1077</v>
      </c>
      <c r="E361" t="s">
        <v>57</v>
      </c>
      <c r="F361" t="s">
        <v>66</v>
      </c>
      <c r="G361" t="s">
        <v>43</v>
      </c>
      <c r="H361" t="s">
        <v>1060</v>
      </c>
      <c r="I361">
        <v>24000</v>
      </c>
      <c r="J361">
        <v>12</v>
      </c>
      <c r="K361">
        <v>288000</v>
      </c>
      <c r="L361">
        <v>1</v>
      </c>
      <c r="M361">
        <v>3</v>
      </c>
      <c r="N361">
        <v>7200</v>
      </c>
      <c r="O361">
        <v>95</v>
      </c>
      <c r="P361">
        <v>10</v>
      </c>
      <c r="Q361">
        <v>3</v>
      </c>
      <c r="R361" t="s">
        <v>37</v>
      </c>
      <c r="S361" t="s">
        <v>38</v>
      </c>
      <c r="T361">
        <v>5</v>
      </c>
      <c r="U361">
        <v>1250</v>
      </c>
      <c r="V361" t="s">
        <v>22</v>
      </c>
      <c r="W361" t="s">
        <v>1077</v>
      </c>
      <c r="X361" t="s">
        <v>33</v>
      </c>
      <c r="Y361">
        <v>20</v>
      </c>
    </row>
    <row r="362" spans="1:25">
      <c r="A362" t="s">
        <v>775</v>
      </c>
      <c r="B362" t="s">
        <v>776</v>
      </c>
      <c r="C362">
        <v>25</v>
      </c>
      <c r="D362" t="s">
        <v>46</v>
      </c>
      <c r="E362" t="s">
        <v>61</v>
      </c>
      <c r="F362" t="s">
        <v>18</v>
      </c>
      <c r="G362" t="s">
        <v>43</v>
      </c>
      <c r="H362" t="s">
        <v>1060</v>
      </c>
      <c r="I362">
        <v>28000</v>
      </c>
      <c r="J362">
        <v>12</v>
      </c>
      <c r="K362">
        <v>336000</v>
      </c>
      <c r="L362">
        <v>2</v>
      </c>
      <c r="M362">
        <v>5</v>
      </c>
      <c r="N362">
        <v>8400</v>
      </c>
      <c r="O362">
        <v>95</v>
      </c>
      <c r="P362">
        <v>13</v>
      </c>
      <c r="Q362">
        <v>5</v>
      </c>
      <c r="R362" t="s">
        <v>37</v>
      </c>
      <c r="S362" t="s">
        <v>19</v>
      </c>
      <c r="T362">
        <v>10</v>
      </c>
      <c r="U362">
        <v>2500</v>
      </c>
      <c r="V362" t="s">
        <v>58</v>
      </c>
      <c r="W362" t="s">
        <v>1077</v>
      </c>
      <c r="X362" t="s">
        <v>20</v>
      </c>
      <c r="Y362">
        <v>10</v>
      </c>
    </row>
    <row r="363" spans="1:25">
      <c r="A363" t="s">
        <v>777</v>
      </c>
      <c r="B363" t="s">
        <v>778</v>
      </c>
      <c r="C363">
        <v>24</v>
      </c>
      <c r="D363" t="s">
        <v>25</v>
      </c>
      <c r="E363" t="s">
        <v>73</v>
      </c>
      <c r="F363" t="s">
        <v>18</v>
      </c>
      <c r="G363" t="s">
        <v>43</v>
      </c>
      <c r="H363" t="s">
        <v>1059</v>
      </c>
      <c r="I363">
        <v>21000</v>
      </c>
      <c r="J363">
        <v>12</v>
      </c>
      <c r="K363">
        <v>252000</v>
      </c>
      <c r="L363">
        <v>1</v>
      </c>
      <c r="M363">
        <v>2</v>
      </c>
      <c r="N363" t="s">
        <v>1077</v>
      </c>
      <c r="O363">
        <v>95</v>
      </c>
      <c r="P363">
        <v>13</v>
      </c>
      <c r="Q363">
        <v>3</v>
      </c>
      <c r="R363" t="s">
        <v>37</v>
      </c>
      <c r="S363" t="s">
        <v>28</v>
      </c>
      <c r="T363">
        <v>5</v>
      </c>
      <c r="U363">
        <v>1250</v>
      </c>
      <c r="V363" t="s">
        <v>39</v>
      </c>
      <c r="W363" t="s">
        <v>1077</v>
      </c>
      <c r="X363" t="s">
        <v>20</v>
      </c>
      <c r="Y363">
        <v>10</v>
      </c>
    </row>
    <row r="364" spans="1:25">
      <c r="A364" t="s">
        <v>779</v>
      </c>
      <c r="B364" t="s">
        <v>780</v>
      </c>
      <c r="C364">
        <v>23</v>
      </c>
      <c r="D364" t="s">
        <v>25</v>
      </c>
      <c r="E364" t="s">
        <v>57</v>
      </c>
      <c r="F364" t="s">
        <v>18</v>
      </c>
      <c r="G364" t="s">
        <v>43</v>
      </c>
      <c r="H364" t="s">
        <v>1060</v>
      </c>
      <c r="I364">
        <v>20000</v>
      </c>
      <c r="J364">
        <v>12</v>
      </c>
      <c r="K364">
        <v>240000</v>
      </c>
      <c r="L364">
        <v>1</v>
      </c>
      <c r="M364">
        <v>2</v>
      </c>
      <c r="N364" t="s">
        <v>1077</v>
      </c>
      <c r="O364">
        <v>90</v>
      </c>
      <c r="P364">
        <v>10</v>
      </c>
      <c r="Q364">
        <v>1</v>
      </c>
      <c r="R364" t="s">
        <v>21</v>
      </c>
      <c r="S364" t="s">
        <v>38</v>
      </c>
      <c r="T364">
        <v>20</v>
      </c>
      <c r="U364">
        <v>5000</v>
      </c>
      <c r="V364" t="s">
        <v>39</v>
      </c>
      <c r="W364" t="s">
        <v>1077</v>
      </c>
      <c r="X364" t="s">
        <v>20</v>
      </c>
      <c r="Y364">
        <v>10</v>
      </c>
    </row>
    <row r="365" spans="1:25">
      <c r="A365" t="s">
        <v>781</v>
      </c>
      <c r="B365" t="s">
        <v>782</v>
      </c>
      <c r="C365">
        <v>25</v>
      </c>
      <c r="D365" t="s">
        <v>46</v>
      </c>
      <c r="E365" t="s">
        <v>64</v>
      </c>
      <c r="F365" t="s">
        <v>66</v>
      </c>
      <c r="G365" t="s">
        <v>43</v>
      </c>
      <c r="H365" t="s">
        <v>1060</v>
      </c>
      <c r="I365">
        <v>28000</v>
      </c>
      <c r="J365">
        <v>12</v>
      </c>
      <c r="K365">
        <v>336000</v>
      </c>
      <c r="L365">
        <v>2</v>
      </c>
      <c r="M365">
        <v>2</v>
      </c>
      <c r="N365" t="s">
        <v>1077</v>
      </c>
      <c r="O365">
        <v>85</v>
      </c>
      <c r="P365">
        <v>5</v>
      </c>
      <c r="Q365">
        <v>5</v>
      </c>
      <c r="R365" t="s">
        <v>37</v>
      </c>
      <c r="S365" t="s">
        <v>38</v>
      </c>
      <c r="T365">
        <v>20</v>
      </c>
      <c r="U365">
        <v>5000</v>
      </c>
      <c r="V365" t="s">
        <v>39</v>
      </c>
      <c r="W365" t="s">
        <v>1077</v>
      </c>
      <c r="X365" t="s">
        <v>33</v>
      </c>
      <c r="Y365">
        <v>20</v>
      </c>
    </row>
    <row r="366" spans="1:25">
      <c r="A366" t="s">
        <v>783</v>
      </c>
      <c r="B366" t="s">
        <v>784</v>
      </c>
      <c r="C366">
        <v>25</v>
      </c>
      <c r="D366" t="s">
        <v>1077</v>
      </c>
      <c r="E366" t="s">
        <v>73</v>
      </c>
      <c r="F366" t="s">
        <v>36</v>
      </c>
      <c r="G366" t="s">
        <v>43</v>
      </c>
      <c r="H366" t="s">
        <v>1060</v>
      </c>
      <c r="I366">
        <v>24000</v>
      </c>
      <c r="J366">
        <v>12</v>
      </c>
      <c r="K366">
        <v>288000</v>
      </c>
      <c r="L366">
        <v>1</v>
      </c>
      <c r="M366">
        <v>2</v>
      </c>
      <c r="N366" t="s">
        <v>1077</v>
      </c>
      <c r="O366">
        <v>88</v>
      </c>
      <c r="P366">
        <v>10</v>
      </c>
      <c r="Q366">
        <v>1</v>
      </c>
      <c r="R366" t="s">
        <v>21</v>
      </c>
      <c r="S366" t="s">
        <v>38</v>
      </c>
      <c r="T366">
        <v>5</v>
      </c>
      <c r="U366">
        <v>1250</v>
      </c>
      <c r="V366" t="s">
        <v>39</v>
      </c>
      <c r="W366" t="s">
        <v>1077</v>
      </c>
      <c r="X366" t="s">
        <v>20</v>
      </c>
      <c r="Y366">
        <v>25</v>
      </c>
    </row>
    <row r="367" spans="1:25">
      <c r="A367" t="s">
        <v>785</v>
      </c>
      <c r="B367" t="s">
        <v>786</v>
      </c>
      <c r="C367">
        <v>24</v>
      </c>
      <c r="D367" t="s">
        <v>1077</v>
      </c>
      <c r="E367" t="s">
        <v>73</v>
      </c>
      <c r="F367" t="s">
        <v>27</v>
      </c>
      <c r="G367" t="s">
        <v>43</v>
      </c>
      <c r="H367" t="s">
        <v>1059</v>
      </c>
      <c r="I367">
        <v>23000</v>
      </c>
      <c r="J367">
        <v>12</v>
      </c>
      <c r="K367">
        <v>276000</v>
      </c>
      <c r="L367">
        <v>2</v>
      </c>
      <c r="M367">
        <v>4</v>
      </c>
      <c r="N367">
        <v>6900</v>
      </c>
      <c r="O367">
        <v>88</v>
      </c>
      <c r="P367">
        <v>10</v>
      </c>
      <c r="Q367">
        <v>5</v>
      </c>
      <c r="R367" t="s">
        <v>37</v>
      </c>
      <c r="S367" t="s">
        <v>28</v>
      </c>
      <c r="T367">
        <v>5</v>
      </c>
      <c r="U367">
        <v>1250</v>
      </c>
      <c r="V367" t="s">
        <v>22</v>
      </c>
      <c r="W367" t="s">
        <v>1077</v>
      </c>
      <c r="X367" t="s">
        <v>20</v>
      </c>
      <c r="Y367">
        <v>12</v>
      </c>
    </row>
    <row r="368" spans="1:25">
      <c r="A368" t="s">
        <v>787</v>
      </c>
      <c r="B368" t="s">
        <v>788</v>
      </c>
      <c r="C368">
        <v>23</v>
      </c>
      <c r="D368" t="s">
        <v>46</v>
      </c>
      <c r="E368" t="s">
        <v>50</v>
      </c>
      <c r="F368" t="s">
        <v>18</v>
      </c>
      <c r="G368" t="s">
        <v>43</v>
      </c>
      <c r="H368" t="s">
        <v>1060</v>
      </c>
      <c r="I368">
        <v>23000</v>
      </c>
      <c r="J368">
        <v>12</v>
      </c>
      <c r="K368">
        <v>276000</v>
      </c>
      <c r="L368">
        <v>2</v>
      </c>
      <c r="M368">
        <v>1</v>
      </c>
      <c r="N368" t="s">
        <v>1077</v>
      </c>
      <c r="O368">
        <v>85</v>
      </c>
      <c r="P368">
        <v>15</v>
      </c>
      <c r="Q368">
        <v>2</v>
      </c>
      <c r="R368" t="s">
        <v>37</v>
      </c>
      <c r="S368" t="s">
        <v>28</v>
      </c>
      <c r="T368">
        <v>10</v>
      </c>
      <c r="U368">
        <v>2500</v>
      </c>
      <c r="V368" t="s">
        <v>39</v>
      </c>
      <c r="W368" t="s">
        <v>1077</v>
      </c>
      <c r="X368" t="s">
        <v>20</v>
      </c>
      <c r="Y368">
        <v>10</v>
      </c>
    </row>
    <row r="369" spans="1:25">
      <c r="A369" t="s">
        <v>789</v>
      </c>
      <c r="B369" t="s">
        <v>790</v>
      </c>
      <c r="C369">
        <v>25</v>
      </c>
      <c r="D369" t="s">
        <v>46</v>
      </c>
      <c r="E369" t="s">
        <v>65</v>
      </c>
      <c r="F369" t="s">
        <v>42</v>
      </c>
      <c r="G369" t="s">
        <v>43</v>
      </c>
      <c r="H369" t="s">
        <v>1060</v>
      </c>
      <c r="I369">
        <v>23000</v>
      </c>
      <c r="J369">
        <v>12</v>
      </c>
      <c r="K369">
        <v>276000</v>
      </c>
      <c r="L369">
        <v>2</v>
      </c>
      <c r="M369">
        <v>2</v>
      </c>
      <c r="N369" t="s">
        <v>1077</v>
      </c>
      <c r="O369">
        <v>80</v>
      </c>
      <c r="P369">
        <v>13</v>
      </c>
      <c r="Q369">
        <v>2</v>
      </c>
      <c r="R369" t="s">
        <v>21</v>
      </c>
      <c r="S369" t="s">
        <v>38</v>
      </c>
      <c r="T369">
        <v>5</v>
      </c>
      <c r="U369">
        <v>1250</v>
      </c>
      <c r="V369" t="s">
        <v>39</v>
      </c>
      <c r="W369" t="s">
        <v>1077</v>
      </c>
      <c r="X369" t="s">
        <v>20</v>
      </c>
      <c r="Y369">
        <v>14</v>
      </c>
    </row>
    <row r="370" spans="1:25">
      <c r="A370" t="s">
        <v>791</v>
      </c>
      <c r="B370" t="s">
        <v>792</v>
      </c>
      <c r="C370">
        <v>25</v>
      </c>
      <c r="D370" t="s">
        <v>46</v>
      </c>
      <c r="E370" t="s">
        <v>57</v>
      </c>
      <c r="F370" t="s">
        <v>18</v>
      </c>
      <c r="G370" t="s">
        <v>43</v>
      </c>
      <c r="H370" t="s">
        <v>1060</v>
      </c>
      <c r="I370">
        <v>9700</v>
      </c>
      <c r="J370">
        <v>12</v>
      </c>
      <c r="K370">
        <v>116400</v>
      </c>
      <c r="L370">
        <v>1</v>
      </c>
      <c r="M370">
        <v>4</v>
      </c>
      <c r="N370">
        <v>2910</v>
      </c>
      <c r="O370">
        <v>85</v>
      </c>
      <c r="P370">
        <v>13</v>
      </c>
      <c r="Q370">
        <v>2</v>
      </c>
      <c r="R370" t="s">
        <v>37</v>
      </c>
      <c r="S370" t="s">
        <v>38</v>
      </c>
      <c r="U370">
        <v>0</v>
      </c>
      <c r="V370" t="s">
        <v>22</v>
      </c>
      <c r="W370" t="s">
        <v>1077</v>
      </c>
      <c r="X370" t="s">
        <v>20</v>
      </c>
      <c r="Y370">
        <v>10</v>
      </c>
    </row>
    <row r="371" spans="1:25">
      <c r="A371" t="s">
        <v>793</v>
      </c>
      <c r="B371" t="s">
        <v>794</v>
      </c>
      <c r="C371">
        <v>25</v>
      </c>
      <c r="D371" t="s">
        <v>46</v>
      </c>
      <c r="E371" t="s">
        <v>47</v>
      </c>
      <c r="F371" t="s">
        <v>18</v>
      </c>
      <c r="G371" t="s">
        <v>43</v>
      </c>
      <c r="H371" t="s">
        <v>1060</v>
      </c>
      <c r="I371">
        <v>23000</v>
      </c>
      <c r="J371">
        <v>12</v>
      </c>
      <c r="K371">
        <v>276000</v>
      </c>
      <c r="L371">
        <v>2</v>
      </c>
      <c r="M371">
        <v>2</v>
      </c>
      <c r="N371" t="s">
        <v>1077</v>
      </c>
      <c r="O371">
        <v>85</v>
      </c>
      <c r="P371">
        <v>10</v>
      </c>
      <c r="Q371">
        <v>1</v>
      </c>
      <c r="R371" t="s">
        <v>21</v>
      </c>
      <c r="S371" t="s">
        <v>38</v>
      </c>
      <c r="U371">
        <v>0</v>
      </c>
      <c r="V371" t="s">
        <v>39</v>
      </c>
      <c r="W371" t="s">
        <v>1077</v>
      </c>
      <c r="X371" t="s">
        <v>20</v>
      </c>
      <c r="Y371">
        <v>10</v>
      </c>
    </row>
    <row r="372" spans="1:25">
      <c r="A372" t="s">
        <v>795</v>
      </c>
      <c r="B372" t="s">
        <v>796</v>
      </c>
      <c r="C372">
        <v>25</v>
      </c>
      <c r="D372" t="s">
        <v>25</v>
      </c>
      <c r="E372" t="s">
        <v>50</v>
      </c>
      <c r="F372" t="s">
        <v>42</v>
      </c>
      <c r="G372" t="s">
        <v>43</v>
      </c>
      <c r="H372" t="s">
        <v>1059</v>
      </c>
      <c r="I372">
        <v>24000</v>
      </c>
      <c r="J372">
        <v>12</v>
      </c>
      <c r="K372">
        <v>288000</v>
      </c>
      <c r="L372">
        <v>1</v>
      </c>
      <c r="M372">
        <v>1</v>
      </c>
      <c r="N372" t="s">
        <v>1077</v>
      </c>
      <c r="O372">
        <v>95</v>
      </c>
      <c r="P372">
        <v>13</v>
      </c>
      <c r="Q372">
        <v>2</v>
      </c>
      <c r="S372" t="s">
        <v>28</v>
      </c>
      <c r="T372">
        <v>5</v>
      </c>
      <c r="U372">
        <v>1250</v>
      </c>
      <c r="V372" t="s">
        <v>39</v>
      </c>
      <c r="W372" t="s">
        <v>1077</v>
      </c>
      <c r="X372" t="s">
        <v>20</v>
      </c>
      <c r="Y372">
        <v>14</v>
      </c>
    </row>
    <row r="373" spans="1:25">
      <c r="A373" t="s">
        <v>797</v>
      </c>
      <c r="B373" t="s">
        <v>798</v>
      </c>
      <c r="C373">
        <v>25</v>
      </c>
      <c r="D373" t="s">
        <v>1077</v>
      </c>
      <c r="E373" t="s">
        <v>17</v>
      </c>
      <c r="F373" t="s">
        <v>27</v>
      </c>
      <c r="G373" t="s">
        <v>43</v>
      </c>
      <c r="H373" t="s">
        <v>1060</v>
      </c>
      <c r="I373">
        <v>23000</v>
      </c>
      <c r="J373">
        <v>12</v>
      </c>
      <c r="K373">
        <v>276000</v>
      </c>
      <c r="L373">
        <v>2</v>
      </c>
      <c r="M373">
        <v>1</v>
      </c>
      <c r="N373" t="s">
        <v>1077</v>
      </c>
      <c r="O373">
        <v>85</v>
      </c>
      <c r="P373">
        <v>5</v>
      </c>
      <c r="Q373">
        <v>5</v>
      </c>
      <c r="R373" t="s">
        <v>21</v>
      </c>
      <c r="S373" t="s">
        <v>38</v>
      </c>
      <c r="U373">
        <v>0</v>
      </c>
      <c r="V373" t="s">
        <v>39</v>
      </c>
      <c r="W373" t="s">
        <v>1077</v>
      </c>
      <c r="X373" t="s">
        <v>20</v>
      </c>
      <c r="Y373">
        <v>12</v>
      </c>
    </row>
    <row r="374" spans="1:25">
      <c r="A374" t="s">
        <v>799</v>
      </c>
      <c r="B374" t="s">
        <v>800</v>
      </c>
      <c r="C374">
        <v>23</v>
      </c>
      <c r="D374" t="s">
        <v>25</v>
      </c>
      <c r="E374" t="s">
        <v>35</v>
      </c>
      <c r="F374" t="s">
        <v>42</v>
      </c>
      <c r="G374" t="s">
        <v>43</v>
      </c>
      <c r="H374" t="s">
        <v>1060</v>
      </c>
      <c r="I374">
        <v>23000</v>
      </c>
      <c r="J374">
        <v>12</v>
      </c>
      <c r="K374">
        <v>276000</v>
      </c>
      <c r="L374">
        <v>2</v>
      </c>
      <c r="M374">
        <v>1</v>
      </c>
      <c r="N374" t="s">
        <v>1077</v>
      </c>
      <c r="O374">
        <v>88</v>
      </c>
      <c r="P374">
        <v>10</v>
      </c>
      <c r="Q374">
        <v>5</v>
      </c>
      <c r="R374" t="s">
        <v>21</v>
      </c>
      <c r="S374" t="s">
        <v>38</v>
      </c>
      <c r="T374">
        <v>5</v>
      </c>
      <c r="U374">
        <v>1250</v>
      </c>
      <c r="V374" t="s">
        <v>39</v>
      </c>
      <c r="W374" t="s">
        <v>1077</v>
      </c>
      <c r="X374" t="s">
        <v>20</v>
      </c>
      <c r="Y374">
        <v>14</v>
      </c>
    </row>
    <row r="375" spans="1:25">
      <c r="A375" t="s">
        <v>801</v>
      </c>
      <c r="B375" t="s">
        <v>802</v>
      </c>
      <c r="C375">
        <v>23</v>
      </c>
      <c r="D375" t="s">
        <v>25</v>
      </c>
      <c r="E375" t="s">
        <v>64</v>
      </c>
      <c r="F375" t="s">
        <v>18</v>
      </c>
      <c r="G375" t="s">
        <v>43</v>
      </c>
      <c r="H375" t="s">
        <v>1060</v>
      </c>
      <c r="I375">
        <v>19500</v>
      </c>
      <c r="J375">
        <v>12</v>
      </c>
      <c r="K375">
        <v>234000</v>
      </c>
      <c r="L375">
        <v>1</v>
      </c>
      <c r="N375" t="s">
        <v>1077</v>
      </c>
      <c r="O375">
        <v>85</v>
      </c>
      <c r="P375">
        <v>10</v>
      </c>
      <c r="Q375">
        <v>8</v>
      </c>
      <c r="S375" t="s">
        <v>28</v>
      </c>
      <c r="U375">
        <v>0</v>
      </c>
      <c r="V375" t="s">
        <v>1054</v>
      </c>
      <c r="W375" t="s">
        <v>1077</v>
      </c>
      <c r="X375" t="s">
        <v>20</v>
      </c>
      <c r="Y375">
        <v>10</v>
      </c>
    </row>
    <row r="376" spans="1:25">
      <c r="A376" t="s">
        <v>803</v>
      </c>
      <c r="B376" t="s">
        <v>804</v>
      </c>
      <c r="C376">
        <v>26</v>
      </c>
      <c r="D376" t="s">
        <v>25</v>
      </c>
      <c r="E376" t="s">
        <v>50</v>
      </c>
      <c r="F376" t="s">
        <v>42</v>
      </c>
      <c r="G376" t="s">
        <v>1048</v>
      </c>
      <c r="H376" t="s">
        <v>1060</v>
      </c>
      <c r="I376">
        <v>60000</v>
      </c>
      <c r="J376">
        <v>12</v>
      </c>
      <c r="K376">
        <v>720000</v>
      </c>
      <c r="L376">
        <v>4</v>
      </c>
      <c r="M376">
        <v>2</v>
      </c>
      <c r="N376" t="s">
        <v>1077</v>
      </c>
      <c r="O376">
        <v>90</v>
      </c>
      <c r="P376">
        <v>5</v>
      </c>
      <c r="Q376">
        <v>2</v>
      </c>
      <c r="R376" t="s">
        <v>37</v>
      </c>
      <c r="S376" t="s">
        <v>38</v>
      </c>
      <c r="T376">
        <v>5</v>
      </c>
      <c r="U376">
        <v>1500</v>
      </c>
      <c r="V376" t="s">
        <v>39</v>
      </c>
      <c r="W376" t="s">
        <v>1077</v>
      </c>
      <c r="X376" t="s">
        <v>20</v>
      </c>
      <c r="Y376">
        <v>14</v>
      </c>
    </row>
    <row r="377" spans="1:25">
      <c r="A377" t="s">
        <v>805</v>
      </c>
      <c r="B377" t="s">
        <v>806</v>
      </c>
      <c r="C377">
        <v>26</v>
      </c>
      <c r="D377" t="s">
        <v>46</v>
      </c>
      <c r="E377" t="s">
        <v>17</v>
      </c>
      <c r="F377" t="s">
        <v>42</v>
      </c>
      <c r="G377" t="s">
        <v>1045</v>
      </c>
      <c r="H377" t="s">
        <v>1060</v>
      </c>
      <c r="I377">
        <v>78000</v>
      </c>
      <c r="J377">
        <v>12</v>
      </c>
      <c r="K377">
        <v>936000</v>
      </c>
      <c r="L377">
        <v>7</v>
      </c>
      <c r="M377">
        <v>2</v>
      </c>
      <c r="N377" t="s">
        <v>1077</v>
      </c>
      <c r="O377">
        <v>95</v>
      </c>
      <c r="P377">
        <v>15</v>
      </c>
      <c r="Q377">
        <v>3</v>
      </c>
      <c r="R377" t="s">
        <v>37</v>
      </c>
      <c r="S377" t="s">
        <v>19</v>
      </c>
      <c r="U377">
        <v>0</v>
      </c>
      <c r="V377" t="s">
        <v>39</v>
      </c>
      <c r="W377" t="s">
        <v>1077</v>
      </c>
      <c r="X377" t="s">
        <v>20</v>
      </c>
      <c r="Y377">
        <v>14</v>
      </c>
    </row>
    <row r="378" spans="1:25">
      <c r="A378" t="s">
        <v>807</v>
      </c>
      <c r="B378" t="s">
        <v>808</v>
      </c>
      <c r="C378">
        <v>23</v>
      </c>
      <c r="D378" t="s">
        <v>25</v>
      </c>
      <c r="E378" t="s">
        <v>57</v>
      </c>
      <c r="F378" t="s">
        <v>42</v>
      </c>
      <c r="G378" t="s">
        <v>43</v>
      </c>
      <c r="H378" t="s">
        <v>1060</v>
      </c>
      <c r="I378">
        <v>24000</v>
      </c>
      <c r="J378">
        <v>12</v>
      </c>
      <c r="K378">
        <v>288000</v>
      </c>
      <c r="L378">
        <v>1</v>
      </c>
      <c r="M378">
        <v>2</v>
      </c>
      <c r="N378" t="s">
        <v>1077</v>
      </c>
      <c r="O378">
        <v>80</v>
      </c>
      <c r="P378">
        <v>10</v>
      </c>
      <c r="Q378">
        <v>2</v>
      </c>
      <c r="R378" t="s">
        <v>21</v>
      </c>
      <c r="S378" t="s">
        <v>38</v>
      </c>
      <c r="T378">
        <v>5</v>
      </c>
      <c r="U378">
        <v>1250</v>
      </c>
      <c r="V378" t="s">
        <v>39</v>
      </c>
      <c r="W378" t="s">
        <v>1077</v>
      </c>
      <c r="X378" t="s">
        <v>20</v>
      </c>
      <c r="Y378">
        <v>14</v>
      </c>
    </row>
    <row r="379" spans="1:25">
      <c r="A379" t="s">
        <v>809</v>
      </c>
      <c r="B379" t="s">
        <v>810</v>
      </c>
      <c r="C379">
        <v>28</v>
      </c>
      <c r="D379" t="s">
        <v>25</v>
      </c>
      <c r="E379" t="s">
        <v>64</v>
      </c>
      <c r="F379" t="s">
        <v>36</v>
      </c>
      <c r="G379" t="s">
        <v>1048</v>
      </c>
      <c r="H379" t="s">
        <v>1060</v>
      </c>
      <c r="I379">
        <v>69000</v>
      </c>
      <c r="J379">
        <v>12</v>
      </c>
      <c r="K379">
        <v>828000</v>
      </c>
      <c r="L379">
        <v>5</v>
      </c>
      <c r="M379">
        <v>1</v>
      </c>
      <c r="N379" t="s">
        <v>1077</v>
      </c>
      <c r="O379">
        <v>90</v>
      </c>
      <c r="P379">
        <v>5</v>
      </c>
      <c r="Q379">
        <v>3</v>
      </c>
      <c r="S379" t="s">
        <v>38</v>
      </c>
      <c r="T379">
        <v>20</v>
      </c>
      <c r="U379">
        <v>6000</v>
      </c>
      <c r="V379" t="s">
        <v>39</v>
      </c>
      <c r="W379" t="s">
        <v>1077</v>
      </c>
      <c r="X379" t="s">
        <v>20</v>
      </c>
      <c r="Y379">
        <v>25</v>
      </c>
    </row>
    <row r="380" spans="1:25">
      <c r="A380" t="s">
        <v>811</v>
      </c>
      <c r="B380" t="s">
        <v>812</v>
      </c>
      <c r="C380">
        <v>25</v>
      </c>
      <c r="D380" t="s">
        <v>46</v>
      </c>
      <c r="E380" t="s">
        <v>47</v>
      </c>
      <c r="F380" t="s">
        <v>42</v>
      </c>
      <c r="G380" t="s">
        <v>43</v>
      </c>
      <c r="H380" t="s">
        <v>1060</v>
      </c>
      <c r="I380">
        <v>24000</v>
      </c>
      <c r="J380">
        <v>12</v>
      </c>
      <c r="K380">
        <v>288000</v>
      </c>
      <c r="L380">
        <v>1</v>
      </c>
      <c r="M380">
        <v>4</v>
      </c>
      <c r="N380">
        <v>7200</v>
      </c>
      <c r="O380">
        <v>95</v>
      </c>
      <c r="P380">
        <v>13</v>
      </c>
      <c r="Q380">
        <v>5</v>
      </c>
      <c r="R380" t="s">
        <v>21</v>
      </c>
      <c r="S380" t="s">
        <v>28</v>
      </c>
      <c r="U380">
        <v>0</v>
      </c>
      <c r="V380" t="s">
        <v>58</v>
      </c>
      <c r="W380" t="s">
        <v>1077</v>
      </c>
      <c r="X380" t="s">
        <v>20</v>
      </c>
      <c r="Y380">
        <v>14</v>
      </c>
    </row>
    <row r="381" spans="1:25">
      <c r="A381" t="s">
        <v>813</v>
      </c>
      <c r="B381" t="s">
        <v>814</v>
      </c>
      <c r="C381">
        <v>24</v>
      </c>
      <c r="D381" t="s">
        <v>46</v>
      </c>
      <c r="E381" t="s">
        <v>17</v>
      </c>
      <c r="F381" t="s">
        <v>27</v>
      </c>
      <c r="G381" t="s">
        <v>43</v>
      </c>
      <c r="H381" t="s">
        <v>1060</v>
      </c>
      <c r="I381">
        <v>28000</v>
      </c>
      <c r="J381">
        <v>12</v>
      </c>
      <c r="K381">
        <v>336000</v>
      </c>
      <c r="L381">
        <v>2</v>
      </c>
      <c r="M381">
        <v>3</v>
      </c>
      <c r="N381">
        <v>8400</v>
      </c>
      <c r="O381">
        <v>95</v>
      </c>
      <c r="P381">
        <v>5</v>
      </c>
      <c r="Q381">
        <v>6</v>
      </c>
      <c r="R381" t="s">
        <v>37</v>
      </c>
      <c r="S381" t="s">
        <v>38</v>
      </c>
      <c r="U381">
        <v>0</v>
      </c>
      <c r="V381" t="s">
        <v>22</v>
      </c>
      <c r="W381" t="s">
        <v>1077</v>
      </c>
      <c r="X381" t="s">
        <v>20</v>
      </c>
      <c r="Y381">
        <v>12</v>
      </c>
    </row>
    <row r="382" spans="1:25">
      <c r="A382" t="s">
        <v>815</v>
      </c>
      <c r="B382" t="s">
        <v>816</v>
      </c>
      <c r="C382">
        <v>25</v>
      </c>
      <c r="D382" t="s">
        <v>25</v>
      </c>
      <c r="E382" t="s">
        <v>50</v>
      </c>
      <c r="F382" t="s">
        <v>36</v>
      </c>
      <c r="G382" t="s">
        <v>43</v>
      </c>
      <c r="H382" t="s">
        <v>1060</v>
      </c>
      <c r="I382">
        <v>24000</v>
      </c>
      <c r="J382">
        <v>12</v>
      </c>
      <c r="K382">
        <v>288000</v>
      </c>
      <c r="L382">
        <v>1</v>
      </c>
      <c r="M382">
        <v>4</v>
      </c>
      <c r="N382">
        <v>7200</v>
      </c>
      <c r="O382">
        <v>90</v>
      </c>
      <c r="P382">
        <v>15</v>
      </c>
      <c r="Q382">
        <v>11</v>
      </c>
      <c r="S382" t="s">
        <v>38</v>
      </c>
      <c r="U382">
        <v>0</v>
      </c>
      <c r="V382" t="s">
        <v>22</v>
      </c>
      <c r="W382" t="s">
        <v>1077</v>
      </c>
      <c r="X382" t="s">
        <v>20</v>
      </c>
      <c r="Y382">
        <v>25</v>
      </c>
    </row>
    <row r="383" spans="1:25">
      <c r="A383" t="s">
        <v>817</v>
      </c>
      <c r="B383" t="s">
        <v>818</v>
      </c>
      <c r="C383">
        <v>24</v>
      </c>
      <c r="D383" t="s">
        <v>25</v>
      </c>
      <c r="E383" t="s">
        <v>26</v>
      </c>
      <c r="F383" t="s">
        <v>66</v>
      </c>
      <c r="G383" t="s">
        <v>43</v>
      </c>
      <c r="H383" t="s">
        <v>1059</v>
      </c>
      <c r="I383">
        <v>28000</v>
      </c>
      <c r="J383">
        <v>12</v>
      </c>
      <c r="K383">
        <v>336000</v>
      </c>
      <c r="L383">
        <v>2</v>
      </c>
      <c r="M383">
        <v>1</v>
      </c>
      <c r="N383" t="s">
        <v>1077</v>
      </c>
      <c r="O383">
        <v>85</v>
      </c>
      <c r="P383">
        <v>10</v>
      </c>
      <c r="Q383">
        <v>5</v>
      </c>
      <c r="S383" t="s">
        <v>28</v>
      </c>
      <c r="U383">
        <v>0</v>
      </c>
      <c r="V383" t="s">
        <v>39</v>
      </c>
      <c r="W383" t="s">
        <v>1077</v>
      </c>
      <c r="X383" t="s">
        <v>33</v>
      </c>
      <c r="Y383">
        <v>20</v>
      </c>
    </row>
    <row r="384" spans="1:25">
      <c r="A384" t="s">
        <v>819</v>
      </c>
      <c r="B384" t="s">
        <v>820</v>
      </c>
      <c r="C384">
        <v>30</v>
      </c>
      <c r="D384" t="s">
        <v>46</v>
      </c>
      <c r="E384" t="s">
        <v>35</v>
      </c>
      <c r="F384" t="s">
        <v>42</v>
      </c>
      <c r="G384" t="s">
        <v>1045</v>
      </c>
      <c r="H384" t="s">
        <v>1060</v>
      </c>
      <c r="I384">
        <v>78000</v>
      </c>
      <c r="J384">
        <v>12</v>
      </c>
      <c r="K384">
        <v>936000</v>
      </c>
      <c r="L384">
        <v>5</v>
      </c>
      <c r="M384">
        <v>5</v>
      </c>
      <c r="N384">
        <v>23400</v>
      </c>
      <c r="O384">
        <v>90</v>
      </c>
      <c r="P384">
        <v>15</v>
      </c>
      <c r="Q384">
        <v>1</v>
      </c>
      <c r="S384" t="s">
        <v>38</v>
      </c>
      <c r="T384">
        <v>20</v>
      </c>
      <c r="U384">
        <v>6000</v>
      </c>
      <c r="V384" t="s">
        <v>58</v>
      </c>
      <c r="W384" t="s">
        <v>1077</v>
      </c>
      <c r="X384" t="s">
        <v>20</v>
      </c>
      <c r="Y384">
        <v>14</v>
      </c>
    </row>
    <row r="385" spans="1:25">
      <c r="A385" t="s">
        <v>821</v>
      </c>
      <c r="B385" t="s">
        <v>822</v>
      </c>
      <c r="C385">
        <v>24</v>
      </c>
      <c r="D385" t="s">
        <v>46</v>
      </c>
      <c r="E385" t="s">
        <v>73</v>
      </c>
      <c r="F385" t="s">
        <v>42</v>
      </c>
      <c r="G385" t="s">
        <v>43</v>
      </c>
      <c r="H385" t="s">
        <v>1059</v>
      </c>
      <c r="I385">
        <v>28000</v>
      </c>
      <c r="J385">
        <v>12</v>
      </c>
      <c r="K385">
        <v>336000</v>
      </c>
      <c r="L385">
        <v>2</v>
      </c>
      <c r="M385">
        <v>3</v>
      </c>
      <c r="N385">
        <v>8400</v>
      </c>
      <c r="O385">
        <v>80</v>
      </c>
      <c r="P385">
        <v>15</v>
      </c>
      <c r="Q385">
        <v>3</v>
      </c>
      <c r="S385" t="s">
        <v>28</v>
      </c>
      <c r="T385">
        <v>20</v>
      </c>
      <c r="U385">
        <v>5000</v>
      </c>
      <c r="V385" t="s">
        <v>22</v>
      </c>
      <c r="W385" t="s">
        <v>1077</v>
      </c>
      <c r="X385" t="s">
        <v>20</v>
      </c>
      <c r="Y385">
        <v>14</v>
      </c>
    </row>
    <row r="386" spans="1:25">
      <c r="A386" t="s">
        <v>823</v>
      </c>
      <c r="B386" t="s">
        <v>824</v>
      </c>
      <c r="C386">
        <v>23</v>
      </c>
      <c r="D386" t="s">
        <v>46</v>
      </c>
      <c r="E386" t="s">
        <v>47</v>
      </c>
      <c r="F386" t="s">
        <v>18</v>
      </c>
      <c r="G386" t="s">
        <v>43</v>
      </c>
      <c r="H386" t="s">
        <v>1060</v>
      </c>
      <c r="I386">
        <v>28000</v>
      </c>
      <c r="J386">
        <v>12</v>
      </c>
      <c r="K386">
        <v>336000</v>
      </c>
      <c r="L386">
        <v>2</v>
      </c>
      <c r="M386">
        <v>1</v>
      </c>
      <c r="N386" t="s">
        <v>1077</v>
      </c>
      <c r="O386">
        <v>85</v>
      </c>
      <c r="P386">
        <v>15</v>
      </c>
      <c r="Q386">
        <v>2</v>
      </c>
      <c r="R386" t="s">
        <v>37</v>
      </c>
      <c r="S386" t="s">
        <v>38</v>
      </c>
      <c r="T386">
        <v>10</v>
      </c>
      <c r="U386">
        <v>2500</v>
      </c>
      <c r="V386" t="s">
        <v>39</v>
      </c>
      <c r="W386" t="s">
        <v>1077</v>
      </c>
      <c r="X386" t="s">
        <v>20</v>
      </c>
      <c r="Y386">
        <v>10</v>
      </c>
    </row>
    <row r="387" spans="1:25">
      <c r="A387" t="s">
        <v>825</v>
      </c>
      <c r="B387" t="s">
        <v>826</v>
      </c>
      <c r="C387">
        <v>23</v>
      </c>
      <c r="D387" t="s">
        <v>46</v>
      </c>
      <c r="E387" t="s">
        <v>61</v>
      </c>
      <c r="F387" t="s">
        <v>42</v>
      </c>
      <c r="G387" t="s">
        <v>43</v>
      </c>
      <c r="H387" t="s">
        <v>1060</v>
      </c>
      <c r="I387">
        <v>24000</v>
      </c>
      <c r="J387">
        <v>12</v>
      </c>
      <c r="K387">
        <v>288000</v>
      </c>
      <c r="L387">
        <v>1</v>
      </c>
      <c r="M387">
        <v>4</v>
      </c>
      <c r="N387">
        <v>7200</v>
      </c>
      <c r="O387">
        <v>95</v>
      </c>
      <c r="P387">
        <v>13</v>
      </c>
      <c r="Q387">
        <v>5</v>
      </c>
      <c r="S387" t="s">
        <v>38</v>
      </c>
      <c r="T387">
        <v>20</v>
      </c>
      <c r="U387">
        <v>5000</v>
      </c>
      <c r="V387" t="s">
        <v>58</v>
      </c>
      <c r="W387" t="s">
        <v>1077</v>
      </c>
      <c r="X387" t="s">
        <v>20</v>
      </c>
      <c r="Y387">
        <v>14</v>
      </c>
    </row>
    <row r="388" spans="1:25">
      <c r="A388" t="s">
        <v>827</v>
      </c>
      <c r="B388" t="s">
        <v>828</v>
      </c>
      <c r="C388">
        <v>27</v>
      </c>
      <c r="D388" t="s">
        <v>25</v>
      </c>
      <c r="E388" t="s">
        <v>17</v>
      </c>
      <c r="F388" t="s">
        <v>31</v>
      </c>
      <c r="G388" t="s">
        <v>1045</v>
      </c>
      <c r="H388" t="s">
        <v>1060</v>
      </c>
      <c r="I388">
        <v>82000</v>
      </c>
      <c r="J388">
        <v>12</v>
      </c>
      <c r="K388">
        <v>984000</v>
      </c>
      <c r="L388">
        <v>6</v>
      </c>
      <c r="M388">
        <v>2</v>
      </c>
      <c r="N388" t="s">
        <v>1077</v>
      </c>
      <c r="O388">
        <v>85</v>
      </c>
      <c r="P388">
        <v>15</v>
      </c>
      <c r="Q388">
        <v>5</v>
      </c>
      <c r="R388" t="s">
        <v>37</v>
      </c>
      <c r="S388" t="s">
        <v>28</v>
      </c>
      <c r="U388">
        <v>0</v>
      </c>
      <c r="V388" t="s">
        <v>39</v>
      </c>
      <c r="W388" t="s">
        <v>1077</v>
      </c>
      <c r="X388" t="s">
        <v>33</v>
      </c>
      <c r="Y388">
        <v>13</v>
      </c>
    </row>
    <row r="389" spans="1:25">
      <c r="A389" t="s">
        <v>829</v>
      </c>
      <c r="B389" t="s">
        <v>830</v>
      </c>
      <c r="C389">
        <v>24</v>
      </c>
      <c r="D389" t="s">
        <v>46</v>
      </c>
      <c r="E389" t="s">
        <v>64</v>
      </c>
      <c r="F389" t="s">
        <v>42</v>
      </c>
      <c r="G389" t="s">
        <v>43</v>
      </c>
      <c r="H389" t="s">
        <v>1060</v>
      </c>
      <c r="I389">
        <v>25000</v>
      </c>
      <c r="J389">
        <v>12</v>
      </c>
      <c r="K389">
        <v>300000</v>
      </c>
      <c r="L389">
        <v>1</v>
      </c>
      <c r="M389">
        <v>1</v>
      </c>
      <c r="N389" t="s">
        <v>1077</v>
      </c>
      <c r="O389">
        <v>85</v>
      </c>
      <c r="P389">
        <v>15</v>
      </c>
      <c r="Q389">
        <v>9</v>
      </c>
      <c r="S389" t="s">
        <v>38</v>
      </c>
      <c r="T389">
        <v>10</v>
      </c>
      <c r="U389">
        <v>2500</v>
      </c>
      <c r="V389" t="s">
        <v>39</v>
      </c>
      <c r="W389" t="s">
        <v>1077</v>
      </c>
      <c r="X389" t="s">
        <v>20</v>
      </c>
      <c r="Y389">
        <v>14</v>
      </c>
    </row>
    <row r="390" spans="1:25">
      <c r="A390" t="s">
        <v>831</v>
      </c>
      <c r="B390" t="s">
        <v>832</v>
      </c>
      <c r="C390">
        <v>24</v>
      </c>
      <c r="D390" t="s">
        <v>25</v>
      </c>
      <c r="E390" t="s">
        <v>61</v>
      </c>
      <c r="F390" t="s">
        <v>42</v>
      </c>
      <c r="G390" t="s">
        <v>43</v>
      </c>
      <c r="H390" t="s">
        <v>1060</v>
      </c>
      <c r="I390">
        <v>24000</v>
      </c>
      <c r="J390">
        <v>12</v>
      </c>
      <c r="K390">
        <v>288000</v>
      </c>
      <c r="L390">
        <v>1</v>
      </c>
      <c r="M390">
        <v>4</v>
      </c>
      <c r="N390">
        <v>7200</v>
      </c>
      <c r="O390">
        <v>95</v>
      </c>
      <c r="P390">
        <v>15</v>
      </c>
      <c r="Q390">
        <v>3</v>
      </c>
      <c r="R390" t="s">
        <v>21</v>
      </c>
      <c r="S390" t="s">
        <v>38</v>
      </c>
      <c r="U390">
        <v>0</v>
      </c>
      <c r="V390" t="s">
        <v>58</v>
      </c>
      <c r="W390" t="s">
        <v>1077</v>
      </c>
      <c r="X390" t="s">
        <v>20</v>
      </c>
      <c r="Y390">
        <v>14</v>
      </c>
    </row>
    <row r="391" spans="1:25">
      <c r="A391" t="s">
        <v>833</v>
      </c>
      <c r="B391" t="s">
        <v>834</v>
      </c>
      <c r="C391">
        <v>24</v>
      </c>
      <c r="D391" t="s">
        <v>25</v>
      </c>
      <c r="E391" t="s">
        <v>64</v>
      </c>
      <c r="F391" t="s">
        <v>31</v>
      </c>
      <c r="G391" t="s">
        <v>43</v>
      </c>
      <c r="H391" t="s">
        <v>1060</v>
      </c>
      <c r="I391">
        <v>24000</v>
      </c>
      <c r="J391">
        <v>12</v>
      </c>
      <c r="K391">
        <v>288000</v>
      </c>
      <c r="L391">
        <v>1</v>
      </c>
      <c r="M391">
        <v>1</v>
      </c>
      <c r="N391" t="s">
        <v>1077</v>
      </c>
      <c r="O391">
        <v>85</v>
      </c>
      <c r="P391">
        <v>10</v>
      </c>
      <c r="Q391">
        <v>5</v>
      </c>
      <c r="R391" t="s">
        <v>21</v>
      </c>
      <c r="S391" t="s">
        <v>38</v>
      </c>
      <c r="T391">
        <v>5</v>
      </c>
      <c r="U391">
        <v>1250</v>
      </c>
      <c r="V391" t="s">
        <v>39</v>
      </c>
      <c r="W391" t="s">
        <v>1077</v>
      </c>
      <c r="X391" t="s">
        <v>33</v>
      </c>
      <c r="Y391">
        <v>13</v>
      </c>
    </row>
    <row r="392" spans="1:25">
      <c r="A392" t="s">
        <v>835</v>
      </c>
      <c r="B392" t="s">
        <v>836</v>
      </c>
      <c r="C392">
        <v>23</v>
      </c>
      <c r="D392" t="s">
        <v>1077</v>
      </c>
      <c r="E392" t="s">
        <v>57</v>
      </c>
      <c r="F392" t="s">
        <v>66</v>
      </c>
      <c r="G392" t="s">
        <v>43</v>
      </c>
      <c r="H392" t="s">
        <v>1060</v>
      </c>
      <c r="I392">
        <v>24000</v>
      </c>
      <c r="J392">
        <v>12</v>
      </c>
      <c r="K392">
        <v>288000</v>
      </c>
      <c r="L392">
        <v>1</v>
      </c>
      <c r="M392">
        <v>1</v>
      </c>
      <c r="N392" t="s">
        <v>1077</v>
      </c>
      <c r="O392">
        <v>80</v>
      </c>
      <c r="P392">
        <v>13</v>
      </c>
      <c r="Q392">
        <v>5</v>
      </c>
      <c r="R392" t="s">
        <v>21</v>
      </c>
      <c r="S392" t="s">
        <v>19</v>
      </c>
      <c r="T392">
        <v>20</v>
      </c>
      <c r="U392">
        <v>5000</v>
      </c>
      <c r="V392" t="s">
        <v>39</v>
      </c>
      <c r="W392" t="s">
        <v>1077</v>
      </c>
      <c r="X392" t="s">
        <v>33</v>
      </c>
      <c r="Y392">
        <v>20</v>
      </c>
    </row>
    <row r="393" spans="1:25">
      <c r="A393" t="s">
        <v>837</v>
      </c>
      <c r="B393" t="s">
        <v>838</v>
      </c>
      <c r="C393">
        <v>24</v>
      </c>
      <c r="D393" t="s">
        <v>25</v>
      </c>
      <c r="E393" t="s">
        <v>65</v>
      </c>
      <c r="F393" t="s">
        <v>42</v>
      </c>
      <c r="G393" t="s">
        <v>1045</v>
      </c>
      <c r="H393" t="s">
        <v>1059</v>
      </c>
      <c r="I393">
        <v>81000</v>
      </c>
      <c r="J393">
        <v>12</v>
      </c>
      <c r="K393">
        <v>972000</v>
      </c>
      <c r="L393">
        <v>6</v>
      </c>
      <c r="M393">
        <v>5</v>
      </c>
      <c r="N393">
        <v>24300</v>
      </c>
      <c r="O393">
        <v>85</v>
      </c>
      <c r="P393">
        <v>13</v>
      </c>
      <c r="Q393">
        <v>1</v>
      </c>
      <c r="R393" t="s">
        <v>37</v>
      </c>
      <c r="S393" t="s">
        <v>28</v>
      </c>
      <c r="T393">
        <v>20</v>
      </c>
      <c r="U393">
        <v>6000</v>
      </c>
      <c r="V393" t="s">
        <v>58</v>
      </c>
      <c r="W393" t="s">
        <v>1077</v>
      </c>
      <c r="X393" t="s">
        <v>20</v>
      </c>
      <c r="Y393">
        <v>14</v>
      </c>
    </row>
    <row r="394" spans="1:25">
      <c r="A394" t="s">
        <v>839</v>
      </c>
      <c r="B394" t="s">
        <v>840</v>
      </c>
      <c r="C394">
        <v>23</v>
      </c>
      <c r="D394" t="s">
        <v>46</v>
      </c>
      <c r="E394" t="s">
        <v>73</v>
      </c>
      <c r="F394" t="s">
        <v>66</v>
      </c>
      <c r="G394" t="s">
        <v>43</v>
      </c>
      <c r="H394" t="s">
        <v>1060</v>
      </c>
      <c r="I394">
        <v>29000</v>
      </c>
      <c r="J394">
        <v>12</v>
      </c>
      <c r="K394">
        <v>348000</v>
      </c>
      <c r="L394">
        <v>2</v>
      </c>
      <c r="M394">
        <v>5</v>
      </c>
      <c r="N394">
        <v>8700</v>
      </c>
      <c r="O394">
        <v>95</v>
      </c>
      <c r="P394">
        <v>10</v>
      </c>
      <c r="Q394">
        <v>2</v>
      </c>
      <c r="S394" t="s">
        <v>38</v>
      </c>
      <c r="U394">
        <v>0</v>
      </c>
      <c r="V394" t="s">
        <v>58</v>
      </c>
      <c r="W394" t="s">
        <v>1077</v>
      </c>
      <c r="X394" t="s">
        <v>33</v>
      </c>
      <c r="Y394">
        <v>20</v>
      </c>
    </row>
    <row r="395" spans="1:25">
      <c r="A395" t="s">
        <v>841</v>
      </c>
      <c r="B395" t="s">
        <v>842</v>
      </c>
      <c r="C395">
        <v>24</v>
      </c>
      <c r="D395" t="s">
        <v>25</v>
      </c>
      <c r="E395" t="s">
        <v>73</v>
      </c>
      <c r="F395" t="s">
        <v>42</v>
      </c>
      <c r="G395" t="s">
        <v>43</v>
      </c>
      <c r="H395" t="s">
        <v>1059</v>
      </c>
      <c r="I395">
        <v>29000</v>
      </c>
      <c r="J395">
        <v>12</v>
      </c>
      <c r="K395">
        <v>348000</v>
      </c>
      <c r="L395">
        <v>2</v>
      </c>
      <c r="M395">
        <v>4</v>
      </c>
      <c r="N395">
        <v>8700</v>
      </c>
      <c r="O395">
        <v>90</v>
      </c>
      <c r="P395">
        <v>15</v>
      </c>
      <c r="Q395">
        <v>3</v>
      </c>
      <c r="R395" t="s">
        <v>21</v>
      </c>
      <c r="S395" t="s">
        <v>28</v>
      </c>
      <c r="T395">
        <v>5</v>
      </c>
      <c r="U395">
        <v>1250</v>
      </c>
      <c r="V395" t="s">
        <v>22</v>
      </c>
      <c r="W395" t="s">
        <v>1077</v>
      </c>
      <c r="X395" t="s">
        <v>20</v>
      </c>
      <c r="Y395">
        <v>14</v>
      </c>
    </row>
    <row r="396" spans="1:25">
      <c r="A396" t="s">
        <v>843</v>
      </c>
      <c r="B396" t="s">
        <v>844</v>
      </c>
      <c r="C396">
        <v>25</v>
      </c>
      <c r="D396" t="s">
        <v>46</v>
      </c>
      <c r="E396" t="s">
        <v>35</v>
      </c>
      <c r="F396" t="s">
        <v>31</v>
      </c>
      <c r="G396" t="s">
        <v>43</v>
      </c>
      <c r="H396" t="s">
        <v>1059</v>
      </c>
      <c r="I396">
        <v>29000</v>
      </c>
      <c r="J396">
        <v>12</v>
      </c>
      <c r="K396">
        <v>348000</v>
      </c>
      <c r="L396">
        <v>2</v>
      </c>
      <c r="M396">
        <v>3</v>
      </c>
      <c r="N396">
        <v>8700</v>
      </c>
      <c r="O396">
        <v>95</v>
      </c>
      <c r="P396">
        <v>13</v>
      </c>
      <c r="Q396">
        <v>3</v>
      </c>
      <c r="S396" t="s">
        <v>28</v>
      </c>
      <c r="T396">
        <v>5</v>
      </c>
      <c r="U396">
        <v>1250</v>
      </c>
      <c r="V396" t="s">
        <v>22</v>
      </c>
      <c r="W396" t="s">
        <v>1077</v>
      </c>
      <c r="X396" t="s">
        <v>33</v>
      </c>
      <c r="Y396">
        <v>13</v>
      </c>
    </row>
    <row r="397" spans="1:25">
      <c r="A397" t="s">
        <v>845</v>
      </c>
      <c r="B397" t="s">
        <v>846</v>
      </c>
      <c r="C397">
        <v>25</v>
      </c>
      <c r="D397" t="s">
        <v>46</v>
      </c>
      <c r="E397" t="s">
        <v>65</v>
      </c>
      <c r="F397" t="s">
        <v>18</v>
      </c>
      <c r="G397" t="s">
        <v>43</v>
      </c>
      <c r="H397" t="s">
        <v>1060</v>
      </c>
      <c r="I397">
        <v>29000</v>
      </c>
      <c r="J397">
        <v>12</v>
      </c>
      <c r="K397">
        <v>348000</v>
      </c>
      <c r="L397">
        <v>2</v>
      </c>
      <c r="M397">
        <v>3</v>
      </c>
      <c r="N397">
        <v>8700</v>
      </c>
      <c r="O397">
        <v>80</v>
      </c>
      <c r="P397">
        <v>13</v>
      </c>
      <c r="Q397">
        <v>10</v>
      </c>
      <c r="S397" t="s">
        <v>38</v>
      </c>
      <c r="T397">
        <v>10</v>
      </c>
      <c r="U397">
        <v>2500</v>
      </c>
      <c r="V397" t="s">
        <v>22</v>
      </c>
      <c r="W397" t="s">
        <v>1077</v>
      </c>
      <c r="X397" t="s">
        <v>20</v>
      </c>
      <c r="Y397">
        <v>10</v>
      </c>
    </row>
    <row r="398" spans="1:25">
      <c r="A398" t="s">
        <v>847</v>
      </c>
      <c r="B398" t="s">
        <v>848</v>
      </c>
      <c r="C398">
        <v>23</v>
      </c>
      <c r="D398" t="s">
        <v>46</v>
      </c>
      <c r="E398" t="s">
        <v>65</v>
      </c>
      <c r="F398" t="s">
        <v>66</v>
      </c>
      <c r="G398" t="s">
        <v>43</v>
      </c>
      <c r="H398" t="s">
        <v>1060</v>
      </c>
      <c r="I398">
        <v>24000</v>
      </c>
      <c r="J398">
        <v>12</v>
      </c>
      <c r="K398">
        <v>288000</v>
      </c>
      <c r="L398">
        <v>1</v>
      </c>
      <c r="M398">
        <v>3</v>
      </c>
      <c r="N398">
        <v>7200</v>
      </c>
      <c r="O398">
        <v>85</v>
      </c>
      <c r="P398">
        <v>5</v>
      </c>
      <c r="Q398">
        <v>5</v>
      </c>
      <c r="R398" t="s">
        <v>37</v>
      </c>
      <c r="S398" t="s">
        <v>38</v>
      </c>
      <c r="U398">
        <v>0</v>
      </c>
      <c r="V398" t="s">
        <v>22</v>
      </c>
      <c r="W398" t="s">
        <v>1077</v>
      </c>
      <c r="X398" t="s">
        <v>33</v>
      </c>
      <c r="Y398">
        <v>20</v>
      </c>
    </row>
    <row r="399" spans="1:25">
      <c r="A399" t="s">
        <v>849</v>
      </c>
      <c r="B399" t="s">
        <v>850</v>
      </c>
      <c r="C399">
        <v>38</v>
      </c>
      <c r="D399" t="s">
        <v>1077</v>
      </c>
      <c r="E399" t="s">
        <v>17</v>
      </c>
      <c r="F399" t="s">
        <v>18</v>
      </c>
      <c r="G399" t="s">
        <v>32</v>
      </c>
      <c r="H399" t="s">
        <v>1060</v>
      </c>
      <c r="I399">
        <v>90000</v>
      </c>
      <c r="J399">
        <v>12</v>
      </c>
      <c r="K399">
        <v>1080000</v>
      </c>
      <c r="L399">
        <v>12</v>
      </c>
      <c r="N399" t="s">
        <v>1077</v>
      </c>
      <c r="O399">
        <v>80</v>
      </c>
      <c r="P399">
        <v>13</v>
      </c>
      <c r="Q399">
        <v>3</v>
      </c>
      <c r="S399" t="s">
        <v>28</v>
      </c>
      <c r="T399">
        <v>5</v>
      </c>
      <c r="U399">
        <v>1750</v>
      </c>
      <c r="V399" t="s">
        <v>1054</v>
      </c>
      <c r="W399" t="s">
        <v>1077</v>
      </c>
      <c r="X399" t="s">
        <v>20</v>
      </c>
      <c r="Y399">
        <v>10</v>
      </c>
    </row>
    <row r="400" spans="1:25">
      <c r="A400" t="s">
        <v>851</v>
      </c>
      <c r="B400" t="s">
        <v>852</v>
      </c>
      <c r="C400">
        <v>30</v>
      </c>
      <c r="D400" t="s">
        <v>25</v>
      </c>
      <c r="E400" t="s">
        <v>17</v>
      </c>
      <c r="F400" t="s">
        <v>31</v>
      </c>
      <c r="G400" t="s">
        <v>82</v>
      </c>
      <c r="H400" t="s">
        <v>1060</v>
      </c>
      <c r="I400">
        <v>84000</v>
      </c>
      <c r="J400">
        <v>12</v>
      </c>
      <c r="K400">
        <v>1008000</v>
      </c>
      <c r="L400">
        <v>7</v>
      </c>
      <c r="M400">
        <v>3</v>
      </c>
      <c r="N400">
        <v>25200</v>
      </c>
      <c r="O400">
        <v>90</v>
      </c>
      <c r="P400">
        <v>10</v>
      </c>
      <c r="Q400">
        <v>5</v>
      </c>
      <c r="S400" t="s">
        <v>38</v>
      </c>
      <c r="T400">
        <v>10</v>
      </c>
      <c r="U400">
        <v>3500</v>
      </c>
      <c r="V400" t="s">
        <v>22</v>
      </c>
      <c r="W400" t="s">
        <v>1077</v>
      </c>
      <c r="X400" t="s">
        <v>33</v>
      </c>
      <c r="Y400">
        <v>13</v>
      </c>
    </row>
    <row r="401" spans="1:25">
      <c r="A401" t="s">
        <v>853</v>
      </c>
      <c r="B401" t="s">
        <v>854</v>
      </c>
      <c r="C401">
        <v>25</v>
      </c>
      <c r="D401" t="s">
        <v>46</v>
      </c>
      <c r="E401" t="s">
        <v>35</v>
      </c>
      <c r="F401" t="s">
        <v>31</v>
      </c>
      <c r="G401" t="s">
        <v>1045</v>
      </c>
      <c r="H401" t="s">
        <v>1060</v>
      </c>
      <c r="I401">
        <v>78000</v>
      </c>
      <c r="J401">
        <v>12</v>
      </c>
      <c r="K401">
        <v>936000</v>
      </c>
      <c r="L401">
        <v>5</v>
      </c>
      <c r="M401">
        <v>4</v>
      </c>
      <c r="N401">
        <v>23400</v>
      </c>
      <c r="O401">
        <v>80</v>
      </c>
      <c r="P401">
        <v>5</v>
      </c>
      <c r="Q401">
        <v>2</v>
      </c>
      <c r="R401" t="s">
        <v>21</v>
      </c>
      <c r="S401" t="s">
        <v>19</v>
      </c>
      <c r="U401">
        <v>0</v>
      </c>
      <c r="V401" t="s">
        <v>58</v>
      </c>
      <c r="W401" t="s">
        <v>1077</v>
      </c>
      <c r="X401" t="s">
        <v>33</v>
      </c>
      <c r="Y401">
        <v>13</v>
      </c>
    </row>
    <row r="402" spans="1:25">
      <c r="A402" t="s">
        <v>855</v>
      </c>
      <c r="B402" t="s">
        <v>856</v>
      </c>
      <c r="C402">
        <v>24</v>
      </c>
      <c r="D402" t="s">
        <v>25</v>
      </c>
      <c r="E402" t="s">
        <v>64</v>
      </c>
      <c r="F402" t="s">
        <v>31</v>
      </c>
      <c r="G402" t="s">
        <v>43</v>
      </c>
      <c r="H402" t="s">
        <v>1060</v>
      </c>
      <c r="I402">
        <v>24000</v>
      </c>
      <c r="J402">
        <v>12</v>
      </c>
      <c r="K402">
        <v>288000</v>
      </c>
      <c r="L402">
        <v>1</v>
      </c>
      <c r="M402">
        <v>3</v>
      </c>
      <c r="N402">
        <v>7200</v>
      </c>
      <c r="O402">
        <v>95</v>
      </c>
      <c r="P402">
        <v>5</v>
      </c>
      <c r="Q402">
        <v>1</v>
      </c>
      <c r="R402" t="s">
        <v>37</v>
      </c>
      <c r="S402" t="s">
        <v>38</v>
      </c>
      <c r="T402">
        <v>10</v>
      </c>
      <c r="U402">
        <v>2500</v>
      </c>
      <c r="V402" t="s">
        <v>22</v>
      </c>
      <c r="W402" t="s">
        <v>1077</v>
      </c>
      <c r="X402" t="s">
        <v>33</v>
      </c>
      <c r="Y402">
        <v>13</v>
      </c>
    </row>
    <row r="403" spans="1:25">
      <c r="A403" t="s">
        <v>857</v>
      </c>
      <c r="B403" t="s">
        <v>858</v>
      </c>
      <c r="C403">
        <v>23</v>
      </c>
      <c r="D403" t="s">
        <v>25</v>
      </c>
      <c r="E403" t="s">
        <v>65</v>
      </c>
      <c r="F403" t="s">
        <v>66</v>
      </c>
      <c r="G403" t="s">
        <v>43</v>
      </c>
      <c r="H403" t="s">
        <v>1060</v>
      </c>
      <c r="I403">
        <v>27000</v>
      </c>
      <c r="J403">
        <v>12</v>
      </c>
      <c r="K403">
        <v>324000</v>
      </c>
      <c r="L403">
        <v>2</v>
      </c>
      <c r="M403">
        <v>5</v>
      </c>
      <c r="N403">
        <v>8100</v>
      </c>
      <c r="O403">
        <v>80</v>
      </c>
      <c r="P403">
        <v>5</v>
      </c>
      <c r="Q403">
        <v>3</v>
      </c>
      <c r="R403" t="s">
        <v>37</v>
      </c>
      <c r="S403" t="s">
        <v>38</v>
      </c>
      <c r="T403">
        <v>10</v>
      </c>
      <c r="U403">
        <v>2500</v>
      </c>
      <c r="V403" t="s">
        <v>58</v>
      </c>
      <c r="W403" t="s">
        <v>1077</v>
      </c>
      <c r="X403" t="s">
        <v>33</v>
      </c>
      <c r="Y403">
        <v>20</v>
      </c>
    </row>
    <row r="404" spans="1:25">
      <c r="A404" t="s">
        <v>859</v>
      </c>
      <c r="B404" t="s">
        <v>860</v>
      </c>
      <c r="C404">
        <v>25</v>
      </c>
      <c r="D404" t="s">
        <v>25</v>
      </c>
      <c r="E404" t="s">
        <v>57</v>
      </c>
      <c r="F404" t="s">
        <v>31</v>
      </c>
      <c r="G404" t="s">
        <v>43</v>
      </c>
      <c r="H404" t="s">
        <v>1060</v>
      </c>
      <c r="I404">
        <v>24000</v>
      </c>
      <c r="J404">
        <v>12</v>
      </c>
      <c r="K404">
        <v>288000</v>
      </c>
      <c r="L404">
        <v>1</v>
      </c>
      <c r="M404">
        <v>1</v>
      </c>
      <c r="N404" t="s">
        <v>1077</v>
      </c>
      <c r="O404">
        <v>90</v>
      </c>
      <c r="P404">
        <v>5</v>
      </c>
      <c r="Q404">
        <v>2</v>
      </c>
      <c r="S404" t="s">
        <v>38</v>
      </c>
      <c r="T404">
        <v>20</v>
      </c>
      <c r="U404">
        <v>5000</v>
      </c>
      <c r="V404" t="s">
        <v>39</v>
      </c>
      <c r="W404" t="s">
        <v>1077</v>
      </c>
      <c r="X404" t="s">
        <v>33</v>
      </c>
      <c r="Y404">
        <v>13</v>
      </c>
    </row>
    <row r="405" spans="1:25">
      <c r="A405" t="s">
        <v>861</v>
      </c>
      <c r="B405" t="s">
        <v>862</v>
      </c>
      <c r="C405">
        <v>40</v>
      </c>
      <c r="D405" t="s">
        <v>25</v>
      </c>
      <c r="E405" t="s">
        <v>26</v>
      </c>
      <c r="F405" t="s">
        <v>42</v>
      </c>
      <c r="G405" t="s">
        <v>1045</v>
      </c>
      <c r="H405" t="s">
        <v>1060</v>
      </c>
      <c r="I405">
        <v>75000</v>
      </c>
      <c r="J405">
        <v>12</v>
      </c>
      <c r="K405">
        <v>900000</v>
      </c>
      <c r="L405">
        <v>5</v>
      </c>
      <c r="M405">
        <v>1</v>
      </c>
      <c r="N405" t="s">
        <v>1077</v>
      </c>
      <c r="O405">
        <v>90</v>
      </c>
      <c r="P405">
        <v>5</v>
      </c>
      <c r="Q405">
        <v>13</v>
      </c>
      <c r="S405" t="s">
        <v>19</v>
      </c>
      <c r="T405">
        <v>10</v>
      </c>
      <c r="U405">
        <v>3000</v>
      </c>
      <c r="V405" t="s">
        <v>39</v>
      </c>
      <c r="W405" t="s">
        <v>1077</v>
      </c>
      <c r="X405" t="s">
        <v>20</v>
      </c>
      <c r="Y405">
        <v>14</v>
      </c>
    </row>
    <row r="406" spans="1:25">
      <c r="A406" t="s">
        <v>863</v>
      </c>
      <c r="B406" t="s">
        <v>864</v>
      </c>
      <c r="C406">
        <v>32</v>
      </c>
      <c r="D406" t="s">
        <v>25</v>
      </c>
      <c r="E406" t="s">
        <v>64</v>
      </c>
      <c r="F406" t="s">
        <v>36</v>
      </c>
      <c r="G406" t="s">
        <v>82</v>
      </c>
      <c r="H406" t="s">
        <v>1060</v>
      </c>
      <c r="I406">
        <v>83000</v>
      </c>
      <c r="J406">
        <v>12</v>
      </c>
      <c r="K406">
        <v>996000</v>
      </c>
      <c r="L406">
        <v>7</v>
      </c>
      <c r="M406">
        <v>2</v>
      </c>
      <c r="N406" t="s">
        <v>1077</v>
      </c>
      <c r="O406">
        <v>90</v>
      </c>
      <c r="P406">
        <v>10</v>
      </c>
      <c r="Q406">
        <v>3</v>
      </c>
      <c r="R406" t="s">
        <v>21</v>
      </c>
      <c r="S406" t="s">
        <v>38</v>
      </c>
      <c r="U406">
        <v>0</v>
      </c>
      <c r="V406" t="s">
        <v>39</v>
      </c>
      <c r="W406" t="s">
        <v>1077</v>
      </c>
      <c r="X406" t="s">
        <v>20</v>
      </c>
      <c r="Y406">
        <v>25</v>
      </c>
    </row>
    <row r="407" spans="1:25">
      <c r="A407" t="s">
        <v>865</v>
      </c>
      <c r="B407" t="s">
        <v>866</v>
      </c>
      <c r="C407">
        <v>23</v>
      </c>
      <c r="D407" t="s">
        <v>46</v>
      </c>
      <c r="E407" t="s">
        <v>35</v>
      </c>
      <c r="F407" t="s">
        <v>42</v>
      </c>
      <c r="G407" t="s">
        <v>43</v>
      </c>
      <c r="H407" t="s">
        <v>1060</v>
      </c>
      <c r="I407">
        <v>27000</v>
      </c>
      <c r="J407">
        <v>12</v>
      </c>
      <c r="K407">
        <v>324000</v>
      </c>
      <c r="L407">
        <v>2</v>
      </c>
      <c r="M407">
        <v>4</v>
      </c>
      <c r="N407">
        <v>8100</v>
      </c>
      <c r="O407">
        <v>90</v>
      </c>
      <c r="P407">
        <v>10</v>
      </c>
      <c r="Q407">
        <v>5</v>
      </c>
      <c r="S407" t="s">
        <v>38</v>
      </c>
      <c r="T407">
        <v>5</v>
      </c>
      <c r="U407">
        <v>1250</v>
      </c>
      <c r="V407" t="s">
        <v>22</v>
      </c>
      <c r="W407" t="s">
        <v>1077</v>
      </c>
      <c r="X407" t="s">
        <v>20</v>
      </c>
      <c r="Y407">
        <v>14</v>
      </c>
    </row>
    <row r="408" spans="1:25">
      <c r="A408" t="s">
        <v>867</v>
      </c>
      <c r="B408" t="s">
        <v>868</v>
      </c>
      <c r="C408">
        <v>32</v>
      </c>
      <c r="D408" t="s">
        <v>46</v>
      </c>
      <c r="E408" t="s">
        <v>47</v>
      </c>
      <c r="F408" t="s">
        <v>18</v>
      </c>
      <c r="G408" t="s">
        <v>82</v>
      </c>
      <c r="H408" t="s">
        <v>1059</v>
      </c>
      <c r="I408">
        <v>84000</v>
      </c>
      <c r="J408">
        <v>12</v>
      </c>
      <c r="K408">
        <v>1008000</v>
      </c>
      <c r="L408">
        <v>7</v>
      </c>
      <c r="M408">
        <v>4</v>
      </c>
      <c r="N408">
        <v>25200</v>
      </c>
      <c r="O408">
        <v>88</v>
      </c>
      <c r="P408">
        <v>10</v>
      </c>
      <c r="Q408">
        <v>5</v>
      </c>
      <c r="R408" t="s">
        <v>37</v>
      </c>
      <c r="S408" t="s">
        <v>28</v>
      </c>
      <c r="T408">
        <v>20</v>
      </c>
      <c r="U408">
        <v>7000</v>
      </c>
      <c r="V408" t="s">
        <v>58</v>
      </c>
      <c r="W408" t="s">
        <v>1077</v>
      </c>
      <c r="X408" t="s">
        <v>20</v>
      </c>
      <c r="Y408">
        <v>10</v>
      </c>
    </row>
    <row r="409" spans="1:25">
      <c r="A409" t="s">
        <v>869</v>
      </c>
      <c r="B409" t="s">
        <v>870</v>
      </c>
      <c r="C409">
        <v>23</v>
      </c>
      <c r="D409" t="s">
        <v>46</v>
      </c>
      <c r="E409" t="s">
        <v>73</v>
      </c>
      <c r="F409" t="s">
        <v>27</v>
      </c>
      <c r="G409" t="s">
        <v>43</v>
      </c>
      <c r="H409" t="s">
        <v>1060</v>
      </c>
      <c r="I409">
        <v>27000</v>
      </c>
      <c r="J409">
        <v>12</v>
      </c>
      <c r="K409">
        <v>324000</v>
      </c>
      <c r="L409">
        <v>2</v>
      </c>
      <c r="M409">
        <v>2</v>
      </c>
      <c r="N409" t="s">
        <v>1077</v>
      </c>
      <c r="O409">
        <v>88</v>
      </c>
      <c r="P409">
        <v>15</v>
      </c>
      <c r="Q409">
        <v>5</v>
      </c>
      <c r="S409" t="s">
        <v>38</v>
      </c>
      <c r="T409">
        <v>5</v>
      </c>
      <c r="U409">
        <v>1250</v>
      </c>
      <c r="V409" t="s">
        <v>39</v>
      </c>
      <c r="W409" t="s">
        <v>1077</v>
      </c>
      <c r="X409" t="s">
        <v>20</v>
      </c>
      <c r="Y409">
        <v>12</v>
      </c>
    </row>
    <row r="410" spans="1:25">
      <c r="A410" t="s">
        <v>871</v>
      </c>
      <c r="B410" t="s">
        <v>872</v>
      </c>
      <c r="C410">
        <v>23</v>
      </c>
      <c r="D410" t="s">
        <v>46</v>
      </c>
      <c r="E410" t="s">
        <v>17</v>
      </c>
      <c r="F410" t="s">
        <v>27</v>
      </c>
      <c r="G410" t="s">
        <v>43</v>
      </c>
      <c r="H410" t="s">
        <v>1060</v>
      </c>
      <c r="I410">
        <v>27000</v>
      </c>
      <c r="J410">
        <v>12</v>
      </c>
      <c r="K410">
        <v>324000</v>
      </c>
      <c r="L410">
        <v>2</v>
      </c>
      <c r="M410">
        <v>2</v>
      </c>
      <c r="N410" t="s">
        <v>1077</v>
      </c>
      <c r="O410">
        <v>80</v>
      </c>
      <c r="P410">
        <v>10</v>
      </c>
      <c r="Q410">
        <v>3</v>
      </c>
      <c r="R410" t="s">
        <v>21</v>
      </c>
      <c r="S410" t="s">
        <v>38</v>
      </c>
      <c r="U410">
        <v>0</v>
      </c>
      <c r="V410" t="s">
        <v>39</v>
      </c>
      <c r="W410" t="s">
        <v>1077</v>
      </c>
      <c r="X410" t="s">
        <v>20</v>
      </c>
      <c r="Y410">
        <v>12</v>
      </c>
    </row>
    <row r="411" spans="1:25">
      <c r="A411" t="s">
        <v>873</v>
      </c>
      <c r="B411" t="s">
        <v>874</v>
      </c>
      <c r="C411">
        <v>25</v>
      </c>
      <c r="D411" t="s">
        <v>46</v>
      </c>
      <c r="E411" t="s">
        <v>50</v>
      </c>
      <c r="F411" t="s">
        <v>36</v>
      </c>
      <c r="G411" t="s">
        <v>43</v>
      </c>
      <c r="H411" t="s">
        <v>1060</v>
      </c>
      <c r="I411">
        <v>24000</v>
      </c>
      <c r="J411">
        <v>12</v>
      </c>
      <c r="K411">
        <v>288000</v>
      </c>
      <c r="L411">
        <v>1</v>
      </c>
      <c r="M411">
        <v>2</v>
      </c>
      <c r="N411" t="s">
        <v>1077</v>
      </c>
      <c r="O411">
        <v>80</v>
      </c>
      <c r="P411">
        <v>13</v>
      </c>
      <c r="Q411">
        <v>1</v>
      </c>
      <c r="S411" t="s">
        <v>38</v>
      </c>
      <c r="T411">
        <v>10</v>
      </c>
      <c r="U411">
        <v>2500</v>
      </c>
      <c r="V411" t="s">
        <v>39</v>
      </c>
      <c r="W411" t="s">
        <v>1077</v>
      </c>
      <c r="X411" t="s">
        <v>20</v>
      </c>
      <c r="Y411">
        <v>25</v>
      </c>
    </row>
    <row r="412" spans="1:25">
      <c r="A412" t="s">
        <v>875</v>
      </c>
      <c r="B412" t="s">
        <v>876</v>
      </c>
      <c r="C412">
        <v>23</v>
      </c>
      <c r="D412" t="s">
        <v>46</v>
      </c>
      <c r="E412" t="s">
        <v>50</v>
      </c>
      <c r="F412" t="s">
        <v>18</v>
      </c>
      <c r="G412" t="s">
        <v>43</v>
      </c>
      <c r="H412" t="s">
        <v>1060</v>
      </c>
      <c r="I412">
        <v>22000</v>
      </c>
      <c r="J412">
        <v>12</v>
      </c>
      <c r="K412">
        <v>264000</v>
      </c>
      <c r="L412">
        <v>1</v>
      </c>
      <c r="M412">
        <v>1</v>
      </c>
      <c r="N412" t="s">
        <v>1077</v>
      </c>
      <c r="O412">
        <v>80</v>
      </c>
      <c r="P412">
        <v>10</v>
      </c>
      <c r="Q412">
        <v>5</v>
      </c>
      <c r="S412" t="s">
        <v>38</v>
      </c>
      <c r="T412">
        <v>10</v>
      </c>
      <c r="U412">
        <v>2500</v>
      </c>
      <c r="V412" t="s">
        <v>39</v>
      </c>
      <c r="W412" t="s">
        <v>1077</v>
      </c>
      <c r="X412" t="s">
        <v>20</v>
      </c>
      <c r="Y412">
        <v>10</v>
      </c>
    </row>
    <row r="413" spans="1:25">
      <c r="A413" t="s">
        <v>877</v>
      </c>
      <c r="B413" t="s">
        <v>878</v>
      </c>
      <c r="C413">
        <v>23</v>
      </c>
      <c r="D413" t="s">
        <v>46</v>
      </c>
      <c r="E413" t="s">
        <v>17</v>
      </c>
      <c r="F413" t="s">
        <v>18</v>
      </c>
      <c r="G413" t="s">
        <v>43</v>
      </c>
      <c r="H413" t="s">
        <v>1060</v>
      </c>
      <c r="I413">
        <v>27000</v>
      </c>
      <c r="J413">
        <v>12</v>
      </c>
      <c r="K413">
        <v>324000</v>
      </c>
      <c r="L413">
        <v>2</v>
      </c>
      <c r="M413">
        <v>1</v>
      </c>
      <c r="N413" t="s">
        <v>1077</v>
      </c>
      <c r="O413">
        <v>85</v>
      </c>
      <c r="P413">
        <v>13</v>
      </c>
      <c r="Q413">
        <v>3</v>
      </c>
      <c r="S413" t="s">
        <v>38</v>
      </c>
      <c r="U413">
        <v>0</v>
      </c>
      <c r="V413" t="s">
        <v>39</v>
      </c>
      <c r="W413" t="s">
        <v>1077</v>
      </c>
      <c r="X413" t="s">
        <v>20</v>
      </c>
      <c r="Y413">
        <v>10</v>
      </c>
    </row>
    <row r="414" spans="1:25">
      <c r="A414" t="s">
        <v>879</v>
      </c>
      <c r="B414" t="s">
        <v>880</v>
      </c>
      <c r="C414">
        <v>27</v>
      </c>
      <c r="D414" t="s">
        <v>46</v>
      </c>
      <c r="E414" t="s">
        <v>57</v>
      </c>
      <c r="F414" t="s">
        <v>36</v>
      </c>
      <c r="G414" t="s">
        <v>1048</v>
      </c>
      <c r="H414" t="s">
        <v>1060</v>
      </c>
      <c r="I414">
        <v>65000</v>
      </c>
      <c r="J414">
        <v>12</v>
      </c>
      <c r="K414">
        <v>780000</v>
      </c>
      <c r="L414">
        <v>5</v>
      </c>
      <c r="M414">
        <v>3</v>
      </c>
      <c r="N414">
        <v>19500</v>
      </c>
      <c r="O414">
        <v>85</v>
      </c>
      <c r="P414">
        <v>13</v>
      </c>
      <c r="Q414">
        <v>5</v>
      </c>
      <c r="R414" t="s">
        <v>37</v>
      </c>
      <c r="S414" t="s">
        <v>28</v>
      </c>
      <c r="T414">
        <v>10</v>
      </c>
      <c r="U414">
        <v>3000</v>
      </c>
      <c r="V414" t="s">
        <v>22</v>
      </c>
      <c r="W414" t="s">
        <v>1077</v>
      </c>
      <c r="X414" t="s">
        <v>20</v>
      </c>
      <c r="Y414">
        <v>25</v>
      </c>
    </row>
    <row r="415" spans="1:25">
      <c r="A415" t="s">
        <v>881</v>
      </c>
      <c r="B415" t="s">
        <v>882</v>
      </c>
      <c r="C415">
        <v>23</v>
      </c>
      <c r="D415" t="s">
        <v>25</v>
      </c>
      <c r="E415" t="s">
        <v>26</v>
      </c>
      <c r="F415" t="s">
        <v>18</v>
      </c>
      <c r="G415" t="s">
        <v>43</v>
      </c>
      <c r="H415" t="s">
        <v>1060</v>
      </c>
      <c r="I415">
        <v>27000</v>
      </c>
      <c r="J415">
        <v>12</v>
      </c>
      <c r="K415">
        <v>324000</v>
      </c>
      <c r="L415">
        <v>2</v>
      </c>
      <c r="M415">
        <v>5</v>
      </c>
      <c r="N415">
        <v>8100</v>
      </c>
      <c r="O415">
        <v>80</v>
      </c>
      <c r="P415">
        <v>13</v>
      </c>
      <c r="Q415">
        <v>1</v>
      </c>
      <c r="S415" t="s">
        <v>38</v>
      </c>
      <c r="U415">
        <v>0</v>
      </c>
      <c r="V415" t="s">
        <v>58</v>
      </c>
      <c r="W415" t="s">
        <v>1077</v>
      </c>
      <c r="X415" t="s">
        <v>20</v>
      </c>
      <c r="Y415">
        <v>10</v>
      </c>
    </row>
    <row r="416" spans="1:25">
      <c r="A416" t="s">
        <v>883</v>
      </c>
      <c r="B416" t="s">
        <v>884</v>
      </c>
      <c r="C416">
        <v>25</v>
      </c>
      <c r="D416" t="s">
        <v>46</v>
      </c>
      <c r="E416" t="s">
        <v>64</v>
      </c>
      <c r="F416" t="s">
        <v>42</v>
      </c>
      <c r="G416" t="s">
        <v>43</v>
      </c>
      <c r="H416" t="s">
        <v>1060</v>
      </c>
      <c r="I416">
        <v>27000</v>
      </c>
      <c r="J416">
        <v>12</v>
      </c>
      <c r="K416">
        <v>324000</v>
      </c>
      <c r="L416">
        <v>2</v>
      </c>
      <c r="M416">
        <v>1</v>
      </c>
      <c r="N416" t="s">
        <v>1077</v>
      </c>
      <c r="O416">
        <v>80</v>
      </c>
      <c r="P416">
        <v>5</v>
      </c>
      <c r="Q416">
        <v>3</v>
      </c>
      <c r="R416" t="s">
        <v>37</v>
      </c>
      <c r="S416" t="s">
        <v>38</v>
      </c>
      <c r="T416">
        <v>5</v>
      </c>
      <c r="U416">
        <v>1250</v>
      </c>
      <c r="V416" t="s">
        <v>39</v>
      </c>
      <c r="W416" t="s">
        <v>1077</v>
      </c>
      <c r="X416" t="s">
        <v>20</v>
      </c>
      <c r="Y416">
        <v>14</v>
      </c>
    </row>
    <row r="417" spans="1:25">
      <c r="A417" t="s">
        <v>885</v>
      </c>
      <c r="B417" t="s">
        <v>886</v>
      </c>
      <c r="C417">
        <v>24</v>
      </c>
      <c r="D417" t="s">
        <v>1077</v>
      </c>
      <c r="E417" t="s">
        <v>17</v>
      </c>
      <c r="F417" t="s">
        <v>36</v>
      </c>
      <c r="G417" t="s">
        <v>43</v>
      </c>
      <c r="H417" t="s">
        <v>1060</v>
      </c>
      <c r="I417">
        <v>27000</v>
      </c>
      <c r="J417">
        <v>12</v>
      </c>
      <c r="K417">
        <v>324000</v>
      </c>
      <c r="L417">
        <v>2</v>
      </c>
      <c r="M417">
        <v>4</v>
      </c>
      <c r="N417">
        <v>8100</v>
      </c>
      <c r="O417">
        <v>88</v>
      </c>
      <c r="P417">
        <v>13</v>
      </c>
      <c r="Q417">
        <v>3</v>
      </c>
      <c r="R417" t="s">
        <v>37</v>
      </c>
      <c r="S417" t="s">
        <v>38</v>
      </c>
      <c r="T417">
        <v>5</v>
      </c>
      <c r="U417">
        <v>1250</v>
      </c>
      <c r="V417" t="s">
        <v>22</v>
      </c>
      <c r="W417" t="s">
        <v>1077</v>
      </c>
      <c r="X417" t="s">
        <v>20</v>
      </c>
      <c r="Y417">
        <v>25</v>
      </c>
    </row>
    <row r="418" spans="1:25">
      <c r="A418" t="s">
        <v>887</v>
      </c>
      <c r="B418" t="s">
        <v>888</v>
      </c>
      <c r="C418">
        <v>24</v>
      </c>
      <c r="D418" t="s">
        <v>25</v>
      </c>
      <c r="E418" t="s">
        <v>61</v>
      </c>
      <c r="F418" t="s">
        <v>66</v>
      </c>
      <c r="G418" t="s">
        <v>1048</v>
      </c>
      <c r="H418" t="s">
        <v>1060</v>
      </c>
      <c r="I418">
        <v>70000</v>
      </c>
      <c r="J418">
        <v>12</v>
      </c>
      <c r="K418">
        <v>840000</v>
      </c>
      <c r="L418">
        <v>5</v>
      </c>
      <c r="M418">
        <v>4</v>
      </c>
      <c r="N418">
        <v>21000</v>
      </c>
      <c r="O418">
        <v>90</v>
      </c>
      <c r="P418">
        <v>13</v>
      </c>
      <c r="Q418">
        <v>3</v>
      </c>
      <c r="R418" t="s">
        <v>21</v>
      </c>
      <c r="S418" t="s">
        <v>38</v>
      </c>
      <c r="T418">
        <v>5</v>
      </c>
      <c r="U418">
        <v>1500</v>
      </c>
      <c r="V418" t="s">
        <v>58</v>
      </c>
      <c r="W418" t="s">
        <v>1077</v>
      </c>
      <c r="X418" t="s">
        <v>33</v>
      </c>
      <c r="Y418">
        <v>20</v>
      </c>
    </row>
    <row r="419" spans="1:25">
      <c r="A419" t="s">
        <v>889</v>
      </c>
      <c r="B419" t="s">
        <v>890</v>
      </c>
      <c r="C419">
        <v>23</v>
      </c>
      <c r="D419" t="s">
        <v>46</v>
      </c>
      <c r="E419" t="s">
        <v>35</v>
      </c>
      <c r="F419" t="s">
        <v>18</v>
      </c>
      <c r="G419" t="s">
        <v>43</v>
      </c>
      <c r="H419" t="s">
        <v>1060</v>
      </c>
      <c r="I419">
        <v>23000</v>
      </c>
      <c r="J419">
        <v>12</v>
      </c>
      <c r="K419">
        <v>276000</v>
      </c>
      <c r="L419">
        <v>1</v>
      </c>
      <c r="M419">
        <v>4</v>
      </c>
      <c r="N419">
        <v>6900</v>
      </c>
      <c r="O419">
        <v>85</v>
      </c>
      <c r="P419">
        <v>15</v>
      </c>
      <c r="Q419">
        <v>3</v>
      </c>
      <c r="R419" t="s">
        <v>21</v>
      </c>
      <c r="S419" t="s">
        <v>38</v>
      </c>
      <c r="U419">
        <v>0</v>
      </c>
      <c r="V419" t="s">
        <v>22</v>
      </c>
      <c r="W419" t="s">
        <v>1077</v>
      </c>
      <c r="X419" t="s">
        <v>20</v>
      </c>
      <c r="Y419">
        <v>10</v>
      </c>
    </row>
    <row r="420" spans="1:25">
      <c r="A420" t="s">
        <v>891</v>
      </c>
      <c r="B420" t="s">
        <v>892</v>
      </c>
      <c r="C420">
        <v>27</v>
      </c>
      <c r="D420" t="s">
        <v>25</v>
      </c>
      <c r="E420" t="s">
        <v>26</v>
      </c>
      <c r="F420" t="s">
        <v>42</v>
      </c>
      <c r="G420" t="s">
        <v>1045</v>
      </c>
      <c r="H420" t="s">
        <v>1059</v>
      </c>
      <c r="I420">
        <v>71000</v>
      </c>
      <c r="J420">
        <v>12</v>
      </c>
      <c r="K420">
        <v>852000</v>
      </c>
      <c r="L420">
        <v>6</v>
      </c>
      <c r="M420">
        <v>4</v>
      </c>
      <c r="N420">
        <v>21300</v>
      </c>
      <c r="O420">
        <v>95</v>
      </c>
      <c r="P420">
        <v>15</v>
      </c>
      <c r="Q420">
        <v>1</v>
      </c>
      <c r="S420" t="s">
        <v>28</v>
      </c>
      <c r="T420">
        <v>10</v>
      </c>
      <c r="U420">
        <v>3000</v>
      </c>
      <c r="V420" t="s">
        <v>22</v>
      </c>
      <c r="W420" t="s">
        <v>1077</v>
      </c>
      <c r="X420" t="s">
        <v>20</v>
      </c>
      <c r="Y420">
        <v>14</v>
      </c>
    </row>
    <row r="421" spans="1:25">
      <c r="A421" t="s">
        <v>893</v>
      </c>
      <c r="B421" t="s">
        <v>894</v>
      </c>
      <c r="C421">
        <v>24</v>
      </c>
      <c r="D421" t="s">
        <v>46</v>
      </c>
      <c r="E421" t="s">
        <v>50</v>
      </c>
      <c r="F421" t="s">
        <v>36</v>
      </c>
      <c r="G421" t="s">
        <v>43</v>
      </c>
      <c r="H421" t="s">
        <v>1059</v>
      </c>
      <c r="I421">
        <v>27000</v>
      </c>
      <c r="J421">
        <v>12</v>
      </c>
      <c r="K421">
        <v>324000</v>
      </c>
      <c r="L421">
        <v>2</v>
      </c>
      <c r="M421">
        <v>3</v>
      </c>
      <c r="N421">
        <v>8100</v>
      </c>
      <c r="O421">
        <v>88</v>
      </c>
      <c r="P421">
        <v>15</v>
      </c>
      <c r="Q421">
        <v>7</v>
      </c>
      <c r="R421" t="s">
        <v>21</v>
      </c>
      <c r="S421" t="s">
        <v>28</v>
      </c>
      <c r="U421">
        <v>0</v>
      </c>
      <c r="V421" t="s">
        <v>22</v>
      </c>
      <c r="W421" t="s">
        <v>1077</v>
      </c>
      <c r="X421" t="s">
        <v>20</v>
      </c>
      <c r="Y421">
        <v>25</v>
      </c>
    </row>
    <row r="422" spans="1:25">
      <c r="A422" t="s">
        <v>895</v>
      </c>
      <c r="B422" t="s">
        <v>896</v>
      </c>
      <c r="C422">
        <v>23</v>
      </c>
      <c r="D422" t="s">
        <v>25</v>
      </c>
      <c r="E422" t="s">
        <v>35</v>
      </c>
      <c r="F422" t="s">
        <v>36</v>
      </c>
      <c r="G422" t="s">
        <v>43</v>
      </c>
      <c r="H422" t="s">
        <v>1060</v>
      </c>
      <c r="I422">
        <v>26000</v>
      </c>
      <c r="J422">
        <v>12</v>
      </c>
      <c r="K422">
        <v>312000</v>
      </c>
      <c r="L422">
        <v>2</v>
      </c>
      <c r="M422">
        <v>1</v>
      </c>
      <c r="N422" t="s">
        <v>1077</v>
      </c>
      <c r="O422">
        <v>80</v>
      </c>
      <c r="P422">
        <v>15</v>
      </c>
      <c r="Q422">
        <v>5</v>
      </c>
      <c r="R422" t="s">
        <v>37</v>
      </c>
      <c r="S422" t="s">
        <v>38</v>
      </c>
      <c r="T422">
        <v>5</v>
      </c>
      <c r="U422">
        <v>1250</v>
      </c>
      <c r="V422" t="s">
        <v>39</v>
      </c>
      <c r="W422" t="s">
        <v>1077</v>
      </c>
      <c r="X422" t="s">
        <v>20</v>
      </c>
      <c r="Y422">
        <v>25</v>
      </c>
    </row>
    <row r="423" spans="1:25">
      <c r="A423" t="s">
        <v>897</v>
      </c>
      <c r="B423" t="s">
        <v>898</v>
      </c>
      <c r="C423">
        <v>25</v>
      </c>
      <c r="D423" t="s">
        <v>25</v>
      </c>
      <c r="E423" t="s">
        <v>57</v>
      </c>
      <c r="F423" t="s">
        <v>31</v>
      </c>
      <c r="G423" t="s">
        <v>43</v>
      </c>
      <c r="H423" t="s">
        <v>1060</v>
      </c>
      <c r="I423">
        <v>26000</v>
      </c>
      <c r="J423">
        <v>12</v>
      </c>
      <c r="K423">
        <v>312000</v>
      </c>
      <c r="L423">
        <v>2</v>
      </c>
      <c r="M423">
        <v>1</v>
      </c>
      <c r="N423" t="s">
        <v>1077</v>
      </c>
      <c r="O423">
        <v>95</v>
      </c>
      <c r="P423">
        <v>13</v>
      </c>
      <c r="Q423">
        <v>3</v>
      </c>
      <c r="S423" t="s">
        <v>38</v>
      </c>
      <c r="T423">
        <v>5</v>
      </c>
      <c r="U423">
        <v>1250</v>
      </c>
      <c r="V423" t="s">
        <v>39</v>
      </c>
      <c r="W423" t="s">
        <v>1077</v>
      </c>
      <c r="X423" t="s">
        <v>33</v>
      </c>
      <c r="Y423">
        <v>13</v>
      </c>
    </row>
    <row r="424" spans="1:25">
      <c r="A424" t="s">
        <v>899</v>
      </c>
      <c r="B424" t="s">
        <v>900</v>
      </c>
      <c r="C424">
        <v>31</v>
      </c>
      <c r="D424" t="s">
        <v>1077</v>
      </c>
      <c r="E424" t="s">
        <v>73</v>
      </c>
      <c r="F424" t="s">
        <v>66</v>
      </c>
      <c r="G424" t="s">
        <v>82</v>
      </c>
      <c r="H424" t="s">
        <v>1060</v>
      </c>
      <c r="I424">
        <v>84000</v>
      </c>
      <c r="J424">
        <v>12</v>
      </c>
      <c r="K424">
        <v>1008000</v>
      </c>
      <c r="L424">
        <v>9</v>
      </c>
      <c r="M424">
        <v>4</v>
      </c>
      <c r="N424">
        <v>25200</v>
      </c>
      <c r="O424">
        <v>80</v>
      </c>
      <c r="P424">
        <v>15</v>
      </c>
      <c r="Q424">
        <v>2</v>
      </c>
      <c r="R424" t="s">
        <v>37</v>
      </c>
      <c r="S424" t="s">
        <v>38</v>
      </c>
      <c r="T424">
        <v>10</v>
      </c>
      <c r="U424">
        <v>3500</v>
      </c>
      <c r="V424" t="s">
        <v>22</v>
      </c>
      <c r="W424" t="s">
        <v>1077</v>
      </c>
      <c r="X424" t="s">
        <v>33</v>
      </c>
      <c r="Y424">
        <v>20</v>
      </c>
    </row>
    <row r="425" spans="1:25">
      <c r="A425" t="s">
        <v>901</v>
      </c>
      <c r="B425" t="s">
        <v>902</v>
      </c>
      <c r="C425">
        <v>25</v>
      </c>
      <c r="D425" t="s">
        <v>46</v>
      </c>
      <c r="E425" t="s">
        <v>17</v>
      </c>
      <c r="F425" t="s">
        <v>42</v>
      </c>
      <c r="G425" t="s">
        <v>43</v>
      </c>
      <c r="H425" t="s">
        <v>1060</v>
      </c>
      <c r="I425">
        <v>27500</v>
      </c>
      <c r="J425">
        <v>12</v>
      </c>
      <c r="K425">
        <v>330000</v>
      </c>
      <c r="L425">
        <v>2</v>
      </c>
      <c r="M425">
        <v>2</v>
      </c>
      <c r="N425" t="s">
        <v>1077</v>
      </c>
      <c r="O425">
        <v>90</v>
      </c>
      <c r="P425">
        <v>15</v>
      </c>
      <c r="Q425">
        <v>2</v>
      </c>
      <c r="R425" t="s">
        <v>37</v>
      </c>
      <c r="S425" t="s">
        <v>38</v>
      </c>
      <c r="T425">
        <v>20</v>
      </c>
      <c r="U425">
        <v>5000</v>
      </c>
      <c r="V425" t="s">
        <v>39</v>
      </c>
      <c r="W425" t="s">
        <v>1077</v>
      </c>
      <c r="X425" t="s">
        <v>20</v>
      </c>
      <c r="Y425">
        <v>14</v>
      </c>
    </row>
    <row r="426" spans="1:25">
      <c r="A426" t="s">
        <v>903</v>
      </c>
      <c r="B426" t="s">
        <v>904</v>
      </c>
      <c r="C426">
        <v>24</v>
      </c>
      <c r="D426" t="s">
        <v>25</v>
      </c>
      <c r="E426" t="s">
        <v>50</v>
      </c>
      <c r="F426" t="s">
        <v>31</v>
      </c>
      <c r="G426" t="s">
        <v>43</v>
      </c>
      <c r="H426" t="s">
        <v>1060</v>
      </c>
      <c r="I426">
        <v>24000</v>
      </c>
      <c r="J426">
        <v>12</v>
      </c>
      <c r="K426">
        <v>288000</v>
      </c>
      <c r="L426">
        <v>1</v>
      </c>
      <c r="M426">
        <v>1</v>
      </c>
      <c r="N426" t="s">
        <v>1077</v>
      </c>
      <c r="O426">
        <v>90</v>
      </c>
      <c r="P426">
        <v>5</v>
      </c>
      <c r="Q426">
        <v>3</v>
      </c>
      <c r="R426" t="s">
        <v>37</v>
      </c>
      <c r="S426" t="s">
        <v>19</v>
      </c>
      <c r="T426">
        <v>20</v>
      </c>
      <c r="U426">
        <v>5000</v>
      </c>
      <c r="V426" t="s">
        <v>39</v>
      </c>
      <c r="W426" t="s">
        <v>1077</v>
      </c>
      <c r="X426" t="s">
        <v>33</v>
      </c>
      <c r="Y426">
        <v>13</v>
      </c>
    </row>
    <row r="427" spans="1:25">
      <c r="A427" t="s">
        <v>905</v>
      </c>
      <c r="B427" t="s">
        <v>906</v>
      </c>
      <c r="C427">
        <v>27</v>
      </c>
      <c r="D427" t="s">
        <v>25</v>
      </c>
      <c r="E427" t="s">
        <v>47</v>
      </c>
      <c r="F427" t="s">
        <v>66</v>
      </c>
      <c r="G427" t="s">
        <v>1048</v>
      </c>
      <c r="H427" t="s">
        <v>1060</v>
      </c>
      <c r="I427">
        <v>56000</v>
      </c>
      <c r="J427">
        <v>12</v>
      </c>
      <c r="K427">
        <v>672000</v>
      </c>
      <c r="L427">
        <v>3</v>
      </c>
      <c r="M427">
        <v>3</v>
      </c>
      <c r="N427">
        <v>16800</v>
      </c>
      <c r="O427">
        <v>90</v>
      </c>
      <c r="P427">
        <v>15</v>
      </c>
      <c r="Q427">
        <v>5</v>
      </c>
      <c r="R427" t="s">
        <v>37</v>
      </c>
      <c r="S427" t="s">
        <v>28</v>
      </c>
      <c r="T427">
        <v>10</v>
      </c>
      <c r="U427">
        <v>3000</v>
      </c>
      <c r="V427" t="s">
        <v>22</v>
      </c>
      <c r="W427" t="s">
        <v>1077</v>
      </c>
      <c r="X427" t="s">
        <v>33</v>
      </c>
      <c r="Y427">
        <v>20</v>
      </c>
    </row>
    <row r="428" spans="1:25">
      <c r="A428" t="s">
        <v>907</v>
      </c>
      <c r="B428" t="s">
        <v>908</v>
      </c>
      <c r="C428">
        <v>23</v>
      </c>
      <c r="D428" t="s">
        <v>1077</v>
      </c>
      <c r="E428" t="s">
        <v>50</v>
      </c>
      <c r="F428" t="s">
        <v>27</v>
      </c>
      <c r="G428" t="s">
        <v>43</v>
      </c>
      <c r="H428" t="s">
        <v>1060</v>
      </c>
      <c r="I428">
        <v>27500</v>
      </c>
      <c r="J428">
        <v>12</v>
      </c>
      <c r="K428">
        <v>330000</v>
      </c>
      <c r="L428">
        <v>2</v>
      </c>
      <c r="M428">
        <v>1</v>
      </c>
      <c r="N428" t="s">
        <v>1077</v>
      </c>
      <c r="O428">
        <v>80</v>
      </c>
      <c r="P428">
        <v>5</v>
      </c>
      <c r="Q428">
        <v>5</v>
      </c>
      <c r="R428" t="s">
        <v>21</v>
      </c>
      <c r="S428" t="s">
        <v>38</v>
      </c>
      <c r="U428">
        <v>0</v>
      </c>
      <c r="V428" t="s">
        <v>39</v>
      </c>
      <c r="W428" t="s">
        <v>1077</v>
      </c>
      <c r="X428" t="s">
        <v>20</v>
      </c>
      <c r="Y428">
        <v>12</v>
      </c>
    </row>
    <row r="429" spans="1:25">
      <c r="A429" t="s">
        <v>909</v>
      </c>
      <c r="B429" t="s">
        <v>910</v>
      </c>
      <c r="C429">
        <v>24</v>
      </c>
      <c r="D429" t="s">
        <v>25</v>
      </c>
      <c r="E429" t="s">
        <v>50</v>
      </c>
      <c r="F429" t="s">
        <v>66</v>
      </c>
      <c r="G429" t="s">
        <v>43</v>
      </c>
      <c r="H429" t="s">
        <v>1060</v>
      </c>
      <c r="I429">
        <v>24000</v>
      </c>
      <c r="J429">
        <v>12</v>
      </c>
      <c r="K429">
        <v>288000</v>
      </c>
      <c r="L429">
        <v>1</v>
      </c>
      <c r="M429">
        <v>3</v>
      </c>
      <c r="N429">
        <v>7200</v>
      </c>
      <c r="O429">
        <v>85</v>
      </c>
      <c r="P429">
        <v>5</v>
      </c>
      <c r="Q429">
        <v>2</v>
      </c>
      <c r="S429" t="s">
        <v>19</v>
      </c>
      <c r="U429">
        <v>0</v>
      </c>
      <c r="V429" t="s">
        <v>22</v>
      </c>
      <c r="W429" t="s">
        <v>1077</v>
      </c>
      <c r="X429" t="s">
        <v>33</v>
      </c>
      <c r="Y429">
        <v>20</v>
      </c>
    </row>
    <row r="430" spans="1:25">
      <c r="A430" t="s">
        <v>911</v>
      </c>
      <c r="B430" t="s">
        <v>912</v>
      </c>
      <c r="C430">
        <v>32</v>
      </c>
      <c r="D430" t="s">
        <v>1077</v>
      </c>
      <c r="E430" t="s">
        <v>26</v>
      </c>
      <c r="F430" t="s">
        <v>42</v>
      </c>
      <c r="G430" t="s">
        <v>82</v>
      </c>
      <c r="H430" t="s">
        <v>1060</v>
      </c>
      <c r="I430">
        <v>84000</v>
      </c>
      <c r="J430">
        <v>12</v>
      </c>
      <c r="K430">
        <v>1008000</v>
      </c>
      <c r="L430">
        <v>7</v>
      </c>
      <c r="M430">
        <v>5</v>
      </c>
      <c r="N430">
        <v>25200</v>
      </c>
      <c r="O430">
        <v>88</v>
      </c>
      <c r="P430">
        <v>13</v>
      </c>
      <c r="Q430">
        <v>5</v>
      </c>
      <c r="R430" t="s">
        <v>21</v>
      </c>
      <c r="S430" t="s">
        <v>38</v>
      </c>
      <c r="U430">
        <v>0</v>
      </c>
      <c r="V430" t="s">
        <v>58</v>
      </c>
      <c r="W430" t="s">
        <v>1077</v>
      </c>
      <c r="X430" t="s">
        <v>20</v>
      </c>
      <c r="Y430">
        <v>14</v>
      </c>
    </row>
    <row r="431" spans="1:25">
      <c r="A431" t="s">
        <v>913</v>
      </c>
      <c r="B431" t="s">
        <v>914</v>
      </c>
      <c r="C431">
        <v>29</v>
      </c>
      <c r="D431" t="s">
        <v>46</v>
      </c>
      <c r="E431" t="s">
        <v>35</v>
      </c>
      <c r="F431" t="s">
        <v>31</v>
      </c>
      <c r="G431" t="s">
        <v>1045</v>
      </c>
      <c r="H431" t="s">
        <v>1060</v>
      </c>
      <c r="I431">
        <v>78000</v>
      </c>
      <c r="J431">
        <v>12</v>
      </c>
      <c r="K431">
        <v>936000</v>
      </c>
      <c r="L431">
        <v>7</v>
      </c>
      <c r="M431">
        <v>4</v>
      </c>
      <c r="N431">
        <v>23400</v>
      </c>
      <c r="O431">
        <v>85</v>
      </c>
      <c r="P431">
        <v>13</v>
      </c>
      <c r="Q431">
        <v>5</v>
      </c>
      <c r="R431" t="s">
        <v>37</v>
      </c>
      <c r="S431" t="s">
        <v>38</v>
      </c>
      <c r="T431">
        <v>5</v>
      </c>
      <c r="U431">
        <v>1500</v>
      </c>
      <c r="V431" t="s">
        <v>58</v>
      </c>
      <c r="W431" t="s">
        <v>1077</v>
      </c>
      <c r="X431" t="s">
        <v>33</v>
      </c>
      <c r="Y431">
        <v>13</v>
      </c>
    </row>
    <row r="432" spans="1:25">
      <c r="A432" t="s">
        <v>915</v>
      </c>
      <c r="B432" t="s">
        <v>916</v>
      </c>
      <c r="C432">
        <v>23</v>
      </c>
      <c r="D432" t="s">
        <v>46</v>
      </c>
      <c r="E432" t="s">
        <v>35</v>
      </c>
      <c r="F432" t="s">
        <v>36</v>
      </c>
      <c r="G432" t="s">
        <v>43</v>
      </c>
      <c r="H432" t="s">
        <v>1060</v>
      </c>
      <c r="I432">
        <v>27500</v>
      </c>
      <c r="J432">
        <v>12</v>
      </c>
      <c r="K432">
        <v>330000</v>
      </c>
      <c r="L432">
        <v>2</v>
      </c>
      <c r="M432">
        <v>3</v>
      </c>
      <c r="N432">
        <v>8250</v>
      </c>
      <c r="O432">
        <v>80</v>
      </c>
      <c r="P432">
        <v>13</v>
      </c>
      <c r="Q432">
        <v>5</v>
      </c>
      <c r="R432" t="s">
        <v>21</v>
      </c>
      <c r="S432" t="s">
        <v>38</v>
      </c>
      <c r="U432">
        <v>0</v>
      </c>
      <c r="V432" t="s">
        <v>22</v>
      </c>
      <c r="W432" t="s">
        <v>1077</v>
      </c>
      <c r="X432" t="s">
        <v>20</v>
      </c>
      <c r="Y432">
        <v>25</v>
      </c>
    </row>
    <row r="433" spans="1:25">
      <c r="A433" t="s">
        <v>917</v>
      </c>
      <c r="B433" t="s">
        <v>918</v>
      </c>
      <c r="C433">
        <v>24</v>
      </c>
      <c r="D433" t="s">
        <v>46</v>
      </c>
      <c r="E433" t="s">
        <v>65</v>
      </c>
      <c r="F433" t="s">
        <v>66</v>
      </c>
      <c r="G433" t="s">
        <v>43</v>
      </c>
      <c r="H433" t="s">
        <v>1060</v>
      </c>
      <c r="I433">
        <v>24000</v>
      </c>
      <c r="J433">
        <v>12</v>
      </c>
      <c r="K433">
        <v>288000</v>
      </c>
      <c r="L433">
        <v>1</v>
      </c>
      <c r="M433">
        <v>1</v>
      </c>
      <c r="N433" t="s">
        <v>1077</v>
      </c>
      <c r="O433">
        <v>80</v>
      </c>
      <c r="P433">
        <v>5</v>
      </c>
      <c r="Q433">
        <v>2</v>
      </c>
      <c r="S433" t="s">
        <v>38</v>
      </c>
      <c r="T433">
        <v>10</v>
      </c>
      <c r="U433">
        <v>2500</v>
      </c>
      <c r="V433" t="s">
        <v>39</v>
      </c>
      <c r="W433" t="s">
        <v>1077</v>
      </c>
      <c r="X433" t="s">
        <v>33</v>
      </c>
      <c r="Y433">
        <v>20</v>
      </c>
    </row>
    <row r="434" spans="1:25">
      <c r="A434" t="s">
        <v>919</v>
      </c>
      <c r="B434" t="s">
        <v>920</v>
      </c>
      <c r="C434">
        <v>23</v>
      </c>
      <c r="D434" t="s">
        <v>46</v>
      </c>
      <c r="E434" t="s">
        <v>64</v>
      </c>
      <c r="F434" t="s">
        <v>66</v>
      </c>
      <c r="G434" t="s">
        <v>43</v>
      </c>
      <c r="H434" t="s">
        <v>1060</v>
      </c>
      <c r="I434">
        <v>23500</v>
      </c>
      <c r="J434">
        <v>12</v>
      </c>
      <c r="K434">
        <v>282000</v>
      </c>
      <c r="L434">
        <v>1</v>
      </c>
      <c r="M434">
        <v>2</v>
      </c>
      <c r="N434" t="s">
        <v>1077</v>
      </c>
      <c r="O434">
        <v>95</v>
      </c>
      <c r="P434">
        <v>10</v>
      </c>
      <c r="Q434">
        <v>5</v>
      </c>
      <c r="R434" t="s">
        <v>21</v>
      </c>
      <c r="S434" t="s">
        <v>38</v>
      </c>
      <c r="U434">
        <v>0</v>
      </c>
      <c r="V434" t="s">
        <v>39</v>
      </c>
      <c r="W434" t="s">
        <v>1077</v>
      </c>
      <c r="X434" t="s">
        <v>33</v>
      </c>
      <c r="Y434">
        <v>20</v>
      </c>
    </row>
    <row r="435" spans="1:25">
      <c r="A435" t="s">
        <v>921</v>
      </c>
      <c r="B435" t="s">
        <v>922</v>
      </c>
      <c r="C435">
        <v>24</v>
      </c>
      <c r="D435" t="s">
        <v>46</v>
      </c>
      <c r="E435" t="s">
        <v>57</v>
      </c>
      <c r="F435" t="s">
        <v>42</v>
      </c>
      <c r="G435" t="s">
        <v>43</v>
      </c>
      <c r="H435" t="s">
        <v>1060</v>
      </c>
      <c r="I435">
        <v>24000</v>
      </c>
      <c r="J435">
        <v>12</v>
      </c>
      <c r="K435">
        <v>288000</v>
      </c>
      <c r="L435">
        <v>1</v>
      </c>
      <c r="M435">
        <v>1</v>
      </c>
      <c r="N435" t="s">
        <v>1077</v>
      </c>
      <c r="O435">
        <v>80</v>
      </c>
      <c r="P435">
        <v>15</v>
      </c>
      <c r="Q435">
        <v>5</v>
      </c>
      <c r="S435" t="s">
        <v>38</v>
      </c>
      <c r="T435">
        <v>20</v>
      </c>
      <c r="U435">
        <v>5000</v>
      </c>
      <c r="V435" t="s">
        <v>39</v>
      </c>
      <c r="W435" t="s">
        <v>1077</v>
      </c>
      <c r="X435" t="s">
        <v>20</v>
      </c>
      <c r="Y435">
        <v>14</v>
      </c>
    </row>
    <row r="436" spans="1:25">
      <c r="A436" t="s">
        <v>923</v>
      </c>
      <c r="B436" t="s">
        <v>924</v>
      </c>
      <c r="C436">
        <v>25</v>
      </c>
      <c r="D436" t="s">
        <v>46</v>
      </c>
      <c r="E436" t="s">
        <v>65</v>
      </c>
      <c r="F436" t="s">
        <v>36</v>
      </c>
      <c r="G436" t="s">
        <v>43</v>
      </c>
      <c r="H436" t="s">
        <v>1060</v>
      </c>
      <c r="I436">
        <v>27500</v>
      </c>
      <c r="J436">
        <v>12</v>
      </c>
      <c r="K436">
        <v>330000</v>
      </c>
      <c r="L436">
        <v>2</v>
      </c>
      <c r="M436">
        <v>2</v>
      </c>
      <c r="N436" t="s">
        <v>1077</v>
      </c>
      <c r="O436">
        <v>95</v>
      </c>
      <c r="P436">
        <v>23</v>
      </c>
      <c r="Q436">
        <v>4</v>
      </c>
      <c r="S436" t="s">
        <v>38</v>
      </c>
      <c r="U436">
        <v>0</v>
      </c>
      <c r="V436" t="s">
        <v>39</v>
      </c>
      <c r="W436" t="s">
        <v>1077</v>
      </c>
      <c r="X436" t="s">
        <v>20</v>
      </c>
      <c r="Y436">
        <v>25</v>
      </c>
    </row>
    <row r="437" spans="1:25">
      <c r="A437" t="s">
        <v>925</v>
      </c>
      <c r="B437" t="s">
        <v>926</v>
      </c>
      <c r="C437">
        <v>24</v>
      </c>
      <c r="D437" t="s">
        <v>46</v>
      </c>
      <c r="E437" t="s">
        <v>47</v>
      </c>
      <c r="F437" t="s">
        <v>36</v>
      </c>
      <c r="G437" t="s">
        <v>43</v>
      </c>
      <c r="H437" t="s">
        <v>1059</v>
      </c>
      <c r="I437">
        <v>24000</v>
      </c>
      <c r="J437">
        <v>12</v>
      </c>
      <c r="K437">
        <v>288000</v>
      </c>
      <c r="L437">
        <v>1</v>
      </c>
      <c r="M437">
        <v>1</v>
      </c>
      <c r="N437" t="s">
        <v>1077</v>
      </c>
      <c r="O437">
        <v>90</v>
      </c>
      <c r="P437">
        <v>23</v>
      </c>
      <c r="Q437">
        <v>12</v>
      </c>
      <c r="R437" t="s">
        <v>21</v>
      </c>
      <c r="S437" t="s">
        <v>28</v>
      </c>
      <c r="T437">
        <v>20</v>
      </c>
      <c r="U437">
        <v>5000</v>
      </c>
      <c r="V437" t="s">
        <v>39</v>
      </c>
      <c r="W437" t="s">
        <v>1077</v>
      </c>
      <c r="X437" t="s">
        <v>20</v>
      </c>
      <c r="Y437">
        <v>25</v>
      </c>
    </row>
    <row r="438" spans="1:25">
      <c r="A438" t="s">
        <v>927</v>
      </c>
      <c r="B438" t="s">
        <v>928</v>
      </c>
      <c r="C438">
        <v>30</v>
      </c>
      <c r="D438" t="s">
        <v>46</v>
      </c>
      <c r="E438" t="s">
        <v>64</v>
      </c>
      <c r="F438" t="s">
        <v>42</v>
      </c>
      <c r="G438" t="s">
        <v>1045</v>
      </c>
      <c r="H438" t="s">
        <v>1060</v>
      </c>
      <c r="I438">
        <v>78000</v>
      </c>
      <c r="J438">
        <v>12</v>
      </c>
      <c r="K438">
        <v>936000</v>
      </c>
      <c r="L438">
        <v>5</v>
      </c>
      <c r="M438">
        <v>4</v>
      </c>
      <c r="N438">
        <v>23400</v>
      </c>
      <c r="O438">
        <v>90</v>
      </c>
      <c r="P438">
        <v>5</v>
      </c>
      <c r="Q438">
        <v>6</v>
      </c>
      <c r="R438" t="s">
        <v>37</v>
      </c>
      <c r="S438" t="s">
        <v>28</v>
      </c>
      <c r="U438">
        <v>0</v>
      </c>
      <c r="V438" t="s">
        <v>58</v>
      </c>
      <c r="W438" t="s">
        <v>1077</v>
      </c>
      <c r="X438" t="s">
        <v>20</v>
      </c>
      <c r="Y438">
        <v>14</v>
      </c>
    </row>
    <row r="439" spans="1:25">
      <c r="A439" t="s">
        <v>929</v>
      </c>
      <c r="B439" t="s">
        <v>930</v>
      </c>
      <c r="C439">
        <v>23</v>
      </c>
      <c r="D439" t="s">
        <v>1077</v>
      </c>
      <c r="E439" t="s">
        <v>47</v>
      </c>
      <c r="F439" t="s">
        <v>31</v>
      </c>
      <c r="G439" t="s">
        <v>43</v>
      </c>
      <c r="H439" t="s">
        <v>1059</v>
      </c>
      <c r="I439">
        <v>26000</v>
      </c>
      <c r="J439">
        <v>12</v>
      </c>
      <c r="K439">
        <v>312000</v>
      </c>
      <c r="L439">
        <v>2</v>
      </c>
      <c r="M439">
        <v>4</v>
      </c>
      <c r="N439">
        <v>7800</v>
      </c>
      <c r="O439">
        <v>95</v>
      </c>
      <c r="P439">
        <v>15</v>
      </c>
      <c r="Q439">
        <v>5</v>
      </c>
      <c r="R439" t="s">
        <v>21</v>
      </c>
      <c r="S439" t="s">
        <v>28</v>
      </c>
      <c r="T439">
        <v>5</v>
      </c>
      <c r="U439">
        <v>1250</v>
      </c>
      <c r="V439" t="s">
        <v>58</v>
      </c>
      <c r="W439" t="s">
        <v>1077</v>
      </c>
      <c r="X439" t="s">
        <v>33</v>
      </c>
      <c r="Y439">
        <v>13</v>
      </c>
    </row>
    <row r="440" spans="1:25">
      <c r="A440" t="s">
        <v>931</v>
      </c>
      <c r="B440" t="s">
        <v>932</v>
      </c>
      <c r="C440">
        <v>24</v>
      </c>
      <c r="D440" t="s">
        <v>46</v>
      </c>
      <c r="E440" t="s">
        <v>61</v>
      </c>
      <c r="F440" t="s">
        <v>36</v>
      </c>
      <c r="G440" t="s">
        <v>43</v>
      </c>
      <c r="H440" t="s">
        <v>1060</v>
      </c>
      <c r="I440">
        <v>24000</v>
      </c>
      <c r="J440">
        <v>12</v>
      </c>
      <c r="K440">
        <v>288000</v>
      </c>
      <c r="L440">
        <v>1</v>
      </c>
      <c r="M440">
        <v>2</v>
      </c>
      <c r="N440" t="s">
        <v>1077</v>
      </c>
      <c r="O440">
        <v>85</v>
      </c>
      <c r="P440">
        <v>15</v>
      </c>
      <c r="Q440">
        <v>2</v>
      </c>
      <c r="R440" t="s">
        <v>37</v>
      </c>
      <c r="S440" t="s">
        <v>38</v>
      </c>
      <c r="T440">
        <v>10</v>
      </c>
      <c r="U440">
        <v>2500</v>
      </c>
      <c r="V440" t="s">
        <v>39</v>
      </c>
      <c r="W440" t="s">
        <v>1077</v>
      </c>
      <c r="X440" t="s">
        <v>20</v>
      </c>
      <c r="Y440">
        <v>25</v>
      </c>
    </row>
    <row r="441" spans="1:25">
      <c r="A441" t="s">
        <v>933</v>
      </c>
      <c r="B441" t="s">
        <v>934</v>
      </c>
      <c r="C441">
        <v>25</v>
      </c>
      <c r="D441" t="s">
        <v>25</v>
      </c>
      <c r="E441" t="s">
        <v>17</v>
      </c>
      <c r="F441" t="s">
        <v>31</v>
      </c>
      <c r="G441" t="s">
        <v>43</v>
      </c>
      <c r="H441" t="s">
        <v>1059</v>
      </c>
      <c r="I441">
        <v>24000</v>
      </c>
      <c r="J441">
        <v>12</v>
      </c>
      <c r="K441">
        <v>288000</v>
      </c>
      <c r="L441">
        <v>1</v>
      </c>
      <c r="M441">
        <v>1</v>
      </c>
      <c r="N441" t="s">
        <v>1077</v>
      </c>
      <c r="O441">
        <v>88</v>
      </c>
      <c r="P441">
        <v>5</v>
      </c>
      <c r="Q441">
        <v>5</v>
      </c>
      <c r="R441" t="s">
        <v>37</v>
      </c>
      <c r="S441" t="s">
        <v>28</v>
      </c>
      <c r="T441">
        <v>10</v>
      </c>
      <c r="U441">
        <v>2500</v>
      </c>
      <c r="V441" t="s">
        <v>39</v>
      </c>
      <c r="W441" t="s">
        <v>1077</v>
      </c>
      <c r="X441" t="s">
        <v>33</v>
      </c>
      <c r="Y441">
        <v>13</v>
      </c>
    </row>
    <row r="442" spans="1:25">
      <c r="A442" t="s">
        <v>935</v>
      </c>
      <c r="B442" t="s">
        <v>936</v>
      </c>
      <c r="C442">
        <v>25</v>
      </c>
      <c r="D442" t="s">
        <v>1077</v>
      </c>
      <c r="E442" t="s">
        <v>35</v>
      </c>
      <c r="F442" t="s">
        <v>66</v>
      </c>
      <c r="G442" t="s">
        <v>43</v>
      </c>
      <c r="H442" t="s">
        <v>1059</v>
      </c>
      <c r="I442">
        <v>27000</v>
      </c>
      <c r="J442">
        <v>12</v>
      </c>
      <c r="K442">
        <v>324000</v>
      </c>
      <c r="L442">
        <v>2</v>
      </c>
      <c r="M442">
        <v>3</v>
      </c>
      <c r="N442">
        <v>8100</v>
      </c>
      <c r="O442">
        <v>88</v>
      </c>
      <c r="P442">
        <v>10</v>
      </c>
      <c r="Q442">
        <v>1</v>
      </c>
      <c r="R442" t="s">
        <v>37</v>
      </c>
      <c r="S442" t="s">
        <v>28</v>
      </c>
      <c r="T442">
        <v>10</v>
      </c>
      <c r="U442">
        <v>2500</v>
      </c>
      <c r="V442" t="s">
        <v>22</v>
      </c>
      <c r="W442" t="s">
        <v>1077</v>
      </c>
      <c r="X442" t="s">
        <v>33</v>
      </c>
      <c r="Y442">
        <v>20</v>
      </c>
    </row>
    <row r="443" spans="1:25">
      <c r="A443" t="s">
        <v>937</v>
      </c>
      <c r="B443" t="s">
        <v>938</v>
      </c>
      <c r="C443">
        <v>35</v>
      </c>
      <c r="D443" t="s">
        <v>25</v>
      </c>
      <c r="E443" t="s">
        <v>26</v>
      </c>
      <c r="F443" t="s">
        <v>66</v>
      </c>
      <c r="G443" t="s">
        <v>82</v>
      </c>
      <c r="H443" t="s">
        <v>1060</v>
      </c>
      <c r="I443">
        <v>89000</v>
      </c>
      <c r="J443">
        <v>12</v>
      </c>
      <c r="K443">
        <v>1068000</v>
      </c>
      <c r="L443">
        <v>9</v>
      </c>
      <c r="M443">
        <v>1</v>
      </c>
      <c r="N443" t="s">
        <v>1077</v>
      </c>
      <c r="O443">
        <v>80</v>
      </c>
      <c r="P443">
        <v>10</v>
      </c>
      <c r="Q443">
        <v>4</v>
      </c>
      <c r="R443" t="s">
        <v>21</v>
      </c>
      <c r="S443" t="s">
        <v>38</v>
      </c>
      <c r="T443">
        <v>5</v>
      </c>
      <c r="U443">
        <v>1750</v>
      </c>
      <c r="V443" t="s">
        <v>39</v>
      </c>
      <c r="W443" t="s">
        <v>1077</v>
      </c>
      <c r="X443" t="s">
        <v>33</v>
      </c>
      <c r="Y443">
        <v>20</v>
      </c>
    </row>
    <row r="444" spans="1:25">
      <c r="A444" t="s">
        <v>939</v>
      </c>
      <c r="B444" t="s">
        <v>940</v>
      </c>
      <c r="C444">
        <v>25</v>
      </c>
      <c r="D444" t="s">
        <v>46</v>
      </c>
      <c r="E444" t="s">
        <v>73</v>
      </c>
      <c r="F444" t="s">
        <v>27</v>
      </c>
      <c r="G444" t="s">
        <v>43</v>
      </c>
      <c r="H444" t="s">
        <v>1060</v>
      </c>
      <c r="I444">
        <v>24333</v>
      </c>
      <c r="J444">
        <v>12</v>
      </c>
      <c r="K444">
        <v>291996</v>
      </c>
      <c r="L444">
        <v>1</v>
      </c>
      <c r="M444">
        <v>2</v>
      </c>
      <c r="N444" t="s">
        <v>1077</v>
      </c>
      <c r="O444">
        <v>80</v>
      </c>
      <c r="P444">
        <v>15</v>
      </c>
      <c r="Q444">
        <v>5</v>
      </c>
      <c r="S444" t="s">
        <v>38</v>
      </c>
      <c r="T444">
        <v>20</v>
      </c>
      <c r="U444">
        <v>5000</v>
      </c>
      <c r="V444" t="s">
        <v>39</v>
      </c>
      <c r="W444" t="s">
        <v>1077</v>
      </c>
      <c r="X444" t="s">
        <v>20</v>
      </c>
      <c r="Y444">
        <v>12</v>
      </c>
    </row>
    <row r="445" spans="1:25">
      <c r="A445" t="s">
        <v>941</v>
      </c>
      <c r="B445" t="s">
        <v>942</v>
      </c>
      <c r="C445">
        <v>23</v>
      </c>
      <c r="D445" t="s">
        <v>25</v>
      </c>
      <c r="E445" t="s">
        <v>47</v>
      </c>
      <c r="F445" t="s">
        <v>42</v>
      </c>
      <c r="G445" t="s">
        <v>43</v>
      </c>
      <c r="H445" t="s">
        <v>1060</v>
      </c>
      <c r="I445">
        <v>27000</v>
      </c>
      <c r="J445">
        <v>12</v>
      </c>
      <c r="K445">
        <v>324000</v>
      </c>
      <c r="L445">
        <v>2</v>
      </c>
      <c r="M445">
        <v>4</v>
      </c>
      <c r="N445">
        <v>8100</v>
      </c>
      <c r="O445">
        <v>85</v>
      </c>
      <c r="P445">
        <v>15</v>
      </c>
      <c r="Q445">
        <v>1</v>
      </c>
      <c r="R445" t="s">
        <v>21</v>
      </c>
      <c r="S445" t="s">
        <v>28</v>
      </c>
      <c r="T445">
        <v>20</v>
      </c>
      <c r="U445">
        <v>5000</v>
      </c>
      <c r="V445" t="s">
        <v>58</v>
      </c>
      <c r="W445" t="s">
        <v>1077</v>
      </c>
      <c r="X445" t="s">
        <v>20</v>
      </c>
      <c r="Y445">
        <v>14</v>
      </c>
    </row>
    <row r="446" spans="1:25">
      <c r="A446" t="s">
        <v>943</v>
      </c>
      <c r="B446" t="s">
        <v>944</v>
      </c>
      <c r="C446">
        <v>24</v>
      </c>
      <c r="D446" t="s">
        <v>1077</v>
      </c>
      <c r="E446" t="s">
        <v>26</v>
      </c>
      <c r="F446" t="s">
        <v>31</v>
      </c>
      <c r="G446" t="s">
        <v>1048</v>
      </c>
      <c r="H446" t="s">
        <v>1060</v>
      </c>
      <c r="I446">
        <v>56000</v>
      </c>
      <c r="J446">
        <v>12</v>
      </c>
      <c r="K446">
        <v>672000</v>
      </c>
      <c r="L446">
        <v>3</v>
      </c>
      <c r="M446">
        <v>3</v>
      </c>
      <c r="N446">
        <v>16800</v>
      </c>
      <c r="O446">
        <v>90</v>
      </c>
      <c r="P446">
        <v>15</v>
      </c>
      <c r="Q446">
        <v>3</v>
      </c>
      <c r="R446" t="s">
        <v>21</v>
      </c>
      <c r="S446" t="s">
        <v>38</v>
      </c>
      <c r="T446">
        <v>5</v>
      </c>
      <c r="U446">
        <v>1500</v>
      </c>
      <c r="V446" t="s">
        <v>22</v>
      </c>
      <c r="W446" t="s">
        <v>1077</v>
      </c>
      <c r="X446" t="s">
        <v>33</v>
      </c>
      <c r="Y446">
        <v>13</v>
      </c>
    </row>
    <row r="447" spans="1:25">
      <c r="A447" t="s">
        <v>945</v>
      </c>
      <c r="B447" t="s">
        <v>946</v>
      </c>
      <c r="C447">
        <v>28</v>
      </c>
      <c r="D447" t="s">
        <v>25</v>
      </c>
      <c r="E447" t="s">
        <v>35</v>
      </c>
      <c r="F447" t="s">
        <v>31</v>
      </c>
      <c r="G447" t="s">
        <v>1045</v>
      </c>
      <c r="H447" t="s">
        <v>1060</v>
      </c>
      <c r="I447">
        <v>81000</v>
      </c>
      <c r="J447">
        <v>12</v>
      </c>
      <c r="K447">
        <v>972000</v>
      </c>
      <c r="L447">
        <v>6</v>
      </c>
      <c r="M447">
        <v>3</v>
      </c>
      <c r="N447">
        <v>24300</v>
      </c>
      <c r="O447">
        <v>95</v>
      </c>
      <c r="P447">
        <v>15</v>
      </c>
      <c r="Q447">
        <v>1</v>
      </c>
      <c r="R447" t="s">
        <v>21</v>
      </c>
      <c r="S447" t="s">
        <v>38</v>
      </c>
      <c r="U447">
        <v>0</v>
      </c>
      <c r="V447" t="s">
        <v>22</v>
      </c>
      <c r="W447" t="s">
        <v>1077</v>
      </c>
      <c r="X447" t="s">
        <v>33</v>
      </c>
      <c r="Y447">
        <v>13</v>
      </c>
    </row>
    <row r="448" spans="1:25">
      <c r="A448" t="s">
        <v>947</v>
      </c>
      <c r="B448" t="s">
        <v>948</v>
      </c>
      <c r="C448">
        <v>24</v>
      </c>
      <c r="D448" t="s">
        <v>25</v>
      </c>
      <c r="E448" t="s">
        <v>64</v>
      </c>
      <c r="F448" t="s">
        <v>31</v>
      </c>
      <c r="G448" t="s">
        <v>43</v>
      </c>
      <c r="H448" t="s">
        <v>1060</v>
      </c>
      <c r="I448">
        <v>24000</v>
      </c>
      <c r="J448">
        <v>12</v>
      </c>
      <c r="K448">
        <v>288000</v>
      </c>
      <c r="L448">
        <v>1</v>
      </c>
      <c r="M448">
        <v>4</v>
      </c>
      <c r="N448">
        <v>7200</v>
      </c>
      <c r="O448">
        <v>88</v>
      </c>
      <c r="P448">
        <v>15</v>
      </c>
      <c r="Q448">
        <v>5</v>
      </c>
      <c r="R448" t="s">
        <v>37</v>
      </c>
      <c r="S448" t="s">
        <v>19</v>
      </c>
      <c r="U448">
        <v>0</v>
      </c>
      <c r="V448" t="s">
        <v>22</v>
      </c>
      <c r="W448" t="s">
        <v>1077</v>
      </c>
      <c r="X448" t="s">
        <v>33</v>
      </c>
      <c r="Y448">
        <v>13</v>
      </c>
    </row>
    <row r="449" spans="1:25">
      <c r="A449" t="s">
        <v>949</v>
      </c>
      <c r="B449" t="s">
        <v>950</v>
      </c>
      <c r="C449">
        <v>24</v>
      </c>
      <c r="D449" t="s">
        <v>46</v>
      </c>
      <c r="E449" t="s">
        <v>26</v>
      </c>
      <c r="F449" t="s">
        <v>36</v>
      </c>
      <c r="G449" t="s">
        <v>43</v>
      </c>
      <c r="H449" t="s">
        <v>1060</v>
      </c>
      <c r="I449">
        <v>27000</v>
      </c>
      <c r="J449">
        <v>12</v>
      </c>
      <c r="K449">
        <v>324000</v>
      </c>
      <c r="L449">
        <v>2</v>
      </c>
      <c r="M449">
        <v>2</v>
      </c>
      <c r="N449" t="s">
        <v>1077</v>
      </c>
      <c r="O449">
        <v>90</v>
      </c>
      <c r="P449">
        <v>15</v>
      </c>
      <c r="Q449">
        <v>5</v>
      </c>
      <c r="S449" t="s">
        <v>38</v>
      </c>
      <c r="T449">
        <v>5</v>
      </c>
      <c r="U449">
        <v>1250</v>
      </c>
      <c r="V449" t="s">
        <v>39</v>
      </c>
      <c r="W449" t="s">
        <v>1077</v>
      </c>
      <c r="X449" t="s">
        <v>20</v>
      </c>
      <c r="Y449">
        <v>25</v>
      </c>
    </row>
    <row r="450" spans="1:25">
      <c r="A450" t="s">
        <v>951</v>
      </c>
      <c r="B450" t="s">
        <v>952</v>
      </c>
      <c r="C450">
        <v>33</v>
      </c>
      <c r="D450" t="s">
        <v>46</v>
      </c>
      <c r="E450" t="s">
        <v>47</v>
      </c>
      <c r="F450" t="s">
        <v>31</v>
      </c>
      <c r="G450" t="s">
        <v>82</v>
      </c>
      <c r="H450" t="s">
        <v>1060</v>
      </c>
      <c r="I450">
        <v>80000</v>
      </c>
      <c r="J450">
        <v>12</v>
      </c>
      <c r="K450">
        <v>960000</v>
      </c>
      <c r="L450">
        <v>6</v>
      </c>
      <c r="M450">
        <v>5</v>
      </c>
      <c r="N450">
        <v>24000</v>
      </c>
      <c r="O450">
        <v>80</v>
      </c>
      <c r="P450">
        <v>15</v>
      </c>
      <c r="Q450">
        <v>8</v>
      </c>
      <c r="R450" t="s">
        <v>37</v>
      </c>
      <c r="S450" t="s">
        <v>38</v>
      </c>
      <c r="U450">
        <v>0</v>
      </c>
      <c r="V450" t="s">
        <v>58</v>
      </c>
      <c r="W450" t="s">
        <v>1077</v>
      </c>
      <c r="X450" t="s">
        <v>33</v>
      </c>
      <c r="Y450">
        <v>13</v>
      </c>
    </row>
    <row r="451" spans="1:25">
      <c r="A451" t="s">
        <v>953</v>
      </c>
      <c r="B451" t="s">
        <v>954</v>
      </c>
      <c r="C451">
        <v>25</v>
      </c>
      <c r="D451" t="s">
        <v>25</v>
      </c>
      <c r="E451" t="s">
        <v>47</v>
      </c>
      <c r="F451" t="s">
        <v>42</v>
      </c>
      <c r="G451" t="s">
        <v>43</v>
      </c>
      <c r="H451" t="s">
        <v>1060</v>
      </c>
      <c r="I451">
        <v>27000</v>
      </c>
      <c r="J451">
        <v>12</v>
      </c>
      <c r="K451">
        <v>324000</v>
      </c>
      <c r="L451">
        <v>2</v>
      </c>
      <c r="M451">
        <v>1</v>
      </c>
      <c r="N451" t="s">
        <v>1077</v>
      </c>
      <c r="O451">
        <v>88</v>
      </c>
      <c r="P451">
        <v>15</v>
      </c>
      <c r="Q451">
        <v>10</v>
      </c>
      <c r="R451" t="s">
        <v>21</v>
      </c>
      <c r="S451" t="s">
        <v>38</v>
      </c>
      <c r="T451">
        <v>5</v>
      </c>
      <c r="U451">
        <v>1250</v>
      </c>
      <c r="V451" t="s">
        <v>39</v>
      </c>
      <c r="W451" t="s">
        <v>1077</v>
      </c>
      <c r="X451" t="s">
        <v>20</v>
      </c>
      <c r="Y451">
        <v>14</v>
      </c>
    </row>
    <row r="452" spans="1:25">
      <c r="A452" t="s">
        <v>955</v>
      </c>
      <c r="B452" t="s">
        <v>956</v>
      </c>
      <c r="C452">
        <v>36</v>
      </c>
      <c r="D452" t="s">
        <v>46</v>
      </c>
      <c r="E452" t="s">
        <v>73</v>
      </c>
      <c r="F452" t="s">
        <v>18</v>
      </c>
      <c r="G452" t="s">
        <v>82</v>
      </c>
      <c r="H452" t="s">
        <v>1060</v>
      </c>
      <c r="I452">
        <v>80000</v>
      </c>
      <c r="J452">
        <v>12</v>
      </c>
      <c r="K452">
        <v>960000</v>
      </c>
      <c r="L452">
        <v>8</v>
      </c>
      <c r="M452">
        <v>2</v>
      </c>
      <c r="N452" t="s">
        <v>1077</v>
      </c>
      <c r="O452">
        <v>90</v>
      </c>
      <c r="P452">
        <v>5</v>
      </c>
      <c r="Q452">
        <v>1</v>
      </c>
      <c r="R452" t="s">
        <v>21</v>
      </c>
      <c r="S452" t="s">
        <v>38</v>
      </c>
      <c r="U452">
        <v>0</v>
      </c>
      <c r="V452" t="s">
        <v>39</v>
      </c>
      <c r="W452" t="s">
        <v>1077</v>
      </c>
      <c r="X452" t="s">
        <v>20</v>
      </c>
      <c r="Y452">
        <v>10</v>
      </c>
    </row>
    <row r="453" spans="1:25">
      <c r="A453" t="s">
        <v>957</v>
      </c>
      <c r="B453" t="s">
        <v>958</v>
      </c>
      <c r="C453">
        <v>24</v>
      </c>
      <c r="D453" t="s">
        <v>25</v>
      </c>
      <c r="E453" t="s">
        <v>64</v>
      </c>
      <c r="F453" t="s">
        <v>31</v>
      </c>
      <c r="G453" t="s">
        <v>43</v>
      </c>
      <c r="H453" t="s">
        <v>1060</v>
      </c>
      <c r="I453">
        <v>24000</v>
      </c>
      <c r="J453">
        <v>12</v>
      </c>
      <c r="K453">
        <v>288000</v>
      </c>
      <c r="L453">
        <v>1</v>
      </c>
      <c r="M453">
        <v>1</v>
      </c>
      <c r="N453" t="s">
        <v>1077</v>
      </c>
      <c r="O453">
        <v>85</v>
      </c>
      <c r="P453">
        <v>10</v>
      </c>
      <c r="Q453">
        <v>5</v>
      </c>
      <c r="R453" t="s">
        <v>21</v>
      </c>
      <c r="S453" t="s">
        <v>38</v>
      </c>
      <c r="T453">
        <v>10</v>
      </c>
      <c r="U453">
        <v>2500</v>
      </c>
      <c r="V453" t="s">
        <v>39</v>
      </c>
      <c r="W453" t="s">
        <v>1077</v>
      </c>
      <c r="X453" t="s">
        <v>33</v>
      </c>
      <c r="Y453">
        <v>13</v>
      </c>
    </row>
    <row r="454" spans="1:25">
      <c r="A454" t="s">
        <v>959</v>
      </c>
      <c r="B454" t="s">
        <v>960</v>
      </c>
      <c r="C454">
        <v>25</v>
      </c>
      <c r="D454" t="s">
        <v>46</v>
      </c>
      <c r="E454" t="s">
        <v>65</v>
      </c>
      <c r="F454" t="s">
        <v>18</v>
      </c>
      <c r="G454" t="s">
        <v>1048</v>
      </c>
      <c r="H454" t="s">
        <v>1060</v>
      </c>
      <c r="I454">
        <v>70500</v>
      </c>
      <c r="J454">
        <v>12</v>
      </c>
      <c r="K454">
        <v>846000</v>
      </c>
      <c r="L454">
        <v>5</v>
      </c>
      <c r="M454">
        <v>4</v>
      </c>
      <c r="N454">
        <v>21150</v>
      </c>
      <c r="O454">
        <v>95</v>
      </c>
      <c r="P454">
        <v>10</v>
      </c>
      <c r="Q454">
        <v>9</v>
      </c>
      <c r="R454" t="s">
        <v>21</v>
      </c>
      <c r="S454" t="s">
        <v>38</v>
      </c>
      <c r="T454">
        <v>20</v>
      </c>
      <c r="U454">
        <v>6000</v>
      </c>
      <c r="V454" t="s">
        <v>58</v>
      </c>
      <c r="W454" t="s">
        <v>1077</v>
      </c>
      <c r="X454" t="s">
        <v>20</v>
      </c>
      <c r="Y454">
        <v>10</v>
      </c>
    </row>
    <row r="455" spans="1:25">
      <c r="A455" t="s">
        <v>961</v>
      </c>
      <c r="B455" t="s">
        <v>962</v>
      </c>
      <c r="C455">
        <v>24</v>
      </c>
      <c r="D455" t="s">
        <v>46</v>
      </c>
      <c r="E455" t="s">
        <v>64</v>
      </c>
      <c r="F455" t="s">
        <v>27</v>
      </c>
      <c r="G455" t="s">
        <v>43</v>
      </c>
      <c r="H455" t="s">
        <v>1060</v>
      </c>
      <c r="I455">
        <v>29000</v>
      </c>
      <c r="J455">
        <v>12</v>
      </c>
      <c r="K455">
        <v>348000</v>
      </c>
      <c r="L455">
        <v>2</v>
      </c>
      <c r="M455">
        <v>2</v>
      </c>
      <c r="N455" t="s">
        <v>1077</v>
      </c>
      <c r="O455">
        <v>80</v>
      </c>
      <c r="P455">
        <v>5</v>
      </c>
      <c r="Q455">
        <v>5</v>
      </c>
      <c r="R455" t="s">
        <v>37</v>
      </c>
      <c r="S455" t="s">
        <v>38</v>
      </c>
      <c r="U455">
        <v>0</v>
      </c>
      <c r="V455" t="s">
        <v>39</v>
      </c>
      <c r="W455" t="s">
        <v>1077</v>
      </c>
      <c r="X455" t="s">
        <v>20</v>
      </c>
      <c r="Y455">
        <v>12</v>
      </c>
    </row>
    <row r="456" spans="1:25">
      <c r="A456" t="s">
        <v>963</v>
      </c>
      <c r="B456" t="s">
        <v>964</v>
      </c>
      <c r="C456">
        <v>25</v>
      </c>
      <c r="D456" t="s">
        <v>25</v>
      </c>
      <c r="E456" t="s">
        <v>35</v>
      </c>
      <c r="F456" t="s">
        <v>18</v>
      </c>
      <c r="G456" t="s">
        <v>43</v>
      </c>
      <c r="H456" t="s">
        <v>1060</v>
      </c>
      <c r="I456">
        <v>29000</v>
      </c>
      <c r="J456">
        <v>12</v>
      </c>
      <c r="K456">
        <v>348000</v>
      </c>
      <c r="L456">
        <v>2</v>
      </c>
      <c r="M456">
        <v>2</v>
      </c>
      <c r="N456" t="s">
        <v>1077</v>
      </c>
      <c r="O456">
        <v>88</v>
      </c>
      <c r="P456">
        <v>5</v>
      </c>
      <c r="Q456">
        <v>3</v>
      </c>
      <c r="S456" t="s">
        <v>38</v>
      </c>
      <c r="T456">
        <v>5</v>
      </c>
      <c r="U456">
        <v>1250</v>
      </c>
      <c r="V456" t="s">
        <v>39</v>
      </c>
      <c r="W456" t="s">
        <v>1077</v>
      </c>
      <c r="X456" t="s">
        <v>20</v>
      </c>
      <c r="Y456">
        <v>10</v>
      </c>
    </row>
    <row r="457" spans="1:25">
      <c r="A457" t="s">
        <v>965</v>
      </c>
      <c r="B457" t="s">
        <v>966</v>
      </c>
      <c r="C457">
        <v>23</v>
      </c>
      <c r="D457" t="s">
        <v>1077</v>
      </c>
      <c r="E457" t="s">
        <v>35</v>
      </c>
      <c r="F457" t="s">
        <v>66</v>
      </c>
      <c r="G457" t="s">
        <v>43</v>
      </c>
      <c r="H457" t="s">
        <v>1060</v>
      </c>
      <c r="I457">
        <v>24000</v>
      </c>
      <c r="J457">
        <v>12</v>
      </c>
      <c r="K457">
        <v>288000</v>
      </c>
      <c r="L457">
        <v>1</v>
      </c>
      <c r="M457">
        <v>2</v>
      </c>
      <c r="N457" t="s">
        <v>1077</v>
      </c>
      <c r="O457">
        <v>85</v>
      </c>
      <c r="P457">
        <v>15</v>
      </c>
      <c r="Q457">
        <v>1</v>
      </c>
      <c r="R457" t="s">
        <v>21</v>
      </c>
      <c r="S457" t="s">
        <v>38</v>
      </c>
      <c r="T457">
        <v>20</v>
      </c>
      <c r="U457">
        <v>5000</v>
      </c>
      <c r="V457" t="s">
        <v>39</v>
      </c>
      <c r="W457" t="s">
        <v>1077</v>
      </c>
      <c r="X457" t="s">
        <v>33</v>
      </c>
      <c r="Y457">
        <v>20</v>
      </c>
    </row>
    <row r="458" spans="1:25">
      <c r="A458" t="s">
        <v>967</v>
      </c>
      <c r="B458" t="s">
        <v>968</v>
      </c>
      <c r="C458">
        <v>24</v>
      </c>
      <c r="D458" t="s">
        <v>46</v>
      </c>
      <c r="E458" t="s">
        <v>50</v>
      </c>
      <c r="F458" t="s">
        <v>27</v>
      </c>
      <c r="G458" t="s">
        <v>43</v>
      </c>
      <c r="H458" t="s">
        <v>1060</v>
      </c>
      <c r="I458">
        <v>29000</v>
      </c>
      <c r="J458">
        <v>12</v>
      </c>
      <c r="K458">
        <v>348000</v>
      </c>
      <c r="L458">
        <v>2</v>
      </c>
      <c r="M458">
        <v>2</v>
      </c>
      <c r="N458" t="s">
        <v>1077</v>
      </c>
      <c r="O458">
        <v>85</v>
      </c>
      <c r="P458">
        <v>10</v>
      </c>
      <c r="Q458">
        <v>3</v>
      </c>
      <c r="R458" t="s">
        <v>21</v>
      </c>
      <c r="S458" t="s">
        <v>38</v>
      </c>
      <c r="U458">
        <v>0</v>
      </c>
      <c r="V458" t="s">
        <v>39</v>
      </c>
      <c r="W458" t="s">
        <v>1077</v>
      </c>
      <c r="X458" t="s">
        <v>20</v>
      </c>
      <c r="Y458">
        <v>12</v>
      </c>
    </row>
    <row r="459" spans="1:25">
      <c r="A459" t="s">
        <v>969</v>
      </c>
      <c r="B459" t="s">
        <v>970</v>
      </c>
      <c r="C459">
        <v>25</v>
      </c>
      <c r="D459" t="s">
        <v>25</v>
      </c>
      <c r="E459" t="s">
        <v>65</v>
      </c>
      <c r="F459" t="s">
        <v>42</v>
      </c>
      <c r="G459" t="s">
        <v>43</v>
      </c>
      <c r="H459" t="s">
        <v>1060</v>
      </c>
      <c r="I459">
        <v>22500</v>
      </c>
      <c r="J459">
        <v>12</v>
      </c>
      <c r="K459">
        <v>270000</v>
      </c>
      <c r="L459">
        <v>1</v>
      </c>
      <c r="M459">
        <v>1</v>
      </c>
      <c r="N459" t="s">
        <v>1077</v>
      </c>
      <c r="O459">
        <v>80</v>
      </c>
      <c r="P459">
        <v>15</v>
      </c>
      <c r="Q459">
        <v>4</v>
      </c>
      <c r="S459" t="s">
        <v>38</v>
      </c>
      <c r="T459">
        <v>5</v>
      </c>
      <c r="U459">
        <v>1250</v>
      </c>
      <c r="V459" t="s">
        <v>39</v>
      </c>
      <c r="W459" t="s">
        <v>1077</v>
      </c>
      <c r="X459" t="s">
        <v>20</v>
      </c>
      <c r="Y459">
        <v>14</v>
      </c>
    </row>
    <row r="460" spans="1:25">
      <c r="A460" t="s">
        <v>971</v>
      </c>
      <c r="B460" t="s">
        <v>972</v>
      </c>
      <c r="C460">
        <v>25</v>
      </c>
      <c r="D460" t="s">
        <v>25</v>
      </c>
      <c r="E460" t="s">
        <v>26</v>
      </c>
      <c r="F460" t="s">
        <v>27</v>
      </c>
      <c r="G460" t="s">
        <v>1048</v>
      </c>
      <c r="H460" t="s">
        <v>1060</v>
      </c>
      <c r="I460">
        <v>60000</v>
      </c>
      <c r="J460">
        <v>12</v>
      </c>
      <c r="K460">
        <v>720000</v>
      </c>
      <c r="L460">
        <v>4</v>
      </c>
      <c r="M460">
        <v>4</v>
      </c>
      <c r="N460">
        <v>18000</v>
      </c>
      <c r="O460">
        <v>95</v>
      </c>
      <c r="P460">
        <v>10</v>
      </c>
      <c r="Q460">
        <v>1</v>
      </c>
      <c r="R460" t="s">
        <v>37</v>
      </c>
      <c r="S460" t="s">
        <v>28</v>
      </c>
      <c r="T460">
        <v>20</v>
      </c>
      <c r="U460">
        <v>6000</v>
      </c>
      <c r="V460" t="s">
        <v>58</v>
      </c>
      <c r="W460" t="s">
        <v>1077</v>
      </c>
      <c r="X460" t="s">
        <v>20</v>
      </c>
      <c r="Y460">
        <v>12</v>
      </c>
    </row>
    <row r="461" spans="1:25">
      <c r="A461" t="s">
        <v>973</v>
      </c>
      <c r="B461" t="s">
        <v>974</v>
      </c>
      <c r="C461">
        <v>25</v>
      </c>
      <c r="D461" t="s">
        <v>1077</v>
      </c>
      <c r="E461" t="s">
        <v>26</v>
      </c>
      <c r="F461" t="s">
        <v>18</v>
      </c>
      <c r="G461" t="s">
        <v>43</v>
      </c>
      <c r="H461" t="s">
        <v>1060</v>
      </c>
      <c r="I461">
        <v>29000</v>
      </c>
      <c r="J461">
        <v>12</v>
      </c>
      <c r="K461">
        <v>348000</v>
      </c>
      <c r="L461">
        <v>2</v>
      </c>
      <c r="M461">
        <v>2</v>
      </c>
      <c r="N461" t="s">
        <v>1077</v>
      </c>
      <c r="O461">
        <v>85</v>
      </c>
      <c r="P461">
        <v>5</v>
      </c>
      <c r="Q461">
        <v>2</v>
      </c>
      <c r="R461" t="s">
        <v>37</v>
      </c>
      <c r="S461" t="s">
        <v>38</v>
      </c>
      <c r="T461">
        <v>5</v>
      </c>
      <c r="U461">
        <v>1250</v>
      </c>
      <c r="V461" t="s">
        <v>39</v>
      </c>
      <c r="W461" t="s">
        <v>1077</v>
      </c>
      <c r="X461" t="s">
        <v>20</v>
      </c>
      <c r="Y461">
        <v>10</v>
      </c>
    </row>
    <row r="462" spans="1:25">
      <c r="A462" t="s">
        <v>975</v>
      </c>
      <c r="B462" t="s">
        <v>976</v>
      </c>
      <c r="C462">
        <v>24</v>
      </c>
      <c r="D462" t="s">
        <v>25</v>
      </c>
      <c r="E462" t="s">
        <v>73</v>
      </c>
      <c r="F462" t="s">
        <v>27</v>
      </c>
      <c r="G462" t="s">
        <v>43</v>
      </c>
      <c r="H462" t="s">
        <v>1060</v>
      </c>
      <c r="I462">
        <v>29000</v>
      </c>
      <c r="J462">
        <v>12</v>
      </c>
      <c r="K462">
        <v>348000</v>
      </c>
      <c r="L462">
        <v>2</v>
      </c>
      <c r="M462">
        <v>1</v>
      </c>
      <c r="N462" t="s">
        <v>1077</v>
      </c>
      <c r="O462">
        <v>80</v>
      </c>
      <c r="P462">
        <v>10</v>
      </c>
      <c r="Q462">
        <v>3</v>
      </c>
      <c r="R462" t="s">
        <v>21</v>
      </c>
      <c r="S462" t="s">
        <v>38</v>
      </c>
      <c r="T462">
        <v>20</v>
      </c>
      <c r="U462">
        <v>5000</v>
      </c>
      <c r="V462" t="s">
        <v>39</v>
      </c>
      <c r="W462" t="s">
        <v>1077</v>
      </c>
      <c r="X462" t="s">
        <v>20</v>
      </c>
      <c r="Y462">
        <v>12</v>
      </c>
    </row>
    <row r="463" spans="1:25">
      <c r="A463" t="s">
        <v>977</v>
      </c>
      <c r="B463" t="s">
        <v>978</v>
      </c>
      <c r="C463">
        <v>25</v>
      </c>
      <c r="D463" t="s">
        <v>46</v>
      </c>
      <c r="E463" t="s">
        <v>57</v>
      </c>
      <c r="F463" t="s">
        <v>18</v>
      </c>
      <c r="G463" t="s">
        <v>43</v>
      </c>
      <c r="H463" t="s">
        <v>1059</v>
      </c>
      <c r="I463">
        <v>29000</v>
      </c>
      <c r="J463">
        <v>12</v>
      </c>
      <c r="K463">
        <v>348000</v>
      </c>
      <c r="L463">
        <v>2</v>
      </c>
      <c r="M463">
        <v>5</v>
      </c>
      <c r="N463">
        <v>8700</v>
      </c>
      <c r="O463">
        <v>85</v>
      </c>
      <c r="P463">
        <v>15</v>
      </c>
      <c r="Q463">
        <v>3</v>
      </c>
      <c r="R463" t="s">
        <v>21</v>
      </c>
      <c r="S463" t="s">
        <v>28</v>
      </c>
      <c r="T463">
        <v>20</v>
      </c>
      <c r="U463">
        <v>5000</v>
      </c>
      <c r="V463" t="s">
        <v>58</v>
      </c>
      <c r="W463" t="s">
        <v>1077</v>
      </c>
      <c r="X463" t="s">
        <v>20</v>
      </c>
      <c r="Y463">
        <v>10</v>
      </c>
    </row>
    <row r="464" spans="1:25">
      <c r="A464" t="s">
        <v>979</v>
      </c>
      <c r="B464" t="s">
        <v>980</v>
      </c>
      <c r="C464">
        <v>40</v>
      </c>
      <c r="D464" t="s">
        <v>46</v>
      </c>
      <c r="E464" t="s">
        <v>26</v>
      </c>
      <c r="F464" t="s">
        <v>36</v>
      </c>
      <c r="G464" t="s">
        <v>32</v>
      </c>
      <c r="H464" t="s">
        <v>1060</v>
      </c>
      <c r="I464">
        <v>90000</v>
      </c>
      <c r="J464">
        <v>12</v>
      </c>
      <c r="K464">
        <v>1080000</v>
      </c>
      <c r="L464">
        <v>10</v>
      </c>
      <c r="M464">
        <v>3</v>
      </c>
      <c r="N464">
        <v>27000</v>
      </c>
      <c r="O464">
        <v>80</v>
      </c>
      <c r="P464">
        <v>15</v>
      </c>
      <c r="Q464">
        <v>2</v>
      </c>
      <c r="R464" t="s">
        <v>37</v>
      </c>
      <c r="S464" t="s">
        <v>28</v>
      </c>
      <c r="T464">
        <v>5</v>
      </c>
      <c r="U464">
        <v>1750</v>
      </c>
      <c r="V464" t="s">
        <v>22</v>
      </c>
      <c r="W464" t="s">
        <v>1077</v>
      </c>
      <c r="X464" t="s">
        <v>20</v>
      </c>
      <c r="Y464">
        <v>25</v>
      </c>
    </row>
    <row r="465" spans="1:25">
      <c r="A465" t="s">
        <v>981</v>
      </c>
      <c r="B465" t="s">
        <v>982</v>
      </c>
      <c r="C465">
        <v>24</v>
      </c>
      <c r="D465" t="s">
        <v>46</v>
      </c>
      <c r="E465" t="s">
        <v>35</v>
      </c>
      <c r="F465" t="s">
        <v>18</v>
      </c>
      <c r="G465" t="s">
        <v>43</v>
      </c>
      <c r="H465" t="s">
        <v>1060</v>
      </c>
      <c r="I465">
        <v>28000</v>
      </c>
      <c r="J465">
        <v>12</v>
      </c>
      <c r="K465">
        <v>336000</v>
      </c>
      <c r="L465">
        <v>2</v>
      </c>
      <c r="M465">
        <v>1</v>
      </c>
      <c r="N465" t="s">
        <v>1077</v>
      </c>
      <c r="O465">
        <v>90</v>
      </c>
      <c r="P465">
        <v>10</v>
      </c>
      <c r="Q465">
        <v>2</v>
      </c>
      <c r="R465" t="s">
        <v>37</v>
      </c>
      <c r="S465" t="s">
        <v>19</v>
      </c>
      <c r="U465">
        <v>0</v>
      </c>
      <c r="V465" t="s">
        <v>39</v>
      </c>
      <c r="W465" t="s">
        <v>1077</v>
      </c>
      <c r="X465" t="s">
        <v>20</v>
      </c>
      <c r="Y465">
        <v>10</v>
      </c>
    </row>
    <row r="466" spans="1:25">
      <c r="A466" t="s">
        <v>983</v>
      </c>
      <c r="B466" t="s">
        <v>984</v>
      </c>
      <c r="C466">
        <v>24</v>
      </c>
      <c r="D466" t="s">
        <v>1077</v>
      </c>
      <c r="E466" t="s">
        <v>35</v>
      </c>
      <c r="F466" t="s">
        <v>36</v>
      </c>
      <c r="G466" t="s">
        <v>43</v>
      </c>
      <c r="H466" t="s">
        <v>1060</v>
      </c>
      <c r="I466">
        <v>24000</v>
      </c>
      <c r="J466">
        <v>12</v>
      </c>
      <c r="K466">
        <v>288000</v>
      </c>
      <c r="L466">
        <v>1</v>
      </c>
      <c r="M466">
        <v>1</v>
      </c>
      <c r="N466" t="s">
        <v>1077</v>
      </c>
      <c r="O466">
        <v>90</v>
      </c>
      <c r="P466">
        <v>15</v>
      </c>
      <c r="Q466">
        <v>10</v>
      </c>
      <c r="R466" t="s">
        <v>37</v>
      </c>
      <c r="S466" t="s">
        <v>38</v>
      </c>
      <c r="T466">
        <v>10</v>
      </c>
      <c r="U466">
        <v>2500</v>
      </c>
      <c r="V466" t="s">
        <v>39</v>
      </c>
      <c r="W466" t="s">
        <v>1077</v>
      </c>
      <c r="X466" t="s">
        <v>20</v>
      </c>
      <c r="Y466">
        <v>25</v>
      </c>
    </row>
    <row r="467" spans="1:25">
      <c r="A467" t="s">
        <v>985</v>
      </c>
      <c r="B467" t="s">
        <v>986</v>
      </c>
      <c r="C467">
        <v>23</v>
      </c>
      <c r="D467" t="s">
        <v>46</v>
      </c>
      <c r="E467" t="s">
        <v>47</v>
      </c>
      <c r="F467" t="s">
        <v>42</v>
      </c>
      <c r="G467" t="s">
        <v>43</v>
      </c>
      <c r="H467" t="s">
        <v>1060</v>
      </c>
      <c r="I467">
        <v>24000</v>
      </c>
      <c r="J467">
        <v>12</v>
      </c>
      <c r="K467">
        <v>288000</v>
      </c>
      <c r="L467">
        <v>1</v>
      </c>
      <c r="M467">
        <v>2</v>
      </c>
      <c r="N467" t="s">
        <v>1077</v>
      </c>
      <c r="O467">
        <v>88</v>
      </c>
      <c r="P467">
        <v>10</v>
      </c>
      <c r="Q467">
        <v>9</v>
      </c>
      <c r="S467" t="s">
        <v>28</v>
      </c>
      <c r="T467">
        <v>10</v>
      </c>
      <c r="U467">
        <v>2500</v>
      </c>
      <c r="V467" t="s">
        <v>39</v>
      </c>
      <c r="W467" t="s">
        <v>1077</v>
      </c>
      <c r="X467" t="s">
        <v>20</v>
      </c>
      <c r="Y467">
        <v>14</v>
      </c>
    </row>
    <row r="468" spans="1:25">
      <c r="A468" t="s">
        <v>987</v>
      </c>
      <c r="B468" t="s">
        <v>988</v>
      </c>
      <c r="C468">
        <v>26</v>
      </c>
      <c r="D468" t="s">
        <v>1077</v>
      </c>
      <c r="E468" t="s">
        <v>17</v>
      </c>
      <c r="F468" t="s">
        <v>42</v>
      </c>
      <c r="G468" t="s">
        <v>1045</v>
      </c>
      <c r="H468" t="s">
        <v>1060</v>
      </c>
      <c r="I468">
        <v>81000</v>
      </c>
      <c r="J468">
        <v>12</v>
      </c>
      <c r="K468">
        <v>972000</v>
      </c>
      <c r="L468">
        <v>6</v>
      </c>
      <c r="M468">
        <v>3</v>
      </c>
      <c r="N468">
        <v>24300</v>
      </c>
      <c r="O468">
        <v>88</v>
      </c>
      <c r="P468">
        <v>15</v>
      </c>
      <c r="Q468">
        <v>3</v>
      </c>
      <c r="S468" t="s">
        <v>19</v>
      </c>
      <c r="T468">
        <v>5</v>
      </c>
      <c r="U468">
        <v>1500</v>
      </c>
      <c r="V468" t="s">
        <v>22</v>
      </c>
      <c r="W468" t="s">
        <v>1077</v>
      </c>
      <c r="X468" t="s">
        <v>20</v>
      </c>
      <c r="Y468">
        <v>14</v>
      </c>
    </row>
    <row r="469" spans="1:25">
      <c r="A469" t="s">
        <v>989</v>
      </c>
      <c r="B469" t="s">
        <v>990</v>
      </c>
      <c r="C469">
        <v>24</v>
      </c>
      <c r="D469" t="s">
        <v>46</v>
      </c>
      <c r="E469" t="s">
        <v>57</v>
      </c>
      <c r="F469" t="s">
        <v>66</v>
      </c>
      <c r="G469" t="s">
        <v>43</v>
      </c>
      <c r="H469" t="s">
        <v>1060</v>
      </c>
      <c r="I469">
        <v>24000</v>
      </c>
      <c r="J469">
        <v>12</v>
      </c>
      <c r="K469">
        <v>288000</v>
      </c>
      <c r="L469">
        <v>1</v>
      </c>
      <c r="M469">
        <v>4</v>
      </c>
      <c r="N469">
        <v>7200</v>
      </c>
      <c r="O469">
        <v>85</v>
      </c>
      <c r="P469">
        <v>5</v>
      </c>
      <c r="Q469">
        <v>3</v>
      </c>
      <c r="S469" t="s">
        <v>38</v>
      </c>
      <c r="U469">
        <v>0</v>
      </c>
      <c r="V469" t="s">
        <v>22</v>
      </c>
      <c r="W469" t="s">
        <v>1077</v>
      </c>
      <c r="X469" t="s">
        <v>33</v>
      </c>
      <c r="Y469">
        <v>20</v>
      </c>
    </row>
    <row r="470" spans="1:25">
      <c r="A470" t="s">
        <v>991</v>
      </c>
      <c r="B470" t="s">
        <v>992</v>
      </c>
      <c r="C470">
        <v>25</v>
      </c>
      <c r="D470" t="s">
        <v>46</v>
      </c>
      <c r="E470" t="s">
        <v>65</v>
      </c>
      <c r="F470" t="s">
        <v>31</v>
      </c>
      <c r="G470" t="s">
        <v>43</v>
      </c>
      <c r="H470" t="s">
        <v>1060</v>
      </c>
      <c r="I470">
        <v>28000</v>
      </c>
      <c r="J470">
        <v>12</v>
      </c>
      <c r="K470">
        <v>336000</v>
      </c>
      <c r="L470">
        <v>2</v>
      </c>
      <c r="M470">
        <v>2</v>
      </c>
      <c r="N470" t="s">
        <v>1077</v>
      </c>
      <c r="O470">
        <v>80</v>
      </c>
      <c r="P470">
        <v>10</v>
      </c>
      <c r="Q470">
        <v>2</v>
      </c>
      <c r="R470" t="s">
        <v>21</v>
      </c>
      <c r="S470" t="s">
        <v>28</v>
      </c>
      <c r="U470">
        <v>0</v>
      </c>
      <c r="V470" t="s">
        <v>39</v>
      </c>
      <c r="W470" t="s">
        <v>1077</v>
      </c>
      <c r="X470" t="s">
        <v>33</v>
      </c>
      <c r="Y470">
        <v>13</v>
      </c>
    </row>
    <row r="471" spans="1:25">
      <c r="A471" t="s">
        <v>993</v>
      </c>
      <c r="B471" t="s">
        <v>994</v>
      </c>
      <c r="C471">
        <v>25</v>
      </c>
      <c r="D471" t="s">
        <v>46</v>
      </c>
      <c r="E471" t="s">
        <v>26</v>
      </c>
      <c r="F471" t="s">
        <v>31</v>
      </c>
      <c r="G471" t="s">
        <v>43</v>
      </c>
      <c r="H471" t="s">
        <v>1060</v>
      </c>
      <c r="I471">
        <v>23000</v>
      </c>
      <c r="J471">
        <v>12</v>
      </c>
      <c r="K471">
        <v>276000</v>
      </c>
      <c r="L471">
        <v>1</v>
      </c>
      <c r="M471">
        <v>4</v>
      </c>
      <c r="N471">
        <v>6900</v>
      </c>
      <c r="O471">
        <v>90</v>
      </c>
      <c r="P471">
        <v>15</v>
      </c>
      <c r="Q471">
        <v>3</v>
      </c>
      <c r="R471" t="s">
        <v>21</v>
      </c>
      <c r="S471" t="s">
        <v>28</v>
      </c>
      <c r="T471">
        <v>20</v>
      </c>
      <c r="U471">
        <v>5000</v>
      </c>
      <c r="V471" t="s">
        <v>22</v>
      </c>
      <c r="W471" t="s">
        <v>1077</v>
      </c>
      <c r="X471" t="s">
        <v>33</v>
      </c>
      <c r="Y471">
        <v>13</v>
      </c>
    </row>
    <row r="472" spans="1:25">
      <c r="A472" t="s">
        <v>997</v>
      </c>
      <c r="B472" t="s">
        <v>998</v>
      </c>
      <c r="C472">
        <v>25</v>
      </c>
      <c r="D472" t="s">
        <v>46</v>
      </c>
      <c r="E472" t="s">
        <v>35</v>
      </c>
      <c r="F472" t="s">
        <v>27</v>
      </c>
      <c r="G472" t="s">
        <v>43</v>
      </c>
      <c r="H472" t="s">
        <v>1060</v>
      </c>
      <c r="I472">
        <v>28000</v>
      </c>
      <c r="J472">
        <v>12</v>
      </c>
      <c r="K472">
        <v>336000</v>
      </c>
      <c r="L472">
        <v>2</v>
      </c>
      <c r="M472">
        <v>1</v>
      </c>
      <c r="N472" t="s">
        <v>1077</v>
      </c>
      <c r="O472">
        <v>80</v>
      </c>
      <c r="P472">
        <v>5</v>
      </c>
      <c r="Q472">
        <v>1</v>
      </c>
      <c r="R472" t="s">
        <v>21</v>
      </c>
      <c r="S472" t="s">
        <v>38</v>
      </c>
      <c r="T472">
        <v>20</v>
      </c>
      <c r="U472">
        <v>5000</v>
      </c>
      <c r="V472" t="s">
        <v>39</v>
      </c>
      <c r="W472" t="s">
        <v>1077</v>
      </c>
      <c r="X472" t="s">
        <v>20</v>
      </c>
      <c r="Y472">
        <v>12</v>
      </c>
    </row>
    <row r="473" spans="1:25">
      <c r="A473" t="s">
        <v>999</v>
      </c>
      <c r="B473" t="s">
        <v>1000</v>
      </c>
      <c r="C473">
        <v>34</v>
      </c>
      <c r="D473" t="s">
        <v>46</v>
      </c>
      <c r="E473" t="s">
        <v>61</v>
      </c>
      <c r="F473" t="s">
        <v>27</v>
      </c>
      <c r="G473" t="s">
        <v>32</v>
      </c>
      <c r="H473" t="s">
        <v>1059</v>
      </c>
      <c r="I473">
        <v>92000</v>
      </c>
      <c r="J473">
        <v>12</v>
      </c>
      <c r="K473">
        <v>1104000</v>
      </c>
      <c r="L473">
        <v>9</v>
      </c>
      <c r="M473">
        <v>4</v>
      </c>
      <c r="N473">
        <v>27600</v>
      </c>
      <c r="O473">
        <v>80</v>
      </c>
      <c r="P473">
        <v>15</v>
      </c>
      <c r="Q473">
        <v>5</v>
      </c>
      <c r="R473" t="s">
        <v>37</v>
      </c>
      <c r="S473" t="s">
        <v>28</v>
      </c>
      <c r="T473">
        <v>10</v>
      </c>
      <c r="U473">
        <v>3500</v>
      </c>
      <c r="V473" t="s">
        <v>58</v>
      </c>
      <c r="W473" t="s">
        <v>1077</v>
      </c>
      <c r="X473" t="s">
        <v>20</v>
      </c>
      <c r="Y473">
        <v>12</v>
      </c>
    </row>
    <row r="474" spans="1:25">
      <c r="A474" t="s">
        <v>1001</v>
      </c>
      <c r="B474" t="s">
        <v>1002</v>
      </c>
      <c r="C474">
        <v>23</v>
      </c>
      <c r="D474" t="s">
        <v>25</v>
      </c>
      <c r="E474" t="s">
        <v>73</v>
      </c>
      <c r="F474" t="s">
        <v>42</v>
      </c>
      <c r="G474" t="s">
        <v>43</v>
      </c>
      <c r="H474" t="s">
        <v>1060</v>
      </c>
      <c r="I474">
        <v>24000</v>
      </c>
      <c r="J474">
        <v>12</v>
      </c>
      <c r="K474">
        <v>288000</v>
      </c>
      <c r="L474">
        <v>1</v>
      </c>
      <c r="M474">
        <v>4</v>
      </c>
      <c r="N474">
        <v>7200</v>
      </c>
      <c r="O474">
        <v>80</v>
      </c>
      <c r="P474">
        <v>10</v>
      </c>
      <c r="Q474">
        <v>3</v>
      </c>
      <c r="S474" t="s">
        <v>38</v>
      </c>
      <c r="T474">
        <v>5</v>
      </c>
      <c r="U474">
        <v>1250</v>
      </c>
      <c r="V474" t="s">
        <v>22</v>
      </c>
      <c r="W474" t="s">
        <v>1077</v>
      </c>
      <c r="X474" t="s">
        <v>20</v>
      </c>
      <c r="Y474">
        <v>14</v>
      </c>
    </row>
    <row r="475" spans="1:25">
      <c r="A475" t="s">
        <v>1003</v>
      </c>
      <c r="B475" t="s">
        <v>1004</v>
      </c>
      <c r="C475">
        <v>24</v>
      </c>
      <c r="D475" t="s">
        <v>25</v>
      </c>
      <c r="E475" t="s">
        <v>17</v>
      </c>
      <c r="F475" t="s">
        <v>42</v>
      </c>
      <c r="G475" t="s">
        <v>1048</v>
      </c>
      <c r="H475" t="s">
        <v>1060</v>
      </c>
      <c r="I475">
        <v>60000</v>
      </c>
      <c r="J475">
        <v>12</v>
      </c>
      <c r="K475">
        <v>720000</v>
      </c>
      <c r="L475">
        <v>4</v>
      </c>
      <c r="M475">
        <v>2</v>
      </c>
      <c r="N475" t="s">
        <v>1077</v>
      </c>
      <c r="O475">
        <v>80</v>
      </c>
      <c r="P475">
        <v>5</v>
      </c>
      <c r="Q475">
        <v>5</v>
      </c>
      <c r="R475" t="s">
        <v>37</v>
      </c>
      <c r="S475" t="s">
        <v>19</v>
      </c>
      <c r="T475">
        <v>20</v>
      </c>
      <c r="U475">
        <v>6000</v>
      </c>
      <c r="V475" t="s">
        <v>39</v>
      </c>
      <c r="W475" t="s">
        <v>1077</v>
      </c>
      <c r="X475" t="s">
        <v>20</v>
      </c>
      <c r="Y475">
        <v>14</v>
      </c>
    </row>
    <row r="476" spans="1:25">
      <c r="A476" t="s">
        <v>1005</v>
      </c>
      <c r="B476" t="s">
        <v>1006</v>
      </c>
      <c r="C476">
        <v>34</v>
      </c>
      <c r="D476" t="s">
        <v>46</v>
      </c>
      <c r="E476" t="s">
        <v>61</v>
      </c>
      <c r="F476" t="s">
        <v>66</v>
      </c>
      <c r="G476" t="s">
        <v>32</v>
      </c>
      <c r="H476" t="s">
        <v>1060</v>
      </c>
      <c r="I476">
        <v>98000</v>
      </c>
      <c r="J476">
        <v>12</v>
      </c>
      <c r="K476">
        <v>1176000</v>
      </c>
      <c r="L476">
        <v>12</v>
      </c>
      <c r="M476">
        <v>5</v>
      </c>
      <c r="N476">
        <v>29400</v>
      </c>
      <c r="O476">
        <v>90</v>
      </c>
      <c r="P476">
        <v>15</v>
      </c>
      <c r="Q476">
        <v>1</v>
      </c>
      <c r="S476" t="s">
        <v>38</v>
      </c>
      <c r="T476">
        <v>5</v>
      </c>
      <c r="U476">
        <v>1750</v>
      </c>
      <c r="V476" t="s">
        <v>58</v>
      </c>
      <c r="W476" t="s">
        <v>1077</v>
      </c>
      <c r="X476" t="s">
        <v>33</v>
      </c>
      <c r="Y476">
        <v>20</v>
      </c>
    </row>
    <row r="477" spans="1:25">
      <c r="A477" t="s">
        <v>1007</v>
      </c>
      <c r="B477" t="s">
        <v>1008</v>
      </c>
      <c r="C477">
        <v>21</v>
      </c>
      <c r="D477" t="s">
        <v>46</v>
      </c>
      <c r="E477" t="s">
        <v>17</v>
      </c>
      <c r="F477" t="s">
        <v>66</v>
      </c>
      <c r="G477" t="s">
        <v>1046</v>
      </c>
      <c r="H477" t="s">
        <v>1060</v>
      </c>
      <c r="I477">
        <v>20000</v>
      </c>
      <c r="J477">
        <v>12</v>
      </c>
      <c r="K477">
        <v>240000</v>
      </c>
      <c r="L477">
        <v>0</v>
      </c>
      <c r="M477">
        <v>2</v>
      </c>
      <c r="N477" t="s">
        <v>1077</v>
      </c>
      <c r="O477">
        <v>88</v>
      </c>
      <c r="P477">
        <v>15</v>
      </c>
      <c r="Q477">
        <v>1</v>
      </c>
      <c r="R477" t="s">
        <v>21</v>
      </c>
      <c r="S477" t="s">
        <v>38</v>
      </c>
      <c r="T477">
        <v>20</v>
      </c>
      <c r="U477">
        <v>5000</v>
      </c>
      <c r="V477" t="s">
        <v>39</v>
      </c>
      <c r="W477" t="s">
        <v>1077</v>
      </c>
      <c r="X477" t="s">
        <v>33</v>
      </c>
      <c r="Y477">
        <v>20</v>
      </c>
    </row>
    <row r="478" spans="1:25">
      <c r="A478" t="s">
        <v>1009</v>
      </c>
      <c r="B478" t="s">
        <v>1010</v>
      </c>
      <c r="C478">
        <v>25</v>
      </c>
      <c r="D478" t="s">
        <v>25</v>
      </c>
      <c r="E478" t="s">
        <v>35</v>
      </c>
      <c r="F478" t="s">
        <v>42</v>
      </c>
      <c r="G478" t="s">
        <v>1045</v>
      </c>
      <c r="H478" t="s">
        <v>1059</v>
      </c>
      <c r="I478">
        <v>78000</v>
      </c>
      <c r="J478">
        <v>12</v>
      </c>
      <c r="K478">
        <v>936000</v>
      </c>
      <c r="L478">
        <v>7</v>
      </c>
      <c r="M478">
        <v>5</v>
      </c>
      <c r="N478">
        <v>23400</v>
      </c>
      <c r="O478">
        <v>85</v>
      </c>
      <c r="P478">
        <v>5</v>
      </c>
      <c r="Q478">
        <v>3</v>
      </c>
      <c r="S478" t="s">
        <v>28</v>
      </c>
      <c r="U478">
        <v>0</v>
      </c>
      <c r="V478" t="s">
        <v>58</v>
      </c>
      <c r="W478" t="s">
        <v>1077</v>
      </c>
      <c r="X478" t="s">
        <v>20</v>
      </c>
      <c r="Y478">
        <v>14</v>
      </c>
    </row>
    <row r="479" spans="1:25">
      <c r="A479" t="s">
        <v>1011</v>
      </c>
      <c r="B479" t="s">
        <v>1012</v>
      </c>
      <c r="C479">
        <v>39</v>
      </c>
      <c r="D479" t="s">
        <v>1077</v>
      </c>
      <c r="E479" t="s">
        <v>17</v>
      </c>
      <c r="F479" t="s">
        <v>27</v>
      </c>
      <c r="G479" t="s">
        <v>32</v>
      </c>
      <c r="H479" t="s">
        <v>1060</v>
      </c>
      <c r="I479">
        <v>90000</v>
      </c>
      <c r="J479">
        <v>12</v>
      </c>
      <c r="K479">
        <v>1080000</v>
      </c>
      <c r="L479">
        <v>12</v>
      </c>
      <c r="M479">
        <v>1</v>
      </c>
      <c r="N479" t="s">
        <v>1077</v>
      </c>
      <c r="O479">
        <v>80</v>
      </c>
      <c r="P479">
        <v>15</v>
      </c>
      <c r="Q479">
        <v>5</v>
      </c>
      <c r="R479" t="s">
        <v>21</v>
      </c>
      <c r="S479" t="s">
        <v>38</v>
      </c>
      <c r="T479">
        <v>20</v>
      </c>
      <c r="U479">
        <v>7000</v>
      </c>
      <c r="V479" t="s">
        <v>39</v>
      </c>
      <c r="W479" t="s">
        <v>1077</v>
      </c>
      <c r="X479" t="s">
        <v>20</v>
      </c>
      <c r="Y479">
        <v>12</v>
      </c>
    </row>
    <row r="480" spans="1:25">
      <c r="A480" t="s">
        <v>1013</v>
      </c>
      <c r="B480" t="s">
        <v>1014</v>
      </c>
      <c r="C480">
        <v>25</v>
      </c>
      <c r="D480" t="s">
        <v>1077</v>
      </c>
      <c r="E480" t="s">
        <v>61</v>
      </c>
      <c r="F480" t="s">
        <v>18</v>
      </c>
      <c r="G480" t="s">
        <v>43</v>
      </c>
      <c r="H480" t="s">
        <v>1059</v>
      </c>
      <c r="I480">
        <v>24000</v>
      </c>
      <c r="J480">
        <v>12</v>
      </c>
      <c r="K480">
        <v>288000</v>
      </c>
      <c r="L480">
        <v>1</v>
      </c>
      <c r="M480">
        <v>5</v>
      </c>
      <c r="N480">
        <v>7200</v>
      </c>
      <c r="O480">
        <v>90</v>
      </c>
      <c r="P480">
        <v>10</v>
      </c>
      <c r="Q480">
        <v>3</v>
      </c>
      <c r="R480" t="s">
        <v>21</v>
      </c>
      <c r="S480" t="s">
        <v>28</v>
      </c>
      <c r="T480">
        <v>10</v>
      </c>
      <c r="U480">
        <v>2500</v>
      </c>
      <c r="V480" t="s">
        <v>58</v>
      </c>
      <c r="W480" t="s">
        <v>1077</v>
      </c>
      <c r="X480" t="s">
        <v>20</v>
      </c>
      <c r="Y480">
        <v>10</v>
      </c>
    </row>
    <row r="481" spans="1:25">
      <c r="A481" t="s">
        <v>1015</v>
      </c>
      <c r="B481" t="s">
        <v>1016</v>
      </c>
      <c r="C481">
        <v>23</v>
      </c>
      <c r="D481" t="s">
        <v>25</v>
      </c>
      <c r="E481" t="s">
        <v>35</v>
      </c>
      <c r="F481" t="s">
        <v>66</v>
      </c>
      <c r="G481" t="s">
        <v>1046</v>
      </c>
      <c r="H481" t="s">
        <v>1060</v>
      </c>
      <c r="I481">
        <v>20000</v>
      </c>
      <c r="J481">
        <v>12</v>
      </c>
      <c r="K481">
        <v>240000</v>
      </c>
      <c r="L481">
        <v>0</v>
      </c>
      <c r="M481">
        <v>1</v>
      </c>
      <c r="N481" t="s">
        <v>1077</v>
      </c>
      <c r="O481">
        <v>88</v>
      </c>
      <c r="P481">
        <v>5</v>
      </c>
      <c r="Q481">
        <v>2</v>
      </c>
      <c r="S481" t="s">
        <v>38</v>
      </c>
      <c r="T481">
        <v>20</v>
      </c>
      <c r="U481">
        <v>5000</v>
      </c>
      <c r="V481" t="s">
        <v>39</v>
      </c>
      <c r="W481" t="s">
        <v>1077</v>
      </c>
      <c r="X481" t="s">
        <v>33</v>
      </c>
      <c r="Y481">
        <v>20</v>
      </c>
    </row>
    <row r="482" spans="1:25">
      <c r="A482" t="s">
        <v>1017</v>
      </c>
      <c r="B482" t="s">
        <v>1018</v>
      </c>
      <c r="C482">
        <v>24</v>
      </c>
      <c r="D482" t="s">
        <v>1077</v>
      </c>
      <c r="E482" t="s">
        <v>57</v>
      </c>
      <c r="F482" t="s">
        <v>27</v>
      </c>
      <c r="G482" t="s">
        <v>1046</v>
      </c>
      <c r="H482" t="s">
        <v>1060</v>
      </c>
      <c r="I482">
        <v>29000</v>
      </c>
      <c r="J482">
        <v>12</v>
      </c>
      <c r="K482">
        <v>348000</v>
      </c>
      <c r="L482">
        <v>1</v>
      </c>
      <c r="M482">
        <v>4</v>
      </c>
      <c r="N482">
        <v>8700</v>
      </c>
      <c r="O482">
        <v>85</v>
      </c>
      <c r="P482">
        <v>5</v>
      </c>
      <c r="Q482">
        <v>8</v>
      </c>
      <c r="R482" t="s">
        <v>37</v>
      </c>
      <c r="S482" t="s">
        <v>19</v>
      </c>
      <c r="T482">
        <v>5</v>
      </c>
      <c r="U482">
        <v>1250</v>
      </c>
      <c r="V482" t="s">
        <v>58</v>
      </c>
      <c r="W482" t="s">
        <v>1077</v>
      </c>
      <c r="X482" t="s">
        <v>20</v>
      </c>
      <c r="Y482">
        <v>12</v>
      </c>
    </row>
    <row r="483" spans="1:25">
      <c r="A483" t="s">
        <v>1019</v>
      </c>
      <c r="B483" t="s">
        <v>1020</v>
      </c>
      <c r="C483">
        <v>24</v>
      </c>
      <c r="D483" t="s">
        <v>25</v>
      </c>
      <c r="E483" t="s">
        <v>47</v>
      </c>
      <c r="F483" t="s">
        <v>66</v>
      </c>
      <c r="G483" t="s">
        <v>1046</v>
      </c>
      <c r="H483" t="s">
        <v>1060</v>
      </c>
      <c r="I483">
        <v>29000</v>
      </c>
      <c r="J483">
        <v>12</v>
      </c>
      <c r="K483">
        <v>348000</v>
      </c>
      <c r="L483">
        <v>2</v>
      </c>
      <c r="M483">
        <v>3</v>
      </c>
      <c r="N483">
        <v>8700</v>
      </c>
      <c r="O483">
        <v>88</v>
      </c>
      <c r="P483">
        <v>15</v>
      </c>
      <c r="Q483">
        <v>2</v>
      </c>
      <c r="R483" t="s">
        <v>21</v>
      </c>
      <c r="S483" t="s">
        <v>19</v>
      </c>
      <c r="U483">
        <v>0</v>
      </c>
      <c r="V483" t="s">
        <v>22</v>
      </c>
      <c r="W483" t="s">
        <v>1077</v>
      </c>
      <c r="X483" t="s">
        <v>33</v>
      </c>
      <c r="Y483">
        <v>20</v>
      </c>
    </row>
    <row r="484" spans="1:25">
      <c r="A484" t="s">
        <v>1021</v>
      </c>
      <c r="B484" t="s">
        <v>1022</v>
      </c>
      <c r="C484">
        <v>23</v>
      </c>
      <c r="D484" t="s">
        <v>46</v>
      </c>
      <c r="E484" t="s">
        <v>17</v>
      </c>
      <c r="F484" t="s">
        <v>18</v>
      </c>
      <c r="G484" t="s">
        <v>1046</v>
      </c>
      <c r="H484" t="s">
        <v>1060</v>
      </c>
      <c r="I484">
        <v>20000</v>
      </c>
      <c r="J484">
        <v>12</v>
      </c>
      <c r="K484">
        <v>240000</v>
      </c>
      <c r="L484">
        <v>0</v>
      </c>
      <c r="M484">
        <v>1</v>
      </c>
      <c r="N484" t="s">
        <v>1077</v>
      </c>
      <c r="O484">
        <v>80</v>
      </c>
      <c r="P484">
        <v>15</v>
      </c>
      <c r="Q484">
        <v>2</v>
      </c>
      <c r="R484" t="s">
        <v>37</v>
      </c>
      <c r="S484" t="s">
        <v>19</v>
      </c>
      <c r="T484">
        <v>10</v>
      </c>
      <c r="U484">
        <v>2500</v>
      </c>
      <c r="V484" t="s">
        <v>39</v>
      </c>
      <c r="W484" t="s">
        <v>1077</v>
      </c>
      <c r="X484" t="s">
        <v>20</v>
      </c>
      <c r="Y484">
        <v>10</v>
      </c>
    </row>
    <row r="485" spans="1:25">
      <c r="A485" t="s">
        <v>1023</v>
      </c>
      <c r="B485" t="s">
        <v>1024</v>
      </c>
      <c r="C485">
        <v>24</v>
      </c>
      <c r="D485" t="s">
        <v>1077</v>
      </c>
      <c r="E485" t="s">
        <v>64</v>
      </c>
      <c r="F485" t="s">
        <v>42</v>
      </c>
      <c r="G485" t="s">
        <v>43</v>
      </c>
      <c r="H485" t="s">
        <v>1059</v>
      </c>
      <c r="I485">
        <v>22000</v>
      </c>
      <c r="J485">
        <v>12</v>
      </c>
      <c r="K485">
        <v>264000</v>
      </c>
      <c r="L485">
        <v>1</v>
      </c>
      <c r="M485">
        <v>1</v>
      </c>
      <c r="N485" t="s">
        <v>1077</v>
      </c>
      <c r="O485">
        <v>95</v>
      </c>
      <c r="P485">
        <v>15</v>
      </c>
      <c r="Q485">
        <v>3</v>
      </c>
      <c r="R485" t="s">
        <v>21</v>
      </c>
      <c r="S485" t="s">
        <v>28</v>
      </c>
      <c r="T485">
        <v>20</v>
      </c>
      <c r="U485">
        <v>5000</v>
      </c>
      <c r="V485" t="s">
        <v>39</v>
      </c>
      <c r="W485" t="s">
        <v>1077</v>
      </c>
      <c r="X485" t="s">
        <v>20</v>
      </c>
      <c r="Y485">
        <v>14</v>
      </c>
    </row>
    <row r="486" spans="1:25">
      <c r="A486" t="s">
        <v>1025</v>
      </c>
      <c r="B486" t="s">
        <v>1026</v>
      </c>
      <c r="C486">
        <v>24</v>
      </c>
      <c r="D486" t="s">
        <v>25</v>
      </c>
      <c r="E486" t="s">
        <v>47</v>
      </c>
      <c r="F486" t="s">
        <v>31</v>
      </c>
      <c r="G486" t="s">
        <v>43</v>
      </c>
      <c r="H486" t="s">
        <v>1060</v>
      </c>
      <c r="I486">
        <v>24000</v>
      </c>
      <c r="J486">
        <v>12</v>
      </c>
      <c r="K486">
        <v>288000</v>
      </c>
      <c r="L486">
        <v>1</v>
      </c>
      <c r="M486">
        <v>4</v>
      </c>
      <c r="N486">
        <v>7200</v>
      </c>
      <c r="O486">
        <v>88</v>
      </c>
      <c r="P486">
        <v>5</v>
      </c>
      <c r="Q486">
        <v>5</v>
      </c>
      <c r="S486" t="s">
        <v>38</v>
      </c>
      <c r="U486">
        <v>0</v>
      </c>
      <c r="V486" t="s">
        <v>22</v>
      </c>
      <c r="W486" t="s">
        <v>1077</v>
      </c>
      <c r="X486" t="s">
        <v>33</v>
      </c>
      <c r="Y486">
        <v>13</v>
      </c>
    </row>
    <row r="487" spans="1:25">
      <c r="A487" t="s">
        <v>995</v>
      </c>
      <c r="B487" t="s">
        <v>996</v>
      </c>
      <c r="C487">
        <v>24</v>
      </c>
      <c r="D487" t="s">
        <v>46</v>
      </c>
      <c r="E487" t="s">
        <v>73</v>
      </c>
      <c r="F487" t="s">
        <v>18</v>
      </c>
      <c r="G487" t="s">
        <v>43</v>
      </c>
      <c r="H487" t="s">
        <v>1059</v>
      </c>
      <c r="I487">
        <v>28000</v>
      </c>
      <c r="J487">
        <v>12</v>
      </c>
      <c r="K487">
        <v>336000</v>
      </c>
      <c r="L487">
        <v>2</v>
      </c>
      <c r="M487">
        <v>4</v>
      </c>
      <c r="N487">
        <v>8400</v>
      </c>
      <c r="O487">
        <v>95</v>
      </c>
      <c r="P487">
        <v>15</v>
      </c>
      <c r="Q487">
        <v>3</v>
      </c>
      <c r="R487" t="s">
        <v>37</v>
      </c>
      <c r="S487" t="s">
        <v>28</v>
      </c>
      <c r="U487">
        <v>0</v>
      </c>
      <c r="V487" t="s">
        <v>58</v>
      </c>
      <c r="W487" t="s">
        <v>1077</v>
      </c>
      <c r="X487" t="s">
        <v>20</v>
      </c>
      <c r="Y487">
        <v>10</v>
      </c>
    </row>
    <row r="488" spans="1:25">
      <c r="A488" t="s">
        <v>1027</v>
      </c>
      <c r="B488" t="s">
        <v>1028</v>
      </c>
      <c r="C488">
        <v>23</v>
      </c>
      <c r="D488" t="s">
        <v>25</v>
      </c>
      <c r="E488" t="s">
        <v>17</v>
      </c>
      <c r="F488" t="s">
        <v>31</v>
      </c>
      <c r="G488" t="s">
        <v>43</v>
      </c>
      <c r="H488" t="s">
        <v>1060</v>
      </c>
      <c r="I488">
        <v>28000</v>
      </c>
      <c r="J488">
        <v>12</v>
      </c>
      <c r="K488">
        <v>336000</v>
      </c>
      <c r="L488">
        <v>2</v>
      </c>
      <c r="M488">
        <v>2</v>
      </c>
      <c r="N488" t="s">
        <v>1077</v>
      </c>
      <c r="O488">
        <v>85</v>
      </c>
      <c r="P488">
        <v>10</v>
      </c>
      <c r="Q488">
        <v>1</v>
      </c>
      <c r="R488" t="s">
        <v>37</v>
      </c>
      <c r="S488" t="s">
        <v>19</v>
      </c>
      <c r="T488">
        <v>10</v>
      </c>
      <c r="U488">
        <v>2500</v>
      </c>
      <c r="V488" t="s">
        <v>39</v>
      </c>
      <c r="W488" t="s">
        <v>1077</v>
      </c>
      <c r="X488" t="s">
        <v>33</v>
      </c>
      <c r="Y488">
        <v>13</v>
      </c>
    </row>
    <row r="489" spans="1:25">
      <c r="A489" t="s">
        <v>1029</v>
      </c>
      <c r="B489" t="s">
        <v>1030</v>
      </c>
      <c r="C489">
        <v>28</v>
      </c>
      <c r="D489" t="s">
        <v>46</v>
      </c>
      <c r="E489" t="s">
        <v>61</v>
      </c>
      <c r="F489" t="s">
        <v>42</v>
      </c>
      <c r="G489" t="s">
        <v>1045</v>
      </c>
      <c r="H489" t="s">
        <v>1060</v>
      </c>
      <c r="I489">
        <v>77000</v>
      </c>
      <c r="J489">
        <v>12</v>
      </c>
      <c r="K489">
        <v>924000</v>
      </c>
      <c r="L489">
        <v>5</v>
      </c>
      <c r="M489">
        <v>2</v>
      </c>
      <c r="N489" t="s">
        <v>1077</v>
      </c>
      <c r="O489">
        <v>95</v>
      </c>
      <c r="P489">
        <v>15</v>
      </c>
      <c r="Q489">
        <v>2</v>
      </c>
      <c r="R489" t="s">
        <v>37</v>
      </c>
      <c r="S489" t="s">
        <v>38</v>
      </c>
      <c r="T489">
        <v>10</v>
      </c>
      <c r="U489">
        <v>3000</v>
      </c>
      <c r="V489" t="s">
        <v>39</v>
      </c>
      <c r="W489" t="s">
        <v>1077</v>
      </c>
      <c r="X489" t="s">
        <v>20</v>
      </c>
      <c r="Y489">
        <v>14</v>
      </c>
    </row>
    <row r="490" spans="1:25">
      <c r="A490" t="s">
        <v>1031</v>
      </c>
      <c r="B490" t="s">
        <v>1032</v>
      </c>
      <c r="C490">
        <v>25</v>
      </c>
      <c r="D490" t="s">
        <v>25</v>
      </c>
      <c r="E490" t="s">
        <v>50</v>
      </c>
      <c r="F490" t="s">
        <v>31</v>
      </c>
      <c r="G490" t="s">
        <v>43</v>
      </c>
      <c r="H490" t="s">
        <v>1060</v>
      </c>
      <c r="I490">
        <v>24000</v>
      </c>
      <c r="J490">
        <v>12</v>
      </c>
      <c r="K490">
        <v>288000</v>
      </c>
      <c r="L490">
        <v>1</v>
      </c>
      <c r="M490">
        <v>2</v>
      </c>
      <c r="N490" t="s">
        <v>1077</v>
      </c>
      <c r="O490">
        <v>85</v>
      </c>
      <c r="P490">
        <v>10</v>
      </c>
      <c r="Q490">
        <v>5</v>
      </c>
      <c r="R490" t="s">
        <v>37</v>
      </c>
      <c r="S490" t="s">
        <v>19</v>
      </c>
      <c r="T490">
        <v>10</v>
      </c>
      <c r="U490">
        <v>2500</v>
      </c>
      <c r="V490" t="s">
        <v>39</v>
      </c>
      <c r="W490" t="s">
        <v>1077</v>
      </c>
      <c r="X490" t="s">
        <v>33</v>
      </c>
      <c r="Y490">
        <v>13</v>
      </c>
    </row>
    <row r="491" spans="1:25">
      <c r="A491" t="s">
        <v>1033</v>
      </c>
      <c r="B491" t="s">
        <v>1034</v>
      </c>
      <c r="C491">
        <v>25</v>
      </c>
      <c r="D491" t="s">
        <v>25</v>
      </c>
      <c r="E491" t="s">
        <v>47</v>
      </c>
      <c r="F491" t="s">
        <v>18</v>
      </c>
      <c r="G491" t="s">
        <v>43</v>
      </c>
      <c r="H491" t="s">
        <v>1060</v>
      </c>
      <c r="I491">
        <v>19500</v>
      </c>
      <c r="J491">
        <v>12</v>
      </c>
      <c r="K491">
        <v>234000</v>
      </c>
      <c r="L491">
        <v>1</v>
      </c>
      <c r="M491">
        <v>1</v>
      </c>
      <c r="N491" t="s">
        <v>1077</v>
      </c>
      <c r="O491">
        <v>80</v>
      </c>
      <c r="P491">
        <v>15</v>
      </c>
      <c r="Q491">
        <v>3</v>
      </c>
      <c r="R491" t="s">
        <v>37</v>
      </c>
      <c r="S491" t="s">
        <v>38</v>
      </c>
      <c r="T491">
        <v>20</v>
      </c>
      <c r="U491">
        <v>5000</v>
      </c>
      <c r="V491" t="s">
        <v>39</v>
      </c>
      <c r="W491" t="s">
        <v>1077</v>
      </c>
      <c r="X491" t="s">
        <v>20</v>
      </c>
      <c r="Y491">
        <v>10</v>
      </c>
    </row>
    <row r="492" spans="1:25">
      <c r="A492" t="s">
        <v>1035</v>
      </c>
      <c r="B492" t="s">
        <v>1036</v>
      </c>
      <c r="C492">
        <v>24</v>
      </c>
      <c r="D492" t="s">
        <v>25</v>
      </c>
      <c r="E492" t="s">
        <v>17</v>
      </c>
      <c r="F492" t="s">
        <v>27</v>
      </c>
      <c r="G492" t="s">
        <v>43</v>
      </c>
      <c r="H492" t="s">
        <v>1059</v>
      </c>
      <c r="I492">
        <v>28000</v>
      </c>
      <c r="J492">
        <v>12</v>
      </c>
      <c r="K492">
        <v>336000</v>
      </c>
      <c r="L492">
        <v>2</v>
      </c>
      <c r="M492">
        <v>5</v>
      </c>
      <c r="N492">
        <v>8400</v>
      </c>
      <c r="O492">
        <v>95</v>
      </c>
      <c r="P492">
        <v>5</v>
      </c>
      <c r="Q492">
        <v>2</v>
      </c>
      <c r="R492" t="s">
        <v>37</v>
      </c>
      <c r="S492" t="s">
        <v>28</v>
      </c>
      <c r="T492">
        <v>5</v>
      </c>
      <c r="U492">
        <v>1250</v>
      </c>
      <c r="V492" t="s">
        <v>58</v>
      </c>
      <c r="W492" t="s">
        <v>1077</v>
      </c>
      <c r="X492" t="s">
        <v>20</v>
      </c>
      <c r="Y492">
        <v>12</v>
      </c>
    </row>
    <row r="493" spans="1:25">
      <c r="A493" t="s">
        <v>1037</v>
      </c>
      <c r="B493" t="s">
        <v>1038</v>
      </c>
      <c r="C493">
        <v>24</v>
      </c>
      <c r="D493" t="s">
        <v>1077</v>
      </c>
      <c r="E493" t="s">
        <v>17</v>
      </c>
      <c r="F493" t="s">
        <v>18</v>
      </c>
      <c r="G493" t="s">
        <v>43</v>
      </c>
      <c r="H493" t="s">
        <v>1060</v>
      </c>
      <c r="I493">
        <v>19800</v>
      </c>
      <c r="J493">
        <v>12</v>
      </c>
      <c r="K493">
        <v>237600</v>
      </c>
      <c r="L493">
        <v>1</v>
      </c>
      <c r="M493">
        <v>4</v>
      </c>
      <c r="N493">
        <v>5940</v>
      </c>
      <c r="O493">
        <v>85</v>
      </c>
      <c r="P493">
        <v>5</v>
      </c>
      <c r="Q493">
        <v>6</v>
      </c>
      <c r="R493" t="s">
        <v>21</v>
      </c>
      <c r="S493" t="s">
        <v>38</v>
      </c>
      <c r="T493">
        <v>20</v>
      </c>
      <c r="U493">
        <v>5000</v>
      </c>
      <c r="V493" t="s">
        <v>22</v>
      </c>
      <c r="W493" t="s">
        <v>1077</v>
      </c>
      <c r="X493" t="s">
        <v>20</v>
      </c>
      <c r="Y493">
        <v>10</v>
      </c>
    </row>
    <row r="494" spans="1:25">
      <c r="A494" t="s">
        <v>1039</v>
      </c>
      <c r="B494" t="s">
        <v>1040</v>
      </c>
      <c r="C494">
        <v>23</v>
      </c>
      <c r="D494" t="s">
        <v>25</v>
      </c>
      <c r="E494" t="s">
        <v>17</v>
      </c>
      <c r="F494" t="s">
        <v>66</v>
      </c>
      <c r="G494" t="s">
        <v>43</v>
      </c>
      <c r="H494" t="s">
        <v>1060</v>
      </c>
      <c r="I494">
        <v>28000</v>
      </c>
      <c r="J494">
        <v>12</v>
      </c>
      <c r="K494">
        <v>336000</v>
      </c>
      <c r="L494">
        <v>2</v>
      </c>
      <c r="M494">
        <v>2</v>
      </c>
      <c r="N494" t="s">
        <v>1077</v>
      </c>
      <c r="O494">
        <v>85</v>
      </c>
      <c r="P494">
        <v>5</v>
      </c>
      <c r="Q494">
        <v>3</v>
      </c>
      <c r="R494" t="s">
        <v>21</v>
      </c>
      <c r="S494" t="s">
        <v>38</v>
      </c>
      <c r="T494">
        <v>20</v>
      </c>
      <c r="U494">
        <v>5000</v>
      </c>
      <c r="V494" t="s">
        <v>39</v>
      </c>
      <c r="W494" t="s">
        <v>1077</v>
      </c>
      <c r="X494" t="s">
        <v>33</v>
      </c>
      <c r="Y494">
        <v>20</v>
      </c>
    </row>
    <row r="495" spans="1:25">
      <c r="A495" t="s">
        <v>1041</v>
      </c>
      <c r="B495" t="s">
        <v>1042</v>
      </c>
      <c r="C495">
        <v>24</v>
      </c>
      <c r="D495" t="s">
        <v>25</v>
      </c>
      <c r="E495" t="s">
        <v>50</v>
      </c>
      <c r="F495" t="s">
        <v>18</v>
      </c>
      <c r="G495" t="s">
        <v>43</v>
      </c>
      <c r="H495" t="s">
        <v>1060</v>
      </c>
      <c r="I495">
        <v>19800</v>
      </c>
      <c r="J495">
        <v>12</v>
      </c>
      <c r="K495">
        <v>237600</v>
      </c>
      <c r="L495">
        <v>1</v>
      </c>
      <c r="M495">
        <v>1</v>
      </c>
      <c r="N495" t="s">
        <v>1077</v>
      </c>
      <c r="O495">
        <v>88</v>
      </c>
      <c r="P495">
        <v>15</v>
      </c>
      <c r="Q495">
        <v>5</v>
      </c>
      <c r="R495" t="s">
        <v>37</v>
      </c>
      <c r="S495" t="s">
        <v>38</v>
      </c>
      <c r="U495">
        <v>0</v>
      </c>
      <c r="V495" t="s">
        <v>39</v>
      </c>
      <c r="W495" t="s">
        <v>1077</v>
      </c>
      <c r="X495" t="s">
        <v>20</v>
      </c>
      <c r="Y495">
        <v>10</v>
      </c>
    </row>
    <row r="496" spans="1:25">
      <c r="A496" t="s">
        <v>1043</v>
      </c>
      <c r="B496" t="s">
        <v>1044</v>
      </c>
      <c r="C496">
        <v>20</v>
      </c>
      <c r="D496" t="s">
        <v>46</v>
      </c>
      <c r="E496" t="s">
        <v>47</v>
      </c>
      <c r="F496" t="s">
        <v>66</v>
      </c>
      <c r="G496" t="s">
        <v>1046</v>
      </c>
      <c r="H496" t="s">
        <v>1060</v>
      </c>
      <c r="I496">
        <v>20000</v>
      </c>
      <c r="J496">
        <v>12</v>
      </c>
      <c r="K496">
        <v>240000</v>
      </c>
      <c r="L496">
        <v>1</v>
      </c>
      <c r="M496">
        <v>1</v>
      </c>
      <c r="N496" t="s">
        <v>1077</v>
      </c>
      <c r="O496">
        <v>95</v>
      </c>
      <c r="P496">
        <v>10</v>
      </c>
      <c r="Q496">
        <v>5</v>
      </c>
      <c r="R496" t="s">
        <v>37</v>
      </c>
      <c r="S496" t="s">
        <v>19</v>
      </c>
      <c r="U496">
        <v>0</v>
      </c>
      <c r="V496" t="s">
        <v>39</v>
      </c>
      <c r="W496" t="s">
        <v>1077</v>
      </c>
      <c r="X496" t="s">
        <v>33</v>
      </c>
      <c r="Y496">
        <v>20</v>
      </c>
    </row>
  </sheetData>
  <conditionalFormatting sqref="A1:Y1 A2:E2 G2:Y2 A3:Y1048576">
    <cfRule type="cellIs" dxfId="1" priority="2" operator="equal">
      <formula>"Exclude"</formula>
    </cfRule>
  </conditionalFormatting>
  <conditionalFormatting sqref="I2:I496">
    <cfRule type="cellIs" dxfId="0" priority="1" operator="greaterThan">
      <formula>100000</formula>
    </cfRule>
  </conditionalFormatting>
  <dataValidations count="4">
    <dataValidation type="list" allowBlank="1" showInputMessage="1" showErrorMessage="1" sqref="S2:S496" xr:uid="{8C1161EF-4577-4659-8A9A-EA3E20C562DC}">
      <formula1>"Office, Hybrid, Remote"</formula1>
    </dataValidation>
    <dataValidation type="list" allowBlank="1" showInputMessage="1" showErrorMessage="1" sqref="J2:J496" xr:uid="{A95CE505-B156-41D0-A990-EC3151E7E0FA}">
      <formula1>"12"</formula1>
    </dataValidation>
    <dataValidation type="list" allowBlank="1" showInputMessage="1" showErrorMessage="1" sqref="M2:M351" xr:uid="{D1DF3151-FC00-423D-967B-943B77E96EE7}">
      <formula1>"1,2,3,4,5"</formula1>
    </dataValidation>
    <dataValidation type="list" allowBlank="1" showInputMessage="1" showErrorMessage="1" sqref="D2:D496" xr:uid="{46A25BF4-FCAA-412C-A250-1BAE25A0C8F1}">
      <formula1>"M,F"</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E2A46-109F-4571-850D-210C32B0F96A}">
  <sheetPr>
    <tabColor rgb="FFFF0000"/>
  </sheetPr>
  <dimension ref="A2:D9"/>
  <sheetViews>
    <sheetView workbookViewId="0">
      <selection activeCell="A2" sqref="A2"/>
    </sheetView>
  </sheetViews>
  <sheetFormatPr defaultRowHeight="14.5"/>
  <cols>
    <col min="1" max="1" width="15.08984375" bestFit="1" customWidth="1"/>
    <col min="2" max="2" width="11.81640625" bestFit="1" customWidth="1"/>
    <col min="3" max="3" width="13" bestFit="1" customWidth="1"/>
    <col min="4" max="4" width="17.6328125" bestFit="1" customWidth="1"/>
    <col min="5" max="5" width="15.08984375" bestFit="1" customWidth="1"/>
    <col min="6" max="6" width="11.81640625" bestFit="1" customWidth="1"/>
    <col min="7" max="7" width="10.7265625" bestFit="1" customWidth="1"/>
    <col min="8" max="8" width="17.6328125" bestFit="1" customWidth="1"/>
  </cols>
  <sheetData>
    <row r="2" spans="1:4">
      <c r="A2" s="16" t="s">
        <v>1084</v>
      </c>
      <c r="B2" s="17" t="s">
        <v>1092</v>
      </c>
      <c r="C2" s="18" t="s">
        <v>1104</v>
      </c>
      <c r="D2" s="22" t="s">
        <v>1105</v>
      </c>
    </row>
    <row r="3" spans="1:4">
      <c r="A3" s="14" t="s">
        <v>1085</v>
      </c>
      <c r="B3" s="5">
        <f>COUNTA('Cleaned_with Exclusions'!A:A)-1</f>
        <v>495</v>
      </c>
      <c r="C3" s="15">
        <f>ROUNDDOWN(B3,0)</f>
        <v>495</v>
      </c>
      <c r="D3" s="12" t="s">
        <v>1106</v>
      </c>
    </row>
    <row r="4" spans="1:4">
      <c r="A4" s="12" t="s">
        <v>1088</v>
      </c>
      <c r="B4" s="13">
        <f>MAX('Cleaned_with Exclusions'!K:K)</f>
        <v>1920000</v>
      </c>
      <c r="C4" s="15">
        <f>ROUNDDOWN(B4,0)</f>
        <v>1920000</v>
      </c>
      <c r="D4" s="12" t="s">
        <v>1107</v>
      </c>
    </row>
    <row r="5" spans="1:4">
      <c r="A5" s="12" t="s">
        <v>1086</v>
      </c>
      <c r="B5" s="5">
        <f>AVERAGE('Cleaned_with Exclusions'!K:K)</f>
        <v>548500.9939393939</v>
      </c>
      <c r="C5" s="15">
        <f>ROUNDDOWN(B5,0)</f>
        <v>548500</v>
      </c>
      <c r="D5" s="12" t="s">
        <v>1108</v>
      </c>
    </row>
    <row r="6" spans="1:4">
      <c r="A6" s="12" t="s">
        <v>1090</v>
      </c>
      <c r="B6" s="5">
        <f>AVERAGE('Cleaned_with Exclusions'!N:N)</f>
        <v>15288.015789473684</v>
      </c>
      <c r="C6" s="15">
        <f>ROUNDDOWN(B6,0)</f>
        <v>15288</v>
      </c>
      <c r="D6" s="12" t="s">
        <v>1109</v>
      </c>
    </row>
    <row r="7" spans="1:4">
      <c r="A7" s="12" t="s">
        <v>1091</v>
      </c>
      <c r="B7" s="5">
        <f>AVERAGE('Cleaned_with Exclusions'!M:M)</f>
        <v>2.6890243902439024</v>
      </c>
      <c r="C7" s="15">
        <f>ROUNDDOWN(B7,2)</f>
        <v>2.68</v>
      </c>
      <c r="D7" s="12" t="s">
        <v>1110</v>
      </c>
    </row>
    <row r="8" spans="1:4">
      <c r="A8" s="12" t="s">
        <v>1087</v>
      </c>
      <c r="B8" s="5">
        <f>MEDIAN('Cleaned_with Exclusions'!K:K)</f>
        <v>348000</v>
      </c>
      <c r="C8" s="15">
        <f>ROUNDDOWN(B8,0)</f>
        <v>348000</v>
      </c>
      <c r="D8" s="5"/>
    </row>
    <row r="9" spans="1:4">
      <c r="A9" s="12" t="s">
        <v>1089</v>
      </c>
      <c r="B9" s="13">
        <f>MIN('Cleaned_with Exclusions'!K:K)</f>
        <v>72000</v>
      </c>
      <c r="C9" s="19">
        <f>ROUNDDOWN(B9,2)</f>
        <v>72000</v>
      </c>
      <c r="D9" s="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28693-AED1-4A44-8659-66811CA69233}">
  <sheetPr>
    <tabColor rgb="FFFFFF00"/>
  </sheetPr>
  <dimension ref="A2:L31"/>
  <sheetViews>
    <sheetView workbookViewId="0">
      <selection activeCell="A2" sqref="A2"/>
    </sheetView>
  </sheetViews>
  <sheetFormatPr defaultRowHeight="14.5"/>
  <cols>
    <col min="1" max="1" width="12.36328125" bestFit="1" customWidth="1"/>
    <col min="2" max="3" width="15.1796875" bestFit="1" customWidth="1"/>
    <col min="4" max="4" width="12.36328125" bestFit="1" customWidth="1"/>
    <col min="5" max="5" width="22.6328125" bestFit="1" customWidth="1"/>
    <col min="6" max="6" width="19.81640625" bestFit="1" customWidth="1"/>
    <col min="8" max="8" width="23.54296875" bestFit="1" customWidth="1"/>
    <col min="9" max="9" width="16.453125" bestFit="1" customWidth="1"/>
    <col min="10" max="10" width="5.81640625" bestFit="1" customWidth="1"/>
    <col min="11" max="11" width="7.36328125" bestFit="1" customWidth="1"/>
    <col min="12" max="12" width="10.7265625" bestFit="1" customWidth="1"/>
    <col min="14" max="14" width="12.36328125" bestFit="1" customWidth="1"/>
    <col min="15" max="15" width="23.54296875" bestFit="1" customWidth="1"/>
    <col min="17" max="17" width="16.08984375" bestFit="1" customWidth="1"/>
    <col min="18" max="18" width="22.6328125" bestFit="1" customWidth="1"/>
    <col min="19" max="19" width="19.81640625" bestFit="1" customWidth="1"/>
    <col min="21" max="21" width="16.08984375" bestFit="1" customWidth="1"/>
    <col min="22" max="22" width="20.36328125" bestFit="1" customWidth="1"/>
    <col min="24" max="24" width="14.08984375" bestFit="1" customWidth="1"/>
    <col min="25" max="25" width="23.54296875" bestFit="1" customWidth="1"/>
    <col min="27" max="27" width="23.54296875" bestFit="1" customWidth="1"/>
    <col min="28" max="28" width="15.26953125" bestFit="1" customWidth="1"/>
    <col min="29" max="29" width="5.81640625" bestFit="1" customWidth="1"/>
    <col min="30" max="30" width="7.36328125" bestFit="1" customWidth="1"/>
    <col min="31" max="31" width="10.7265625" bestFit="1" customWidth="1"/>
  </cols>
  <sheetData>
    <row r="2" spans="1:12">
      <c r="A2" s="10" t="s">
        <v>1080</v>
      </c>
      <c r="B2" t="s">
        <v>1083</v>
      </c>
      <c r="C2" t="s">
        <v>1082</v>
      </c>
      <c r="E2" s="10" t="s">
        <v>1080</v>
      </c>
      <c r="F2" t="s">
        <v>1083</v>
      </c>
      <c r="H2" s="10" t="s">
        <v>4</v>
      </c>
      <c r="I2" t="s">
        <v>1122</v>
      </c>
    </row>
    <row r="3" spans="1:12">
      <c r="A3" s="11" t="s">
        <v>66</v>
      </c>
      <c r="B3" s="20">
        <v>33511.627906976741</v>
      </c>
      <c r="C3">
        <v>43</v>
      </c>
      <c r="E3" s="11" t="s">
        <v>1097</v>
      </c>
      <c r="F3" s="20">
        <v>24931.720430107525</v>
      </c>
      <c r="H3" s="10" t="s">
        <v>1</v>
      </c>
      <c r="I3" t="s">
        <v>1102</v>
      </c>
    </row>
    <row r="4" spans="1:12">
      <c r="A4" s="11" t="s">
        <v>18</v>
      </c>
      <c r="B4" s="20">
        <v>30666.129032258064</v>
      </c>
      <c r="C4">
        <v>62</v>
      </c>
      <c r="E4" s="11" t="s">
        <v>1098</v>
      </c>
      <c r="F4" s="20">
        <v>76846.153846153844</v>
      </c>
      <c r="H4" s="10" t="s">
        <v>2</v>
      </c>
      <c r="I4" t="s">
        <v>1102</v>
      </c>
    </row>
    <row r="5" spans="1:12">
      <c r="A5" s="11" t="s">
        <v>31</v>
      </c>
      <c r="B5" s="20">
        <v>45012.820512820515</v>
      </c>
      <c r="C5">
        <v>78</v>
      </c>
      <c r="E5" s="11" t="s">
        <v>1099</v>
      </c>
      <c r="F5" s="20">
        <v>78421.875</v>
      </c>
    </row>
    <row r="6" spans="1:12">
      <c r="A6" s="11" t="s">
        <v>42</v>
      </c>
      <c r="B6" s="20">
        <v>43406.779661016946</v>
      </c>
      <c r="C6">
        <v>59</v>
      </c>
      <c r="E6" s="11" t="s">
        <v>1100</v>
      </c>
      <c r="F6" s="20">
        <v>105000</v>
      </c>
      <c r="H6" s="10" t="s">
        <v>1083</v>
      </c>
      <c r="I6" s="10" t="s">
        <v>1111</v>
      </c>
    </row>
    <row r="7" spans="1:12">
      <c r="A7" s="11" t="s">
        <v>1081</v>
      </c>
      <c r="B7" s="20">
        <v>38902.066115702481</v>
      </c>
      <c r="C7">
        <v>242</v>
      </c>
      <c r="E7" s="11" t="s">
        <v>1101</v>
      </c>
      <c r="F7" s="20">
        <v>117611.11111111111</v>
      </c>
      <c r="H7" s="10" t="s">
        <v>1080</v>
      </c>
      <c r="I7" t="s">
        <v>38</v>
      </c>
      <c r="J7" t="s">
        <v>19</v>
      </c>
      <c r="K7" t="s">
        <v>28</v>
      </c>
      <c r="L7" t="s">
        <v>1081</v>
      </c>
    </row>
    <row r="8" spans="1:12">
      <c r="E8" s="11" t="s">
        <v>1081</v>
      </c>
      <c r="F8" s="20">
        <v>38902.066115702481</v>
      </c>
      <c r="H8" s="11" t="s">
        <v>66</v>
      </c>
      <c r="I8" s="20">
        <v>34451.612903225803</v>
      </c>
      <c r="J8" s="20">
        <v>32750</v>
      </c>
      <c r="K8" s="20">
        <v>27750</v>
      </c>
      <c r="L8" s="20">
        <v>33511.627906976741</v>
      </c>
    </row>
    <row r="9" spans="1:12">
      <c r="H9" s="11" t="s">
        <v>18</v>
      </c>
      <c r="I9" s="20">
        <v>26661.904761904763</v>
      </c>
      <c r="J9" s="20">
        <v>44222.222222222219</v>
      </c>
      <c r="K9" s="20">
        <v>34863.63636363636</v>
      </c>
      <c r="L9" s="20">
        <v>30666.129032258064</v>
      </c>
    </row>
    <row r="10" spans="1:12">
      <c r="H10" s="11" t="s">
        <v>31</v>
      </c>
      <c r="I10" s="20">
        <v>44175.925925925927</v>
      </c>
      <c r="J10" s="20">
        <v>50531.25</v>
      </c>
      <c r="K10" s="20">
        <v>39625</v>
      </c>
      <c r="L10" s="20">
        <v>45012.820512820515</v>
      </c>
    </row>
    <row r="11" spans="1:12">
      <c r="A11" s="10" t="s">
        <v>1080</v>
      </c>
      <c r="B11" t="s">
        <v>1094</v>
      </c>
      <c r="H11" s="11" t="s">
        <v>42</v>
      </c>
      <c r="I11" s="20">
        <v>37540.54054054054</v>
      </c>
      <c r="J11" s="20">
        <v>60800</v>
      </c>
      <c r="K11" s="20">
        <v>47000</v>
      </c>
      <c r="L11" s="20">
        <v>43406.779661016946</v>
      </c>
    </row>
    <row r="12" spans="1:12">
      <c r="A12" s="11">
        <v>1</v>
      </c>
      <c r="B12">
        <v>91</v>
      </c>
      <c r="H12" s="11" t="s">
        <v>1081</v>
      </c>
      <c r="I12" s="20">
        <v>36355.487804878052</v>
      </c>
      <c r="J12" s="20">
        <v>48290.697674418603</v>
      </c>
      <c r="K12" s="20">
        <v>39300</v>
      </c>
      <c r="L12" s="20">
        <v>38902.066115702481</v>
      </c>
    </row>
    <row r="13" spans="1:12">
      <c r="A13" s="11">
        <v>2</v>
      </c>
      <c r="B13">
        <v>81</v>
      </c>
      <c r="D13" s="10" t="s">
        <v>1080</v>
      </c>
      <c r="E13" t="s">
        <v>1096</v>
      </c>
      <c r="F13" t="s">
        <v>1095</v>
      </c>
    </row>
    <row r="14" spans="1:12">
      <c r="A14" s="11">
        <v>3</v>
      </c>
      <c r="B14">
        <v>56</v>
      </c>
      <c r="D14" s="11" t="s">
        <v>66</v>
      </c>
      <c r="E14">
        <v>27</v>
      </c>
      <c r="F14">
        <v>88750</v>
      </c>
    </row>
    <row r="15" spans="1:12">
      <c r="A15" s="11">
        <v>4</v>
      </c>
      <c r="B15">
        <v>89</v>
      </c>
      <c r="D15" s="11" t="s">
        <v>18</v>
      </c>
      <c r="E15">
        <v>41</v>
      </c>
      <c r="F15">
        <v>110000</v>
      </c>
    </row>
    <row r="16" spans="1:12">
      <c r="A16" s="11">
        <v>5</v>
      </c>
      <c r="B16">
        <v>40</v>
      </c>
      <c r="D16" s="11" t="s">
        <v>31</v>
      </c>
      <c r="E16">
        <v>57</v>
      </c>
      <c r="F16">
        <v>161750</v>
      </c>
      <c r="H16" s="10" t="s">
        <v>1080</v>
      </c>
      <c r="I16" t="s">
        <v>1093</v>
      </c>
    </row>
    <row r="17" spans="1:9">
      <c r="A17" s="11" t="s">
        <v>1081</v>
      </c>
      <c r="B17">
        <v>357</v>
      </c>
      <c r="D17" s="11" t="s">
        <v>42</v>
      </c>
      <c r="E17">
        <v>45</v>
      </c>
      <c r="F17">
        <v>141500</v>
      </c>
      <c r="H17" s="11" t="s">
        <v>66</v>
      </c>
      <c r="I17" s="21">
        <v>0.15306501811074641</v>
      </c>
    </row>
    <row r="18" spans="1:9">
      <c r="D18" s="11" t="s">
        <v>1081</v>
      </c>
      <c r="E18">
        <v>170</v>
      </c>
      <c r="F18">
        <v>502000</v>
      </c>
      <c r="H18" s="11" t="s">
        <v>18</v>
      </c>
      <c r="I18" s="21">
        <v>0.20195872236916182</v>
      </c>
    </row>
    <row r="19" spans="1:9">
      <c r="H19" s="11" t="s">
        <v>31</v>
      </c>
      <c r="I19" s="21">
        <v>0.37294328840168678</v>
      </c>
    </row>
    <row r="20" spans="1:9">
      <c r="A20" s="10" t="s">
        <v>1080</v>
      </c>
      <c r="B20" t="s">
        <v>1082</v>
      </c>
      <c r="H20" s="11" t="s">
        <v>42</v>
      </c>
      <c r="I20" s="21">
        <v>0.27203297111840496</v>
      </c>
    </row>
    <row r="21" spans="1:9">
      <c r="A21" s="11" t="s">
        <v>38</v>
      </c>
      <c r="B21">
        <v>164</v>
      </c>
      <c r="H21" s="11" t="s">
        <v>1081</v>
      </c>
      <c r="I21" s="21">
        <v>1</v>
      </c>
    </row>
    <row r="22" spans="1:9">
      <c r="A22" s="11" t="s">
        <v>19</v>
      </c>
      <c r="B22">
        <v>43</v>
      </c>
      <c r="D22" s="10" t="s">
        <v>1080</v>
      </c>
      <c r="E22" t="s">
        <v>1083</v>
      </c>
    </row>
    <row r="23" spans="1:9">
      <c r="A23" s="11" t="s">
        <v>28</v>
      </c>
      <c r="B23">
        <v>35</v>
      </c>
      <c r="D23" s="11" t="s">
        <v>1046</v>
      </c>
      <c r="E23" s="20">
        <v>25312.5</v>
      </c>
    </row>
    <row r="24" spans="1:9">
      <c r="A24" s="11" t="s">
        <v>1081</v>
      </c>
      <c r="B24">
        <v>242</v>
      </c>
      <c r="D24" s="11" t="s">
        <v>43</v>
      </c>
      <c r="E24" s="20">
        <v>25489.634146341465</v>
      </c>
    </row>
    <row r="25" spans="1:9">
      <c r="D25" s="11" t="s">
        <v>1049</v>
      </c>
      <c r="E25" s="20">
        <v>115318.18181818182</v>
      </c>
      <c r="H25" s="10" t="s">
        <v>1080</v>
      </c>
      <c r="I25" t="s">
        <v>1083</v>
      </c>
    </row>
    <row r="26" spans="1:9">
      <c r="D26" s="11" t="s">
        <v>1047</v>
      </c>
      <c r="E26" s="20">
        <v>8666.6666666666661</v>
      </c>
      <c r="H26" s="11" t="s">
        <v>1046</v>
      </c>
      <c r="I26" s="20">
        <v>25312.5</v>
      </c>
    </row>
    <row r="27" spans="1:9">
      <c r="D27" s="11" t="s">
        <v>1045</v>
      </c>
      <c r="E27" s="20">
        <v>77966.666666666672</v>
      </c>
      <c r="H27" s="11" t="s">
        <v>43</v>
      </c>
      <c r="I27" s="20">
        <v>25489.634146341465</v>
      </c>
    </row>
    <row r="28" spans="1:9">
      <c r="D28" s="11" t="s">
        <v>1081</v>
      </c>
      <c r="E28" s="20">
        <v>38902.066115702481</v>
      </c>
      <c r="H28" s="11" t="s">
        <v>1049</v>
      </c>
      <c r="I28" s="20">
        <v>115318.18181818182</v>
      </c>
    </row>
    <row r="29" spans="1:9">
      <c r="H29" s="11" t="s">
        <v>1047</v>
      </c>
      <c r="I29" s="20">
        <v>8666.6666666666661</v>
      </c>
    </row>
    <row r="30" spans="1:9">
      <c r="H30" s="11" t="s">
        <v>1045</v>
      </c>
      <c r="I30" s="20">
        <v>77966.666666666672</v>
      </c>
    </row>
    <row r="31" spans="1:9">
      <c r="H31" s="11" t="s">
        <v>1081</v>
      </c>
      <c r="I31" s="20">
        <v>38902.066115702481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35B4B-9F0A-4965-84BD-A2999564C6D4}">
  <dimension ref="A1:H13"/>
  <sheetViews>
    <sheetView workbookViewId="0"/>
  </sheetViews>
  <sheetFormatPr defaultRowHeight="14.5"/>
  <cols>
    <col min="1" max="1" width="12.36328125" bestFit="1" customWidth="1"/>
    <col min="2" max="2" width="15.1796875" bestFit="1" customWidth="1"/>
    <col min="4" max="4" width="10" bestFit="1" customWidth="1"/>
    <col min="5" max="5" width="14.90625" bestFit="1" customWidth="1"/>
  </cols>
  <sheetData>
    <row r="1" spans="1:8">
      <c r="D1" s="6" t="s">
        <v>2</v>
      </c>
      <c r="E1" s="6" t="s">
        <v>1119</v>
      </c>
      <c r="F1" s="6" t="s">
        <v>1112</v>
      </c>
      <c r="H1" s="34"/>
    </row>
    <row r="2" spans="1:8">
      <c r="A2" s="10" t="s">
        <v>1080</v>
      </c>
      <c r="B2" t="s">
        <v>1082</v>
      </c>
      <c r="D2" s="41" t="s">
        <v>26</v>
      </c>
      <c r="E2" s="5" t="s">
        <v>1113</v>
      </c>
      <c r="F2" s="5">
        <v>60</v>
      </c>
    </row>
    <row r="3" spans="1:8">
      <c r="A3" s="11" t="s">
        <v>26</v>
      </c>
      <c r="B3">
        <v>20</v>
      </c>
      <c r="D3" s="41" t="s">
        <v>57</v>
      </c>
      <c r="E3" s="5" t="s">
        <v>1114</v>
      </c>
      <c r="F3" s="5">
        <v>39</v>
      </c>
    </row>
    <row r="4" spans="1:8">
      <c r="A4" s="11" t="s">
        <v>57</v>
      </c>
      <c r="B4">
        <v>25</v>
      </c>
      <c r="D4" s="41" t="s">
        <v>50</v>
      </c>
      <c r="E4" s="5" t="s">
        <v>50</v>
      </c>
      <c r="F4" s="5">
        <v>47</v>
      </c>
    </row>
    <row r="5" spans="1:8">
      <c r="A5" s="11" t="s">
        <v>50</v>
      </c>
      <c r="B5">
        <v>22</v>
      </c>
      <c r="D5" s="41" t="s">
        <v>47</v>
      </c>
      <c r="E5" s="5" t="s">
        <v>1115</v>
      </c>
      <c r="F5" s="5">
        <v>40</v>
      </c>
    </row>
    <row r="6" spans="1:8">
      <c r="A6" s="11" t="s">
        <v>47</v>
      </c>
      <c r="B6">
        <v>24</v>
      </c>
      <c r="D6" s="41" t="s">
        <v>61</v>
      </c>
      <c r="E6" s="5" t="s">
        <v>1116</v>
      </c>
      <c r="F6" s="5">
        <v>39</v>
      </c>
    </row>
    <row r="7" spans="1:8">
      <c r="A7" s="11" t="s">
        <v>61</v>
      </c>
      <c r="B7">
        <v>18</v>
      </c>
      <c r="D7" s="41" t="s">
        <v>73</v>
      </c>
      <c r="E7" s="5" t="s">
        <v>1117</v>
      </c>
      <c r="F7" s="5">
        <v>56</v>
      </c>
    </row>
    <row r="8" spans="1:8">
      <c r="A8" s="11" t="s">
        <v>73</v>
      </c>
      <c r="B8">
        <v>23</v>
      </c>
      <c r="D8" s="41" t="s">
        <v>65</v>
      </c>
      <c r="E8" s="5" t="s">
        <v>1120</v>
      </c>
      <c r="F8" s="5">
        <v>47</v>
      </c>
    </row>
    <row r="9" spans="1:8">
      <c r="A9" s="11" t="s">
        <v>65</v>
      </c>
      <c r="B9">
        <v>26</v>
      </c>
      <c r="D9" s="41" t="s">
        <v>64</v>
      </c>
      <c r="E9" s="5" t="s">
        <v>1118</v>
      </c>
      <c r="F9" s="5">
        <v>49</v>
      </c>
    </row>
    <row r="10" spans="1:8">
      <c r="A10" s="11" t="s">
        <v>64</v>
      </c>
      <c r="B10">
        <v>27</v>
      </c>
      <c r="D10" s="41" t="s">
        <v>35</v>
      </c>
      <c r="E10" s="5" t="s">
        <v>1121</v>
      </c>
      <c r="F10" s="5">
        <v>52</v>
      </c>
    </row>
    <row r="11" spans="1:8">
      <c r="A11" s="11" t="s">
        <v>35</v>
      </c>
      <c r="B11">
        <v>30</v>
      </c>
      <c r="D11" s="41" t="s">
        <v>17</v>
      </c>
      <c r="E11" s="5" t="s">
        <v>1118</v>
      </c>
      <c r="F11" s="5">
        <v>55</v>
      </c>
    </row>
    <row r="12" spans="1:8">
      <c r="A12" s="11" t="s">
        <v>17</v>
      </c>
      <c r="B12">
        <v>26</v>
      </c>
    </row>
    <row r="13" spans="1:8">
      <c r="A13" s="11" t="s">
        <v>1081</v>
      </c>
      <c r="B13">
        <v>241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5D66C-13EF-46BA-8065-14A71FA36C03}">
  <sheetPr>
    <tabColor rgb="FF7030A0"/>
    <pageSetUpPr fitToPage="1"/>
  </sheetPr>
  <dimension ref="A1:V32"/>
  <sheetViews>
    <sheetView showGridLines="0" zoomScale="89" zoomScaleNormal="100" zoomScalePageLayoutView="71" workbookViewId="0">
      <selection activeCell="X16" sqref="X16"/>
    </sheetView>
  </sheetViews>
  <sheetFormatPr defaultRowHeight="14.5"/>
  <sheetData>
    <row r="1" spans="1:22" ht="33.5">
      <c r="A1" s="23"/>
      <c r="B1" s="23"/>
      <c r="C1" s="23"/>
      <c r="D1" s="24"/>
      <c r="E1" s="24"/>
      <c r="F1" s="24"/>
      <c r="G1" s="24"/>
      <c r="H1" s="27" t="s">
        <v>1103</v>
      </c>
      <c r="I1" s="25"/>
      <c r="J1" s="25"/>
      <c r="K1" s="24"/>
      <c r="L1" s="24"/>
      <c r="M1" s="24"/>
      <c r="N1" s="24"/>
      <c r="O1" s="24"/>
      <c r="P1" s="24"/>
      <c r="Q1" s="24"/>
      <c r="R1" s="24"/>
      <c r="S1" s="24"/>
      <c r="T1" s="24"/>
      <c r="U1" s="24"/>
      <c r="V1" s="26"/>
    </row>
    <row r="2" spans="1:22">
      <c r="A2" s="8"/>
      <c r="B2" s="8"/>
      <c r="C2" s="28"/>
      <c r="D2" s="32"/>
      <c r="E2" s="32"/>
      <c r="F2" s="32"/>
      <c r="G2" s="32"/>
      <c r="H2" s="32"/>
      <c r="I2" s="32"/>
      <c r="J2" s="32"/>
      <c r="K2" s="32"/>
      <c r="L2" s="32"/>
      <c r="M2" s="32"/>
      <c r="N2" s="32"/>
      <c r="O2" s="32"/>
      <c r="P2" s="32"/>
      <c r="Q2" s="32"/>
      <c r="R2" s="32"/>
      <c r="S2" s="32"/>
      <c r="T2" s="32"/>
      <c r="U2" s="32"/>
      <c r="V2" s="33"/>
    </row>
    <row r="3" spans="1:22">
      <c r="A3" s="8"/>
      <c r="B3" s="8"/>
      <c r="C3" s="28"/>
      <c r="D3" s="34"/>
      <c r="E3" s="34"/>
      <c r="F3" s="34"/>
      <c r="G3" s="34"/>
      <c r="H3" s="34"/>
      <c r="I3" s="34"/>
      <c r="J3" s="34"/>
      <c r="K3" s="34"/>
      <c r="L3" s="34"/>
      <c r="M3" s="34"/>
      <c r="N3" s="34"/>
      <c r="O3" s="34"/>
      <c r="P3" s="34"/>
      <c r="Q3" s="34"/>
      <c r="R3" s="34"/>
      <c r="S3" s="34"/>
      <c r="T3" s="34"/>
      <c r="U3" s="34"/>
      <c r="V3" s="35"/>
    </row>
    <row r="4" spans="1:22">
      <c r="A4" s="29"/>
      <c r="B4" s="8"/>
      <c r="C4" s="28"/>
      <c r="D4" s="34"/>
      <c r="E4" s="34"/>
      <c r="F4" s="34"/>
      <c r="G4" s="34"/>
      <c r="H4" s="34"/>
      <c r="I4" s="34"/>
      <c r="J4" s="34"/>
      <c r="K4" s="34"/>
      <c r="L4" s="34"/>
      <c r="M4" s="34"/>
      <c r="N4" s="34"/>
      <c r="O4" s="34"/>
      <c r="P4" s="34"/>
      <c r="Q4" s="34"/>
      <c r="R4" s="34"/>
      <c r="S4" s="34"/>
      <c r="T4" s="34"/>
      <c r="U4" s="34"/>
      <c r="V4" s="35"/>
    </row>
    <row r="5" spans="1:22">
      <c r="A5" s="29"/>
      <c r="B5" s="8"/>
      <c r="C5" s="28"/>
      <c r="D5" s="36"/>
      <c r="E5" s="34"/>
      <c r="F5" s="34"/>
      <c r="G5" s="34"/>
      <c r="H5" s="34"/>
      <c r="I5" s="34"/>
      <c r="J5" s="34"/>
      <c r="K5" s="34"/>
      <c r="L5" s="34"/>
      <c r="M5" s="34"/>
      <c r="N5" s="34"/>
      <c r="O5" s="34"/>
      <c r="P5" s="34"/>
      <c r="Q5" s="34"/>
      <c r="R5" s="34"/>
      <c r="S5" s="34"/>
      <c r="T5" s="34"/>
      <c r="U5" s="34"/>
      <c r="V5" s="35"/>
    </row>
    <row r="6" spans="1:22">
      <c r="A6" s="29"/>
      <c r="B6" s="8"/>
      <c r="C6" s="28"/>
      <c r="D6" s="36"/>
      <c r="E6" s="34"/>
      <c r="F6" s="34"/>
      <c r="G6" s="34"/>
      <c r="H6" s="34"/>
      <c r="I6" s="34"/>
      <c r="J6" s="34"/>
      <c r="K6" s="34"/>
      <c r="L6" s="34"/>
      <c r="M6" s="34"/>
      <c r="N6" s="34"/>
      <c r="O6" s="34"/>
      <c r="P6" s="34"/>
      <c r="Q6" s="34"/>
      <c r="R6" s="34"/>
      <c r="S6" s="34"/>
      <c r="T6" s="34"/>
      <c r="U6" s="34"/>
      <c r="V6" s="35"/>
    </row>
    <row r="7" spans="1:22">
      <c r="A7" s="29"/>
      <c r="B7" s="8"/>
      <c r="C7" s="28"/>
      <c r="D7" s="36"/>
      <c r="E7" s="34"/>
      <c r="F7" s="34"/>
      <c r="G7" s="34"/>
      <c r="H7" s="34"/>
      <c r="I7" s="34"/>
      <c r="J7" s="34"/>
      <c r="K7" s="34"/>
      <c r="L7" s="34"/>
      <c r="M7" s="34"/>
      <c r="N7" s="34"/>
      <c r="O7" s="34"/>
      <c r="P7" s="34"/>
      <c r="Q7" s="34"/>
      <c r="R7" s="34"/>
      <c r="S7" s="34"/>
      <c r="T7" s="34"/>
      <c r="U7" s="34"/>
      <c r="V7" s="35"/>
    </row>
    <row r="8" spans="1:22">
      <c r="A8" s="29"/>
      <c r="B8" s="8"/>
      <c r="C8" s="28"/>
      <c r="D8" s="37"/>
      <c r="E8" s="34"/>
      <c r="F8" s="34"/>
      <c r="G8" s="34"/>
      <c r="H8" s="34"/>
      <c r="I8" s="34"/>
      <c r="J8" s="34"/>
      <c r="K8" s="34"/>
      <c r="L8" s="34"/>
      <c r="M8" s="34"/>
      <c r="N8" s="34"/>
      <c r="O8" s="34"/>
      <c r="P8" s="34"/>
      <c r="Q8" s="34"/>
      <c r="R8" s="34"/>
      <c r="S8" s="34"/>
      <c r="T8" s="34"/>
      <c r="U8" s="34"/>
      <c r="V8" s="35"/>
    </row>
    <row r="9" spans="1:22">
      <c r="A9" s="29"/>
      <c r="B9" s="8"/>
      <c r="C9" s="28"/>
      <c r="D9" s="36"/>
      <c r="E9" s="34"/>
      <c r="F9" s="34"/>
      <c r="G9" s="34"/>
      <c r="H9" s="34"/>
      <c r="I9" s="34"/>
      <c r="J9" s="34"/>
      <c r="K9" s="34"/>
      <c r="L9" s="34"/>
      <c r="M9" s="34"/>
      <c r="N9" s="34"/>
      <c r="O9" s="34"/>
      <c r="P9" s="34"/>
      <c r="Q9" s="34"/>
      <c r="R9" s="34"/>
      <c r="S9" s="34"/>
      <c r="T9" s="34"/>
      <c r="U9" s="34"/>
      <c r="V9" s="35"/>
    </row>
    <row r="10" spans="1:22">
      <c r="A10" s="29"/>
      <c r="B10" s="8"/>
      <c r="C10" s="28"/>
      <c r="D10" s="36"/>
      <c r="E10" s="34"/>
      <c r="F10" s="34"/>
      <c r="G10" s="34"/>
      <c r="H10" s="34"/>
      <c r="I10" s="34"/>
      <c r="J10" s="34"/>
      <c r="K10" s="34"/>
      <c r="L10" s="34"/>
      <c r="M10" s="34"/>
      <c r="N10" s="34"/>
      <c r="O10" s="34"/>
      <c r="P10" s="34"/>
      <c r="Q10" s="34"/>
      <c r="R10" s="34"/>
      <c r="S10" s="34"/>
      <c r="T10" s="34"/>
      <c r="U10" s="34"/>
      <c r="V10" s="35"/>
    </row>
    <row r="11" spans="1:22">
      <c r="A11" s="29"/>
      <c r="B11" s="8"/>
      <c r="C11" s="28"/>
      <c r="D11" s="36"/>
      <c r="E11" s="34"/>
      <c r="F11" s="34"/>
      <c r="G11" s="34"/>
      <c r="H11" s="34"/>
      <c r="I11" s="34"/>
      <c r="J11" s="34"/>
      <c r="K11" s="34"/>
      <c r="L11" s="34"/>
      <c r="M11" s="34"/>
      <c r="N11" s="34"/>
      <c r="O11" s="34"/>
      <c r="P11" s="34"/>
      <c r="Q11" s="34"/>
      <c r="R11" s="34"/>
      <c r="S11" s="34"/>
      <c r="T11" s="34"/>
      <c r="U11" s="34"/>
      <c r="V11" s="35"/>
    </row>
    <row r="12" spans="1:22">
      <c r="A12" s="29"/>
      <c r="B12" s="8"/>
      <c r="C12" s="28"/>
      <c r="D12" s="36"/>
      <c r="E12" s="34"/>
      <c r="F12" s="34"/>
      <c r="G12" s="34"/>
      <c r="H12" s="34"/>
      <c r="I12" s="34"/>
      <c r="J12" s="34"/>
      <c r="K12" s="34"/>
      <c r="L12" s="34"/>
      <c r="M12" s="34"/>
      <c r="N12" s="34"/>
      <c r="O12" s="34"/>
      <c r="P12" s="34"/>
      <c r="Q12" s="34"/>
      <c r="R12" s="34"/>
      <c r="S12" s="34"/>
      <c r="T12" s="34"/>
      <c r="U12" s="34"/>
      <c r="V12" s="35"/>
    </row>
    <row r="13" spans="1:22">
      <c r="A13" s="29"/>
      <c r="B13" s="8"/>
      <c r="C13" s="28"/>
      <c r="D13" s="36"/>
      <c r="E13" s="34"/>
      <c r="F13" s="34"/>
      <c r="G13" s="34"/>
      <c r="H13" s="34"/>
      <c r="I13" s="34"/>
      <c r="J13" s="34"/>
      <c r="K13" s="34"/>
      <c r="L13" s="34"/>
      <c r="M13" s="34"/>
      <c r="N13" s="34"/>
      <c r="O13" s="34"/>
      <c r="P13" s="34"/>
      <c r="Q13" s="34"/>
      <c r="R13" s="34"/>
      <c r="S13" s="34"/>
      <c r="T13" s="34"/>
      <c r="U13" s="34"/>
      <c r="V13" s="35"/>
    </row>
    <row r="14" spans="1:22">
      <c r="A14" s="29"/>
      <c r="B14" s="8"/>
      <c r="C14" s="28"/>
      <c r="D14" s="36"/>
      <c r="E14" s="34"/>
      <c r="F14" s="34"/>
      <c r="G14" s="34"/>
      <c r="H14" s="34"/>
      <c r="I14" s="34"/>
      <c r="J14" s="34"/>
      <c r="K14" s="34"/>
      <c r="L14" s="34"/>
      <c r="M14" s="34"/>
      <c r="N14" s="34"/>
      <c r="O14" s="34"/>
      <c r="P14" s="34"/>
      <c r="Q14" s="34"/>
      <c r="R14" s="34"/>
      <c r="S14" s="34"/>
      <c r="T14" s="34"/>
      <c r="U14" s="34"/>
      <c r="V14" s="35"/>
    </row>
    <row r="15" spans="1:22">
      <c r="A15" s="29"/>
      <c r="B15" s="8"/>
      <c r="C15" s="28"/>
      <c r="D15" s="36"/>
      <c r="E15" s="34"/>
      <c r="F15" s="34"/>
      <c r="G15" s="34"/>
      <c r="H15" s="34"/>
      <c r="I15" s="34"/>
      <c r="J15" s="34"/>
      <c r="K15" s="34"/>
      <c r="L15" s="34"/>
      <c r="M15" s="34"/>
      <c r="N15" s="34"/>
      <c r="O15" s="34"/>
      <c r="P15" s="34"/>
      <c r="Q15" s="34"/>
      <c r="R15" s="34"/>
      <c r="S15" s="34"/>
      <c r="T15" s="34"/>
      <c r="U15" s="34"/>
      <c r="V15" s="35"/>
    </row>
    <row r="16" spans="1:22">
      <c r="A16" s="29"/>
      <c r="B16" s="8"/>
      <c r="C16" s="28"/>
      <c r="D16" s="36"/>
      <c r="E16" s="34"/>
      <c r="F16" s="34"/>
      <c r="G16" s="34"/>
      <c r="H16" s="34"/>
      <c r="I16" s="34"/>
      <c r="J16" s="34"/>
      <c r="K16" s="34"/>
      <c r="L16" s="34"/>
      <c r="M16" s="34"/>
      <c r="N16" s="34"/>
      <c r="O16" s="34"/>
      <c r="P16" s="34"/>
      <c r="Q16" s="34"/>
      <c r="R16" s="34"/>
      <c r="S16" s="34"/>
      <c r="T16" s="34"/>
      <c r="U16" s="34"/>
      <c r="V16" s="35"/>
    </row>
    <row r="17" spans="1:22">
      <c r="A17" s="29"/>
      <c r="B17" s="8"/>
      <c r="C17" s="28"/>
      <c r="D17" s="36"/>
      <c r="E17" s="34"/>
      <c r="F17" s="34"/>
      <c r="G17" s="34"/>
      <c r="H17" s="34"/>
      <c r="I17" s="34"/>
      <c r="J17" s="34"/>
      <c r="K17" s="34"/>
      <c r="L17" s="34"/>
      <c r="M17" s="34"/>
      <c r="N17" s="34"/>
      <c r="O17" s="34"/>
      <c r="P17" s="34"/>
      <c r="Q17" s="34"/>
      <c r="R17" s="34"/>
      <c r="S17" s="34"/>
      <c r="T17" s="34"/>
      <c r="U17" s="34"/>
      <c r="V17" s="35"/>
    </row>
    <row r="18" spans="1:22">
      <c r="A18" s="29"/>
      <c r="B18" s="8"/>
      <c r="C18" s="28"/>
      <c r="D18" s="36"/>
      <c r="E18" s="34"/>
      <c r="F18" s="34"/>
      <c r="G18" s="34"/>
      <c r="H18" s="34"/>
      <c r="I18" s="34"/>
      <c r="J18" s="34"/>
      <c r="K18" s="34"/>
      <c r="L18" s="34"/>
      <c r="M18" s="34"/>
      <c r="N18" s="34"/>
      <c r="O18" s="34"/>
      <c r="P18" s="34"/>
      <c r="Q18" s="34"/>
      <c r="R18" s="34"/>
      <c r="S18" s="34"/>
      <c r="T18" s="34"/>
      <c r="U18" s="34"/>
      <c r="V18" s="35"/>
    </row>
    <row r="19" spans="1:22">
      <c r="A19" s="29"/>
      <c r="B19" s="8"/>
      <c r="C19" s="28"/>
      <c r="D19" s="36"/>
      <c r="E19" s="34"/>
      <c r="F19" s="34"/>
      <c r="G19" s="34"/>
      <c r="H19" s="34"/>
      <c r="I19" s="34"/>
      <c r="J19" s="34"/>
      <c r="K19" s="34"/>
      <c r="L19" s="34"/>
      <c r="M19" s="34"/>
      <c r="N19" s="34"/>
      <c r="O19" s="34"/>
      <c r="P19" s="34"/>
      <c r="Q19" s="34"/>
      <c r="R19" s="34"/>
      <c r="S19" s="34"/>
      <c r="T19" s="34"/>
      <c r="U19" s="34"/>
      <c r="V19" s="35"/>
    </row>
    <row r="20" spans="1:22">
      <c r="A20" s="29"/>
      <c r="B20" s="8"/>
      <c r="C20" s="28"/>
      <c r="D20" s="36"/>
      <c r="E20" s="34"/>
      <c r="F20" s="34"/>
      <c r="G20" s="34"/>
      <c r="H20" s="34"/>
      <c r="I20" s="34"/>
      <c r="J20" s="34"/>
      <c r="K20" s="34"/>
      <c r="L20" s="34"/>
      <c r="M20" s="34"/>
      <c r="N20" s="34"/>
      <c r="O20" s="34"/>
      <c r="P20" s="34"/>
      <c r="Q20" s="34"/>
      <c r="R20" s="34"/>
      <c r="S20" s="34"/>
      <c r="T20" s="34"/>
      <c r="U20" s="34"/>
      <c r="V20" s="35"/>
    </row>
    <row r="21" spans="1:22">
      <c r="A21" s="29"/>
      <c r="B21" s="8"/>
      <c r="C21" s="28"/>
      <c r="D21" s="36"/>
      <c r="E21" s="34"/>
      <c r="F21" s="34"/>
      <c r="G21" s="34"/>
      <c r="H21" s="34"/>
      <c r="I21" s="34"/>
      <c r="J21" s="34"/>
      <c r="K21" s="34"/>
      <c r="L21" s="34"/>
      <c r="M21" s="34"/>
      <c r="N21" s="34"/>
      <c r="O21" s="34"/>
      <c r="P21" s="34"/>
      <c r="Q21" s="34"/>
      <c r="R21" s="34"/>
      <c r="S21" s="34"/>
      <c r="T21" s="34"/>
      <c r="U21" s="34"/>
      <c r="V21" s="35"/>
    </row>
    <row r="22" spans="1:22">
      <c r="A22" s="29"/>
      <c r="B22" s="8"/>
      <c r="C22" s="28"/>
      <c r="D22" s="36"/>
      <c r="E22" s="34"/>
      <c r="F22" s="34"/>
      <c r="G22" s="34"/>
      <c r="H22" s="34"/>
      <c r="I22" s="34"/>
      <c r="J22" s="34"/>
      <c r="K22" s="34"/>
      <c r="L22" s="34"/>
      <c r="M22" s="34"/>
      <c r="N22" s="34"/>
      <c r="O22" s="34"/>
      <c r="P22" s="34"/>
      <c r="Q22" s="34"/>
      <c r="R22" s="34"/>
      <c r="S22" s="34"/>
      <c r="T22" s="34"/>
      <c r="U22" s="34"/>
      <c r="V22" s="35"/>
    </row>
    <row r="23" spans="1:22">
      <c r="A23" s="29"/>
      <c r="B23" s="8"/>
      <c r="C23" s="28"/>
      <c r="D23" s="36"/>
      <c r="E23" s="34"/>
      <c r="F23" s="34"/>
      <c r="G23" s="34"/>
      <c r="H23" s="34"/>
      <c r="I23" s="34"/>
      <c r="J23" s="34"/>
      <c r="K23" s="34"/>
      <c r="L23" s="34"/>
      <c r="M23" s="34"/>
      <c r="N23" s="34"/>
      <c r="O23" s="34"/>
      <c r="P23" s="34"/>
      <c r="Q23" s="34"/>
      <c r="R23" s="34"/>
      <c r="S23" s="34"/>
      <c r="T23" s="34"/>
      <c r="U23" s="34"/>
      <c r="V23" s="35"/>
    </row>
    <row r="24" spans="1:22">
      <c r="A24" s="29"/>
      <c r="B24" s="8"/>
      <c r="C24" s="28"/>
      <c r="D24" s="36"/>
      <c r="E24" s="34"/>
      <c r="F24" s="34"/>
      <c r="G24" s="34"/>
      <c r="H24" s="34"/>
      <c r="I24" s="34"/>
      <c r="J24" s="34"/>
      <c r="K24" s="34"/>
      <c r="L24" s="34"/>
      <c r="M24" s="34"/>
      <c r="N24" s="34"/>
      <c r="O24" s="34"/>
      <c r="P24" s="34"/>
      <c r="Q24" s="34"/>
      <c r="R24" s="34"/>
      <c r="S24" s="34"/>
      <c r="T24" s="34"/>
      <c r="U24" s="34"/>
      <c r="V24" s="35"/>
    </row>
    <row r="25" spans="1:22">
      <c r="A25" s="29"/>
      <c r="B25" s="8"/>
      <c r="C25" s="28"/>
      <c r="D25" s="36"/>
      <c r="E25" s="34"/>
      <c r="F25" s="34"/>
      <c r="G25" s="34"/>
      <c r="H25" s="34"/>
      <c r="I25" s="34"/>
      <c r="J25" s="34"/>
      <c r="K25" s="34"/>
      <c r="L25" s="34"/>
      <c r="M25" s="34"/>
      <c r="N25" s="34"/>
      <c r="O25" s="34"/>
      <c r="P25" s="34"/>
      <c r="Q25" s="34"/>
      <c r="R25" s="34"/>
      <c r="S25" s="34"/>
      <c r="T25" s="40"/>
      <c r="U25" s="34"/>
      <c r="V25" s="35"/>
    </row>
    <row r="26" spans="1:22">
      <c r="A26" s="29"/>
      <c r="B26" s="8"/>
      <c r="C26" s="28"/>
      <c r="D26" s="36"/>
      <c r="E26" s="34"/>
      <c r="F26" s="34"/>
      <c r="G26" s="34"/>
      <c r="H26" s="34"/>
      <c r="I26" s="34"/>
      <c r="J26" s="34"/>
      <c r="K26" s="34"/>
      <c r="L26" s="34"/>
      <c r="M26" s="34"/>
      <c r="N26" s="34"/>
      <c r="O26" s="34"/>
      <c r="P26" s="34"/>
      <c r="Q26" s="34"/>
      <c r="R26" s="34"/>
      <c r="S26" s="34"/>
      <c r="T26" s="34"/>
      <c r="U26" s="34"/>
      <c r="V26" s="35"/>
    </row>
    <row r="27" spans="1:22">
      <c r="A27" s="29"/>
      <c r="B27" s="8"/>
      <c r="C27" s="28"/>
      <c r="D27" s="36"/>
      <c r="E27" s="34"/>
      <c r="F27" s="34"/>
      <c r="G27" s="34"/>
      <c r="H27" s="34"/>
      <c r="I27" s="34"/>
      <c r="J27" s="34"/>
      <c r="K27" s="34"/>
      <c r="L27" s="34"/>
      <c r="M27" s="34"/>
      <c r="N27" s="34"/>
      <c r="O27" s="34"/>
      <c r="P27" s="34"/>
      <c r="Q27" s="34"/>
      <c r="R27" s="34"/>
      <c r="S27" s="34"/>
      <c r="T27" s="34"/>
      <c r="U27" s="34"/>
      <c r="V27" s="35"/>
    </row>
    <row r="28" spans="1:22">
      <c r="A28" s="29"/>
      <c r="B28" s="8"/>
      <c r="C28" s="28"/>
      <c r="D28" s="36"/>
      <c r="E28" s="34"/>
      <c r="F28" s="34"/>
      <c r="G28" s="34"/>
      <c r="H28" s="34"/>
      <c r="I28" s="34"/>
      <c r="J28" s="34"/>
      <c r="K28" s="34"/>
      <c r="L28" s="34"/>
      <c r="M28" s="34"/>
      <c r="N28" s="34"/>
      <c r="O28" s="34"/>
      <c r="P28" s="34"/>
      <c r="Q28" s="34"/>
      <c r="R28" s="34"/>
      <c r="S28" s="34"/>
      <c r="T28" s="34"/>
      <c r="U28" s="34"/>
      <c r="V28" s="35"/>
    </row>
    <row r="29" spans="1:22">
      <c r="A29" s="29"/>
      <c r="B29" s="8"/>
      <c r="C29" s="28"/>
      <c r="D29" s="36"/>
      <c r="E29" s="34"/>
      <c r="F29" s="34"/>
      <c r="G29" s="34"/>
      <c r="H29" s="34"/>
      <c r="I29" s="34"/>
      <c r="J29" s="34"/>
      <c r="K29" s="34"/>
      <c r="L29" s="34"/>
      <c r="M29" s="34"/>
      <c r="N29" s="34"/>
      <c r="O29" s="34"/>
      <c r="P29" s="34"/>
      <c r="Q29" s="34"/>
      <c r="R29" s="34"/>
      <c r="S29" s="34"/>
      <c r="T29" s="34"/>
      <c r="U29" s="34"/>
      <c r="V29" s="35"/>
    </row>
    <row r="30" spans="1:22">
      <c r="A30" s="29"/>
      <c r="B30" s="8"/>
      <c r="C30" s="28"/>
      <c r="D30" s="36"/>
      <c r="E30" s="34"/>
      <c r="F30" s="34"/>
      <c r="G30" s="34"/>
      <c r="H30" s="34"/>
      <c r="I30" s="34"/>
      <c r="J30" s="34"/>
      <c r="K30" s="34"/>
      <c r="L30" s="34"/>
      <c r="M30" s="34"/>
      <c r="N30" s="34"/>
      <c r="O30" s="34"/>
      <c r="P30" s="34"/>
      <c r="Q30" s="34"/>
      <c r="R30" s="34"/>
      <c r="S30" s="34"/>
      <c r="T30" s="34"/>
      <c r="U30" s="34"/>
      <c r="V30" s="35"/>
    </row>
    <row r="31" spans="1:22">
      <c r="A31" s="29"/>
      <c r="B31" s="8"/>
      <c r="C31" s="28"/>
      <c r="D31" s="36"/>
      <c r="E31" s="34"/>
      <c r="F31" s="34"/>
      <c r="G31" s="34"/>
      <c r="H31" s="34"/>
      <c r="I31" s="34"/>
      <c r="J31" s="34"/>
      <c r="K31" s="34"/>
      <c r="L31" s="34"/>
      <c r="M31" s="34"/>
      <c r="N31" s="34"/>
      <c r="O31" s="34"/>
      <c r="P31" s="34"/>
      <c r="Q31" s="34"/>
      <c r="R31" s="34"/>
      <c r="S31" s="34"/>
      <c r="T31" s="34"/>
      <c r="U31" s="34"/>
      <c r="V31" s="35"/>
    </row>
    <row r="32" spans="1:22">
      <c r="A32" s="30"/>
      <c r="B32" s="30"/>
      <c r="C32" s="31"/>
      <c r="D32" s="18"/>
      <c r="E32" s="38"/>
      <c r="F32" s="38"/>
      <c r="G32" s="38"/>
      <c r="H32" s="38"/>
      <c r="I32" s="38"/>
      <c r="J32" s="38"/>
      <c r="K32" s="38"/>
      <c r="L32" s="38"/>
      <c r="M32" s="38"/>
      <c r="N32" s="38"/>
      <c r="O32" s="38"/>
      <c r="P32" s="38"/>
      <c r="Q32" s="38"/>
      <c r="R32" s="38"/>
      <c r="S32" s="38"/>
      <c r="T32" s="38"/>
      <c r="U32" s="38"/>
      <c r="V32" s="39"/>
    </row>
  </sheetData>
  <pageMargins left="0.7" right="0.7" top="0.75" bottom="0.75" header="0.3" footer="0.3"/>
  <pageSetup paperSize="9" scale="68" fitToHeight="0"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F7282A-E0D7-4689-BB19-15ACB0EBDB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vt:lpstr>
      <vt:lpstr>Raw_2</vt:lpstr>
      <vt:lpstr>Working</vt:lpstr>
      <vt:lpstr>Cleaned_without Exclusions</vt:lpstr>
      <vt:lpstr>Cleaned_with Exclusions</vt:lpstr>
      <vt:lpstr>KPIs</vt:lpstr>
      <vt:lpstr>Pivots</vt:lpstr>
      <vt:lpstr>Map</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Shweta Bhagat</dc:creator>
  <cp:lastModifiedBy>Shweta Bhagat</cp:lastModifiedBy>
  <cp:lastPrinted>2026-05-03T14:24:36Z</cp:lastPrinted>
  <dcterms:created xsi:type="dcterms:W3CDTF">2026-04-09T17:41:45Z</dcterms:created>
  <dcterms:modified xsi:type="dcterms:W3CDTF">2026-05-03T15:05:58Z</dcterms:modified>
</cp:coreProperties>
</file>